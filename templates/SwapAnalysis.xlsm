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BED2E3C2-3B5C-4E32-9CAD-CA80289F9311}" xr6:coauthVersionLast="47" xr6:coauthVersionMax="47" xr10:uidLastSave="{00000000-0000-0000-0000-000000000000}"/>
  <bookViews>
    <workbookView xWindow="-110" yWindow="-110" windowWidth="19420" windowHeight="11500" activeTab="1" xr2:uid="{F109E07F-C2B9-41F3-853A-1EF4B605D85F}"/>
  </bookViews>
  <sheets>
    <sheet name="PCA" sheetId="6" r:id="rId1"/>
    <sheet name="PCAGrid" sheetId="14" r:id="rId2"/>
    <sheet name="VolPCA" sheetId="9" r:id="rId3"/>
    <sheet name="VolHV" sheetId="10" r:id="rId4"/>
    <sheet name="BOJ" sheetId="11" r:id="rId5"/>
  </sheets>
  <functionGroups builtInGroupCount="19">
    <functionGroup name="Workspace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sImm" hidden="1" xlm="1">#NAME?</definedName>
    <definedName name="_xlpm.lag" hidden="1" xlm="1">#NAME?</definedName>
    <definedName name="_xlpm.longS" hidden="1" xlm="1">#NAME?</definedName>
    <definedName name="_xlpm.m" hidden="1" xlm="1">#NAME?</definedName>
    <definedName name="_xlpm.mdl" hidden="1" xlm="1">#NAME?</definedName>
    <definedName name="_xlpm.mu" hidden="1" xlm="1">#NAME?</definedName>
    <definedName name="_xlpm.n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g" hidden="1" xlm="1">#NAME?</definedName>
    <definedName name="_xlpm.shortS" hidden="1" xlm="1">#NAME?</definedName>
    <definedName name="_xlpm.sl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PCA_Actual">_xlfn.ANCHORARRAY(PCA!$F$34)</definedName>
    <definedName name="PCA_BaseDate">PCA!$B$4</definedName>
    <definedName name="PCA_Dn">_xlfn.ANCHORARRAY(PCA!$BY$4)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Mode">PCA!$B$6</definedName>
    <definedName name="PCA_Recon">_xlfn.ANCHORARRAY(PCA!$H$34)</definedName>
    <definedName name="PCA_Resid">_xlfn.ANCHORARRAY(PCA!$I$34)</definedName>
    <definedName name="PCA_SDn">_xlfn.ANCHORARRAY(PCA!$CF$4)</definedName>
    <definedName name="PCA_Selected">_xlfn.ANCHORARRAY(PCA!$AB$4)</definedName>
    <definedName name="PCA_SigmaDays">PCA!$B$12</definedName>
    <definedName name="PCA_Standardize">PCA!$B$7</definedName>
    <definedName name="PCA_SUp">_xlfn.ANCHORARRAY(PCA!$CE$4)</definedName>
    <definedName name="PCA_TargetDate">PCA!$B$10</definedName>
    <definedName name="PCA_Tenor">_xlfn.ANCHORARRAY(PCA!$E$34)</definedName>
    <definedName name="PCA_Up">_xlfn.ANCHORARRAY(PCA!$BX$4)</definedName>
    <definedName name="PCA_window">PCA!$B$5</definedName>
    <definedName name="PCG_Act1">_xlfn.ANCHORARRAY(PCAGrid!$GQ$5)</definedName>
    <definedName name="PCG_Act10">_xlfn.ANCHORARRAY(PCAGrid!$GQ$455)</definedName>
    <definedName name="PCG_Act2">_xlfn.ANCHORARRAY(PCAGrid!$GQ$55)</definedName>
    <definedName name="PCG_Act3">_xlfn.ANCHORARRAY(PCAGrid!$GQ$105)</definedName>
    <definedName name="PCG_Act4">_xlfn.ANCHORARRAY(PCAGrid!$GQ$155)</definedName>
    <definedName name="PCG_Act5">_xlfn.ANCHORARRAY(PCAGrid!$GQ$205)</definedName>
    <definedName name="PCG_Act6">_xlfn.ANCHORARRAY(PCAGrid!$GQ$255)</definedName>
    <definedName name="PCG_Act7">_xlfn.ANCHORARRAY(PCAGrid!$GQ$305)</definedName>
    <definedName name="PCG_Act8">_xlfn.ANCHORARRAY(PCAGrid!$GQ$355)</definedName>
    <definedName name="PCG_Act9">_xlfn.ANCHORARRAY(PCAGrid!$GQ$405)</definedName>
    <definedName name="PCG_Dn1">_xlfn.ANCHORARRAY(PCAGrid!$HG$5)</definedName>
    <definedName name="PCG_Dn10">_xlfn.ANCHORARRAY(PCAGrid!$HG$455)</definedName>
    <definedName name="PCG_Dn2">_xlfn.ANCHORARRAY(PCAGrid!$HG$55)</definedName>
    <definedName name="PCG_Dn3">_xlfn.ANCHORARRAY(PCAGrid!$HG$105)</definedName>
    <definedName name="PCG_Dn4">_xlfn.ANCHORARRAY(PCAGrid!$HG$155)</definedName>
    <definedName name="PCG_Dn5">_xlfn.ANCHORARRAY(PCAGrid!$HG$205)</definedName>
    <definedName name="PCG_Dn6">_xlfn.ANCHORARRAY(PCAGrid!$HG$255)</definedName>
    <definedName name="PCG_Dn7">_xlfn.ANCHORARRAY(PCAGrid!$HG$305)</definedName>
    <definedName name="PCG_Dn8">_xlfn.ANCHORARRAY(PCAGrid!$HG$355)</definedName>
    <definedName name="PCG_Dn9">_xlfn.ANCHORARRAY(PCAGrid!$HG$405)</definedName>
    <definedName name="PCG_Mean1">_xlfn.ANCHORARRAY(PCAGrid!$HD$5)</definedName>
    <definedName name="PCG_Mean10">_xlfn.ANCHORARRAY(PCAGrid!$HD$455)</definedName>
    <definedName name="PCG_Mean2">_xlfn.ANCHORARRAY(PCAGrid!$HD$55)</definedName>
    <definedName name="PCG_Mean3">_xlfn.ANCHORARRAY(PCAGrid!$HD$105)</definedName>
    <definedName name="PCG_Mean4">_xlfn.ANCHORARRAY(PCAGrid!$HD$155)</definedName>
    <definedName name="PCG_Mean5">_xlfn.ANCHORARRAY(PCAGrid!$HD$205)</definedName>
    <definedName name="PCG_Mean6">_xlfn.ANCHORARRAY(PCAGrid!$HD$255)</definedName>
    <definedName name="PCG_Mean7">_xlfn.ANCHORARRAY(PCAGrid!$HD$305)</definedName>
    <definedName name="PCG_Mean8">_xlfn.ANCHORARRAY(PCAGrid!$HD$355)</definedName>
    <definedName name="PCG_Mean9">_xlfn.ANCHORARRAY(PCAGrid!$HD$405)</definedName>
    <definedName name="PCG_R1_1">_xlfn.ANCHORARRAY(PCAGrid!$GR$5)</definedName>
    <definedName name="PCG_R1_2">_xlfn.ANCHORARRAY(PCAGrid!$GS$5)</definedName>
    <definedName name="PCG_R1_3">_xlfn.ANCHORARRAY(PCAGrid!$GT$5)</definedName>
    <definedName name="PCG_R1_4">_xlfn.ANCHORARRAY(PCAGrid!$GU$5)</definedName>
    <definedName name="PCG_R1_5">_xlfn.ANCHORARRAY(PCAGrid!$GV$5)</definedName>
    <definedName name="PCG_R10_1">_xlfn.ANCHORARRAY(PCAGrid!$GR$455)</definedName>
    <definedName name="PCG_R10_2">_xlfn.ANCHORARRAY(PCAGrid!$GS$455)</definedName>
    <definedName name="PCG_R10_3">_xlfn.ANCHORARRAY(PCAGrid!$GT$455)</definedName>
    <definedName name="PCG_R10_4">_xlfn.ANCHORARRAY(PCAGrid!$GU$455)</definedName>
    <definedName name="PCG_R10_5">_xlfn.ANCHORARRAY(PCAGrid!$GV$455)</definedName>
    <definedName name="PCG_R2_1">_xlfn.ANCHORARRAY(PCAGrid!$GR$55)</definedName>
    <definedName name="PCG_R2_2">_xlfn.ANCHORARRAY(PCAGrid!$GS$55)</definedName>
    <definedName name="PCG_R2_3">_xlfn.ANCHORARRAY(PCAGrid!$GT$55)</definedName>
    <definedName name="PCG_R2_4">_xlfn.ANCHORARRAY(PCAGrid!$GU$55)</definedName>
    <definedName name="PCG_R2_5">_xlfn.ANCHORARRAY(PCAGrid!$GV$55)</definedName>
    <definedName name="PCG_R3_1">_xlfn.ANCHORARRAY(PCAGrid!$GR$105)</definedName>
    <definedName name="PCG_R3_2">_xlfn.ANCHORARRAY(PCAGrid!$GS$105)</definedName>
    <definedName name="PCG_R3_3">_xlfn.ANCHORARRAY(PCAGrid!$GT$105)</definedName>
    <definedName name="PCG_R3_4">_xlfn.ANCHORARRAY(PCAGrid!$GU$105)</definedName>
    <definedName name="PCG_R3_5">_xlfn.ANCHORARRAY(PCAGrid!$GV$105)</definedName>
    <definedName name="PCG_R4_1">_xlfn.ANCHORARRAY(PCAGrid!$GR$155)</definedName>
    <definedName name="PCG_R4_2">_xlfn.ANCHORARRAY(PCAGrid!$GS$155)</definedName>
    <definedName name="PCG_R4_3">_xlfn.ANCHORARRAY(PCAGrid!$GT$155)</definedName>
    <definedName name="PCG_R4_4">_xlfn.ANCHORARRAY(PCAGrid!$GU$155)</definedName>
    <definedName name="PCG_R4_5">_xlfn.ANCHORARRAY(PCAGrid!$GV$155)</definedName>
    <definedName name="PCG_R5_1">_xlfn.ANCHORARRAY(PCAGrid!$GR$205)</definedName>
    <definedName name="PCG_R5_2">_xlfn.ANCHORARRAY(PCAGrid!$GS$205)</definedName>
    <definedName name="PCG_R5_3">_xlfn.ANCHORARRAY(PCAGrid!$GT$205)</definedName>
    <definedName name="PCG_R5_4">_xlfn.ANCHORARRAY(PCAGrid!$GU$205)</definedName>
    <definedName name="PCG_R5_5">_xlfn.ANCHORARRAY(PCAGrid!$GV$205)</definedName>
    <definedName name="PCG_R6_1">_xlfn.ANCHORARRAY(PCAGrid!$GR$255)</definedName>
    <definedName name="PCG_R6_2">_xlfn.ANCHORARRAY(PCAGrid!$GS$255)</definedName>
    <definedName name="PCG_R6_3">_xlfn.ANCHORARRAY(PCAGrid!$GT$255)</definedName>
    <definedName name="PCG_R6_4">_xlfn.ANCHORARRAY(PCAGrid!$GU$255)</definedName>
    <definedName name="PCG_R6_5">_xlfn.ANCHORARRAY(PCAGrid!$GV$255)</definedName>
    <definedName name="PCG_R7_1">_xlfn.ANCHORARRAY(PCAGrid!$GR$305)</definedName>
    <definedName name="PCG_R7_2">_xlfn.ANCHORARRAY(PCAGrid!$GS$305)</definedName>
    <definedName name="PCG_R7_3">_xlfn.ANCHORARRAY(PCAGrid!$GT$305)</definedName>
    <definedName name="PCG_R7_4">_xlfn.ANCHORARRAY(PCAGrid!$GU$305)</definedName>
    <definedName name="PCG_R7_5">_xlfn.ANCHORARRAY(PCAGrid!$GV$305)</definedName>
    <definedName name="PCG_R8_1">_xlfn.ANCHORARRAY(PCAGrid!$GR$355)</definedName>
    <definedName name="PCG_R8_2">_xlfn.ANCHORARRAY(PCAGrid!$GS$355)</definedName>
    <definedName name="PCG_R8_3">_xlfn.ANCHORARRAY(PCAGrid!$GT$355)</definedName>
    <definedName name="PCG_R8_4">_xlfn.ANCHORARRAY(PCAGrid!$GU$355)</definedName>
    <definedName name="PCG_R8_5">_xlfn.ANCHORARRAY(PCAGrid!$GV$355)</definedName>
    <definedName name="PCG_R9_1">_xlfn.ANCHORARRAY(PCAGrid!$GR$405)</definedName>
    <definedName name="PCG_R9_2">_xlfn.ANCHORARRAY(PCAGrid!$GS$405)</definedName>
    <definedName name="PCG_R9_3">_xlfn.ANCHORARRAY(PCAGrid!$GT$405)</definedName>
    <definedName name="PCG_R9_4">_xlfn.ANCHORARRAY(PCAGrid!$GU$405)</definedName>
    <definedName name="PCG_R9_5">_xlfn.ANCHORARRAY(PCAGrid!$GV$405)</definedName>
    <definedName name="PCG_Rec1">_xlfn.ANCHORARRAY(PCAGrid!$HE$5)</definedName>
    <definedName name="PCG_Rec10">_xlfn.ANCHORARRAY(PCAGrid!$HE$455)</definedName>
    <definedName name="PCG_Rec2">_xlfn.ANCHORARRAY(PCAGrid!$HE$55)</definedName>
    <definedName name="PCG_Rec3">_xlfn.ANCHORARRAY(PCAGrid!$HE$105)</definedName>
    <definedName name="PCG_Rec4">_xlfn.ANCHORARRAY(PCAGrid!$HE$155)</definedName>
    <definedName name="PCG_Rec5">_xlfn.ANCHORARRAY(PCAGrid!$HE$205)</definedName>
    <definedName name="PCG_Rec6">_xlfn.ANCHORARRAY(PCAGrid!$HE$255)</definedName>
    <definedName name="PCG_Rec7">_xlfn.ANCHORARRAY(PCAGrid!$HE$305)</definedName>
    <definedName name="PCG_Rec8">_xlfn.ANCHORARRAY(PCAGrid!$HE$355)</definedName>
    <definedName name="PCG_Rec9">_xlfn.ANCHORARRAY(PCAGrid!$HE$405)</definedName>
    <definedName name="PCG_SDn1_1">_xlfn.ANCHORARRAY(PCAGrid!$HI$5)</definedName>
    <definedName name="PCG_SDn1_2">_xlfn.ANCHORARRAY(PCAGrid!$HK$5)</definedName>
    <definedName name="PCG_SDn1_3">_xlfn.ANCHORARRAY(PCAGrid!$HM$5)</definedName>
    <definedName name="PCG_SDn1_4">_xlfn.ANCHORARRAY(PCAGrid!$HO$5)</definedName>
    <definedName name="PCG_SDn1_5">_xlfn.ANCHORARRAY(PCAGrid!$HQ$5)</definedName>
    <definedName name="PCG_SDn10_1">_xlfn.ANCHORARRAY(PCAGrid!$HI$455)</definedName>
    <definedName name="PCG_SDn10_2">_xlfn.ANCHORARRAY(PCAGrid!$HK$455)</definedName>
    <definedName name="PCG_SDn10_3">_xlfn.ANCHORARRAY(PCAGrid!$HM$455)</definedName>
    <definedName name="PCG_SDn10_4">_xlfn.ANCHORARRAY(PCAGrid!$HO$455)</definedName>
    <definedName name="PCG_SDn10_5">_xlfn.ANCHORARRAY(PCAGrid!$HQ$455)</definedName>
    <definedName name="PCG_SDn2_1">_xlfn.ANCHORARRAY(PCAGrid!$HI$55)</definedName>
    <definedName name="PCG_SDn2_2">_xlfn.ANCHORARRAY(PCAGrid!$HK$55)</definedName>
    <definedName name="PCG_SDn2_3">_xlfn.ANCHORARRAY(PCAGrid!$HM$55)</definedName>
    <definedName name="PCG_SDn2_4">_xlfn.ANCHORARRAY(PCAGrid!$HO$55)</definedName>
    <definedName name="PCG_SDn2_5">_xlfn.ANCHORARRAY(PCAGrid!$HQ$55)</definedName>
    <definedName name="PCG_SDn3_1">_xlfn.ANCHORARRAY(PCAGrid!$HI$105)</definedName>
    <definedName name="PCG_SDn3_2">_xlfn.ANCHORARRAY(PCAGrid!$HK$105)</definedName>
    <definedName name="PCG_SDn3_3">_xlfn.ANCHORARRAY(PCAGrid!$HM$105)</definedName>
    <definedName name="PCG_SDn3_4">_xlfn.ANCHORARRAY(PCAGrid!$HO$105)</definedName>
    <definedName name="PCG_SDn3_5">_xlfn.ANCHORARRAY(PCAGrid!$HQ$105)</definedName>
    <definedName name="PCG_SDn4_1">_xlfn.ANCHORARRAY(PCAGrid!$HI$155)</definedName>
    <definedName name="PCG_SDn4_2">_xlfn.ANCHORARRAY(PCAGrid!$HK$155)</definedName>
    <definedName name="PCG_SDn4_3">_xlfn.ANCHORARRAY(PCAGrid!$HM$155)</definedName>
    <definedName name="PCG_SDn4_4">_xlfn.ANCHORARRAY(PCAGrid!$HO$155)</definedName>
    <definedName name="PCG_SDn4_5">_xlfn.ANCHORARRAY(PCAGrid!$HQ$155)</definedName>
    <definedName name="PCG_SDn5_1">_xlfn.ANCHORARRAY(PCAGrid!$HI$205)</definedName>
    <definedName name="PCG_SDn5_2">_xlfn.ANCHORARRAY(PCAGrid!$HK$205)</definedName>
    <definedName name="PCG_SDn5_3">_xlfn.ANCHORARRAY(PCAGrid!$HM$205)</definedName>
    <definedName name="PCG_SDn5_4">_xlfn.ANCHORARRAY(PCAGrid!$HO$205)</definedName>
    <definedName name="PCG_SDn5_5">_xlfn.ANCHORARRAY(PCAGrid!$HQ$205)</definedName>
    <definedName name="PCG_SDn6_1">_xlfn.ANCHORARRAY(PCAGrid!$HI$255)</definedName>
    <definedName name="PCG_SDn6_2">_xlfn.ANCHORARRAY(PCAGrid!$HK$255)</definedName>
    <definedName name="PCG_SDn6_3">_xlfn.ANCHORARRAY(PCAGrid!$HM$255)</definedName>
    <definedName name="PCG_SDn6_4">_xlfn.ANCHORARRAY(PCAGrid!$HO$255)</definedName>
    <definedName name="PCG_SDn6_5">_xlfn.ANCHORARRAY(PCAGrid!$HQ$255)</definedName>
    <definedName name="PCG_SDn7_1">_xlfn.ANCHORARRAY(PCAGrid!$HI$305)</definedName>
    <definedName name="PCG_SDn7_2">_xlfn.ANCHORARRAY(PCAGrid!$HK$305)</definedName>
    <definedName name="PCG_SDn7_3">_xlfn.ANCHORARRAY(PCAGrid!$HM$305)</definedName>
    <definedName name="PCG_SDn7_4">_xlfn.ANCHORARRAY(PCAGrid!$HO$305)</definedName>
    <definedName name="PCG_SDn7_5">_xlfn.ANCHORARRAY(PCAGrid!$HQ$305)</definedName>
    <definedName name="PCG_SDn8_1">_xlfn.ANCHORARRAY(PCAGrid!$HI$355)</definedName>
    <definedName name="PCG_SDn8_2">_xlfn.ANCHORARRAY(PCAGrid!$HK$355)</definedName>
    <definedName name="PCG_SDn8_3">_xlfn.ANCHORARRAY(PCAGrid!$HM$355)</definedName>
    <definedName name="PCG_SDn8_4">_xlfn.ANCHORARRAY(PCAGrid!$HO$355)</definedName>
    <definedName name="PCG_SDn8_5">_xlfn.ANCHORARRAY(PCAGrid!$HQ$355)</definedName>
    <definedName name="PCG_SDn9_1">_xlfn.ANCHORARRAY(PCAGrid!$HI$405)</definedName>
    <definedName name="PCG_SDn9_2">_xlfn.ANCHORARRAY(PCAGrid!$HK$405)</definedName>
    <definedName name="PCG_SDn9_3">_xlfn.ANCHORARRAY(PCAGrid!$HM$405)</definedName>
    <definedName name="PCG_SDn9_4">_xlfn.ANCHORARRAY(PCAGrid!$HO$405)</definedName>
    <definedName name="PCG_SDn9_5">_xlfn.ANCHORARRAY(PCAGrid!$HQ$405)</definedName>
    <definedName name="PCG_SigmaDays">PCAGrid!$B$55</definedName>
    <definedName name="PCG_SUp1_1">_xlfn.ANCHORARRAY(PCAGrid!$HH$5)</definedName>
    <definedName name="PCG_SUp1_2">_xlfn.ANCHORARRAY(PCAGrid!$HJ$5)</definedName>
    <definedName name="PCG_SUp1_3">_xlfn.ANCHORARRAY(PCAGrid!$HL$5)</definedName>
    <definedName name="PCG_SUp1_4">_xlfn.ANCHORARRAY(PCAGrid!$HN$5)</definedName>
    <definedName name="PCG_SUp1_5">_xlfn.ANCHORARRAY(PCAGrid!$HP$5)</definedName>
    <definedName name="PCG_SUp10_1">_xlfn.ANCHORARRAY(PCAGrid!$HH$455)</definedName>
    <definedName name="PCG_SUp10_2">_xlfn.ANCHORARRAY(PCAGrid!$HJ$455)</definedName>
    <definedName name="PCG_SUp10_3">_xlfn.ANCHORARRAY(PCAGrid!$HL$455)</definedName>
    <definedName name="PCG_SUp10_4">_xlfn.ANCHORARRAY(PCAGrid!$HN$455)</definedName>
    <definedName name="PCG_SUp10_5">_xlfn.ANCHORARRAY(PCAGrid!$HP$455)</definedName>
    <definedName name="PCG_SUp2_1">_xlfn.ANCHORARRAY(PCAGrid!$HH$55)</definedName>
    <definedName name="PCG_SUp2_2">_xlfn.ANCHORARRAY(PCAGrid!$HJ$55)</definedName>
    <definedName name="PCG_SUp2_3">_xlfn.ANCHORARRAY(PCAGrid!$HL$55)</definedName>
    <definedName name="PCG_SUp2_4">_xlfn.ANCHORARRAY(PCAGrid!$HN$55)</definedName>
    <definedName name="PCG_SUp2_5">_xlfn.ANCHORARRAY(PCAGrid!$HP$55)</definedName>
    <definedName name="PCG_SUp3_1">_xlfn.ANCHORARRAY(PCAGrid!$HH$105)</definedName>
    <definedName name="PCG_SUp3_2">_xlfn.ANCHORARRAY(PCAGrid!$HJ$105)</definedName>
    <definedName name="PCG_SUp3_3">_xlfn.ANCHORARRAY(PCAGrid!$HL$105)</definedName>
    <definedName name="PCG_SUp3_4">_xlfn.ANCHORARRAY(PCAGrid!$HN$105)</definedName>
    <definedName name="PCG_SUp3_5">_xlfn.ANCHORARRAY(PCAGrid!$HP$105)</definedName>
    <definedName name="PCG_SUp4_1">_xlfn.ANCHORARRAY(PCAGrid!$HH$155)</definedName>
    <definedName name="PCG_SUp4_2">_xlfn.ANCHORARRAY(PCAGrid!$HJ$155)</definedName>
    <definedName name="PCG_SUp4_3">_xlfn.ANCHORARRAY(PCAGrid!$HL$155)</definedName>
    <definedName name="PCG_SUp4_4">_xlfn.ANCHORARRAY(PCAGrid!$HN$155)</definedName>
    <definedName name="PCG_SUp4_5">_xlfn.ANCHORARRAY(PCAGrid!$HP$155)</definedName>
    <definedName name="PCG_SUp5_1">_xlfn.ANCHORARRAY(PCAGrid!$HH$205)</definedName>
    <definedName name="PCG_SUp5_2">_xlfn.ANCHORARRAY(PCAGrid!$HJ$205)</definedName>
    <definedName name="PCG_SUp5_3">_xlfn.ANCHORARRAY(PCAGrid!$HL$205)</definedName>
    <definedName name="PCG_SUp5_4">_xlfn.ANCHORARRAY(PCAGrid!$HN$205)</definedName>
    <definedName name="PCG_SUp5_5">_xlfn.ANCHORARRAY(PCAGrid!$HP$205)</definedName>
    <definedName name="PCG_SUp6_1">_xlfn.ANCHORARRAY(PCAGrid!$HH$255)</definedName>
    <definedName name="PCG_SUp6_2">_xlfn.ANCHORARRAY(PCAGrid!$HJ$255)</definedName>
    <definedName name="PCG_SUp6_3">_xlfn.ANCHORARRAY(PCAGrid!$HL$255)</definedName>
    <definedName name="PCG_SUp6_4">_xlfn.ANCHORARRAY(PCAGrid!$HN$255)</definedName>
    <definedName name="PCG_SUp6_5">_xlfn.ANCHORARRAY(PCAGrid!$HP$255)</definedName>
    <definedName name="PCG_SUp7_1">_xlfn.ANCHORARRAY(PCAGrid!$HH$305)</definedName>
    <definedName name="PCG_SUp7_2">_xlfn.ANCHORARRAY(PCAGrid!$HJ$305)</definedName>
    <definedName name="PCG_SUp7_3">_xlfn.ANCHORARRAY(PCAGrid!$HL$305)</definedName>
    <definedName name="PCG_SUp7_4">_xlfn.ANCHORARRAY(PCAGrid!$HN$305)</definedName>
    <definedName name="PCG_SUp7_5">_xlfn.ANCHORARRAY(PCAGrid!$HP$305)</definedName>
    <definedName name="PCG_SUp8_1">_xlfn.ANCHORARRAY(PCAGrid!$HH$355)</definedName>
    <definedName name="PCG_SUp8_2">_xlfn.ANCHORARRAY(PCAGrid!$HJ$355)</definedName>
    <definedName name="PCG_SUp8_3">_xlfn.ANCHORARRAY(PCAGrid!$HL$355)</definedName>
    <definedName name="PCG_SUp8_4">_xlfn.ANCHORARRAY(PCAGrid!$HN$355)</definedName>
    <definedName name="PCG_SUp8_5">_xlfn.ANCHORARRAY(PCAGrid!$HP$355)</definedName>
    <definedName name="PCG_SUp9_1">_xlfn.ANCHORARRAY(PCAGrid!$HH$405)</definedName>
    <definedName name="PCG_SUp9_2">_xlfn.ANCHORARRAY(PCAGrid!$HJ$405)</definedName>
    <definedName name="PCG_SUp9_3">_xlfn.ANCHORARRAY(PCAGrid!$HL$405)</definedName>
    <definedName name="PCG_SUp9_4">_xlfn.ANCHORARRAY(PCAGrid!$HN$405)</definedName>
    <definedName name="PCG_SUp9_5">_xlfn.ANCHORARRAY(PCAGrid!$HP$405)</definedName>
    <definedName name="PCG_Tenor">_xlfn.ANCHORARRAY(PCAGrid!$CB$4)</definedName>
    <definedName name="PCG_Up1">_xlfn.ANCHORARRAY(PCAGrid!$HF$5)</definedName>
    <definedName name="PCG_Up10">_xlfn.ANCHORARRAY(PCAGrid!$HF$455)</definedName>
    <definedName name="PCG_Up2">_xlfn.ANCHORARRAY(PCAGrid!$HF$55)</definedName>
    <definedName name="PCG_Up3">_xlfn.ANCHORARRAY(PCAGrid!$HF$105)</definedName>
    <definedName name="PCG_Up4">_xlfn.ANCHORARRAY(PCAGrid!$HF$155)</definedName>
    <definedName name="PCG_Up5">_xlfn.ANCHORARRAY(PCAGrid!$HF$205)</definedName>
    <definedName name="PCG_Up6">_xlfn.ANCHORARRAY(PCAGrid!$HF$255)</definedName>
    <definedName name="PCG_Up7">_xlfn.ANCHORARRAY(PCAGrid!$HF$305)</definedName>
    <definedName name="PCG_Up8">_xlfn.ANCHORARRAY(PCAGrid!$HF$355)</definedName>
    <definedName name="PCG_Up9">_xlfn.ANCHORARRAY(PCAGrid!$HF$405)</definedName>
    <definedName name="PCG_V1_1">_xlfn.ANCHORARRAY(PCAGrid!$GX$5)</definedName>
    <definedName name="PCG_V1_2">_xlfn.ANCHORARRAY(PCAGrid!$GY$5)</definedName>
    <definedName name="PCG_V1_3">_xlfn.ANCHORARRAY(PCAGrid!$GZ$5)</definedName>
    <definedName name="PCG_V1_4">_xlfn.ANCHORARRAY(PCAGrid!$HA$5)</definedName>
    <definedName name="PCG_V1_5">_xlfn.ANCHORARRAY(PCAGrid!$HB$5)</definedName>
    <definedName name="PCG_V10_1">_xlfn.ANCHORARRAY(PCAGrid!$GX$455)</definedName>
    <definedName name="PCG_V10_2">_xlfn.ANCHORARRAY(PCAGrid!$GY$455)</definedName>
    <definedName name="PCG_V10_3">_xlfn.ANCHORARRAY(PCAGrid!$GZ$455)</definedName>
    <definedName name="PCG_V10_4">_xlfn.ANCHORARRAY(PCAGrid!$HA$455)</definedName>
    <definedName name="PCG_V10_5">_xlfn.ANCHORARRAY(PCAGrid!$HB$455)</definedName>
    <definedName name="PCG_V2_1">_xlfn.ANCHORARRAY(PCAGrid!$GX$55)</definedName>
    <definedName name="PCG_V2_2">_xlfn.ANCHORARRAY(PCAGrid!$GY$55)</definedName>
    <definedName name="PCG_V2_3">_xlfn.ANCHORARRAY(PCAGrid!$GZ$55)</definedName>
    <definedName name="PCG_V2_4">_xlfn.ANCHORARRAY(PCAGrid!$HA$55)</definedName>
    <definedName name="PCG_V2_5">_xlfn.ANCHORARRAY(PCAGrid!$HB$55)</definedName>
    <definedName name="PCG_V3_1">_xlfn.ANCHORARRAY(PCAGrid!$GX$105)</definedName>
    <definedName name="PCG_V3_2">_xlfn.ANCHORARRAY(PCAGrid!$GY$105)</definedName>
    <definedName name="PCG_V3_3">_xlfn.ANCHORARRAY(PCAGrid!$GZ$105)</definedName>
    <definedName name="PCG_V3_4">_xlfn.ANCHORARRAY(PCAGrid!$HA$105)</definedName>
    <definedName name="PCG_V3_5">_xlfn.ANCHORARRAY(PCAGrid!$HB$105)</definedName>
    <definedName name="PCG_V4_1">_xlfn.ANCHORARRAY(PCAGrid!$GX$155)</definedName>
    <definedName name="PCG_V4_2">_xlfn.ANCHORARRAY(PCAGrid!$GY$155)</definedName>
    <definedName name="PCG_V4_3">_xlfn.ANCHORARRAY(PCAGrid!$GZ$155)</definedName>
    <definedName name="PCG_V4_4">_xlfn.ANCHORARRAY(PCAGrid!$HA$155)</definedName>
    <definedName name="PCG_V4_5">_xlfn.ANCHORARRAY(PCAGrid!$HB$155)</definedName>
    <definedName name="PCG_V5_1">_xlfn.ANCHORARRAY(PCAGrid!$GX$205)</definedName>
    <definedName name="PCG_V5_2">_xlfn.ANCHORARRAY(PCAGrid!$GY$205)</definedName>
    <definedName name="PCG_V5_3">_xlfn.ANCHORARRAY(PCAGrid!$GZ$205)</definedName>
    <definedName name="PCG_V5_4">_xlfn.ANCHORARRAY(PCAGrid!$HA$205)</definedName>
    <definedName name="PCG_V5_5">_xlfn.ANCHORARRAY(PCAGrid!$HB$205)</definedName>
    <definedName name="PCG_V6_1">_xlfn.ANCHORARRAY(PCAGrid!$GX$255)</definedName>
    <definedName name="PCG_V6_2">_xlfn.ANCHORARRAY(PCAGrid!$GY$255)</definedName>
    <definedName name="PCG_V6_3">_xlfn.ANCHORARRAY(PCAGrid!$GZ$255)</definedName>
    <definedName name="PCG_V6_4">_xlfn.ANCHORARRAY(PCAGrid!$HA$255)</definedName>
    <definedName name="PCG_V6_5">_xlfn.ANCHORARRAY(PCAGrid!$HB$255)</definedName>
    <definedName name="PCG_V7_1">_xlfn.ANCHORARRAY(PCAGrid!$GX$305)</definedName>
    <definedName name="PCG_V7_2">_xlfn.ANCHORARRAY(PCAGrid!$GY$305)</definedName>
    <definedName name="PCG_V7_3">_xlfn.ANCHORARRAY(PCAGrid!$GZ$305)</definedName>
    <definedName name="PCG_V7_4">_xlfn.ANCHORARRAY(PCAGrid!$HA$305)</definedName>
    <definedName name="PCG_V7_5">_xlfn.ANCHORARRAY(PCAGrid!$HB$305)</definedName>
    <definedName name="PCG_V8_1">_xlfn.ANCHORARRAY(PCAGrid!$GX$355)</definedName>
    <definedName name="PCG_V8_2">_xlfn.ANCHORARRAY(PCAGrid!$GY$355)</definedName>
    <definedName name="PCG_V8_3">_xlfn.ANCHORARRAY(PCAGrid!$GZ$355)</definedName>
    <definedName name="PCG_V8_4">_xlfn.ANCHORARRAY(PCAGrid!$HA$355)</definedName>
    <definedName name="PCG_V8_5">_xlfn.ANCHORARRAY(PCAGrid!$HB$355)</definedName>
    <definedName name="PCG_V9_1">_xlfn.ANCHORARRAY(PCAGrid!$GX$405)</definedName>
    <definedName name="PCG_V9_2">_xlfn.ANCHORARRAY(PCAGrid!$GY$405)</definedName>
    <definedName name="PCG_V9_3">_xlfn.ANCHORARRAY(PCAGrid!$GZ$405)</definedName>
    <definedName name="PCG_V9_4">_xlfn.ANCHORARRAY(PCAGrid!$HA$405)</definedName>
    <definedName name="PCG_V9_5">_xlfn.ANCHORARRAY(PCAGrid!$HB$405)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OL_BaseDate">VolPCA!$B$4</definedName>
    <definedName name="VOL_Expiries">_xlfn.ANCHORARRAY(VolPCA!$JD$4)</definedName>
    <definedName name="VOL_k">VolPCA!$B$11</definedName>
    <definedName name="VOL_Labels">_xlfn.ANCHORARRAY(VolPCA!$JG$4)</definedName>
    <definedName name="VOL_Mode">VolPCA!$B$6</definedName>
    <definedName name="VOL_Standardize">VolPCA!$B$7</definedName>
    <definedName name="VOL_TargetDate">VolPCA!$B$10</definedName>
    <definedName name="VOL_Tenors">_xlfn.ANCHORARRAY(VolPCA!$JE$4)</definedName>
    <definedName name="VOL_window">VolPCA!$B$5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SpotForward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caGridResidStd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ResidStd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2" i="9" l="1" a="1"/>
  <c r="HS4" i="14" a="1"/>
  <c r="CE4" i="6" a="1"/>
  <c r="CF4" i="6" s="1" a="1"/>
  <c r="HE454" i="14"/>
  <c r="HE404" i="14"/>
  <c r="HE354" i="14"/>
  <c r="HE304" i="14"/>
  <c r="HE254" i="14"/>
  <c r="HE204" i="14"/>
  <c r="HE154" i="14"/>
  <c r="HE104" i="14"/>
  <c r="HE54" i="14"/>
  <c r="HE4" i="14"/>
  <c r="AK60" i="9" a="1"/>
  <c r="V60" i="9" a="1"/>
  <c r="G60" i="9" a="1"/>
  <c r="AN12" i="9" a="1"/>
  <c r="BM5" i="9" a="1"/>
  <c r="CD4" i="14" a="1"/>
  <c r="D1" i="14" s="1" a="1"/>
  <c r="CB4" i="14" a="1"/>
  <c r="D34" i="11"/>
  <c r="B34" i="11" a="1"/>
  <c r="D33" i="11"/>
  <c r="B33" i="11" a="1"/>
  <c r="D32" i="11"/>
  <c r="B32" i="11" a="1"/>
  <c r="D31" i="11"/>
  <c r="B31" i="11" a="1"/>
  <c r="D30" i="11"/>
  <c r="B30" i="11" a="1"/>
  <c r="D29" i="11"/>
  <c r="B29" i="11" a="1"/>
  <c r="D28" i="11"/>
  <c r="B28" i="11" a="1"/>
  <c r="D27" i="11"/>
  <c r="B27" i="11" a="1"/>
  <c r="D26" i="11"/>
  <c r="B26" i="11" a="1"/>
  <c r="D25" i="11"/>
  <c r="B25" i="11" a="1"/>
  <c r="D24" i="11"/>
  <c r="B24" i="11" a="1"/>
  <c r="D23" i="11"/>
  <c r="B23" i="11" a="1"/>
  <c r="D22" i="11"/>
  <c r="B22" i="11" a="1"/>
  <c r="H17" i="11"/>
  <c r="G17" i="11"/>
  <c r="E17" i="11" a="1"/>
  <c r="D17" i="11"/>
  <c r="C17" i="11" a="1"/>
  <c r="B17" i="11" a="1"/>
  <c r="H16" i="11"/>
  <c r="G16" i="11"/>
  <c r="E16" i="11" a="1"/>
  <c r="D16" i="11"/>
  <c r="C16" i="11" a="1"/>
  <c r="B16" i="11" a="1"/>
  <c r="H15" i="11"/>
  <c r="G15" i="11"/>
  <c r="E15" i="11" a="1"/>
  <c r="D15" i="11"/>
  <c r="C15" i="11" a="1"/>
  <c r="B15" i="11" a="1"/>
  <c r="H14" i="11"/>
  <c r="G14" i="11"/>
  <c r="E14" i="11" a="1"/>
  <c r="D14" i="11"/>
  <c r="C14" i="11" a="1"/>
  <c r="B14" i="11" a="1"/>
  <c r="H13" i="11"/>
  <c r="G13" i="11"/>
  <c r="E13" i="11" a="1"/>
  <c r="D13" i="11"/>
  <c r="C13" i="11" a="1"/>
  <c r="B13" i="11" a="1"/>
  <c r="H12" i="11"/>
  <c r="G12" i="11"/>
  <c r="E12" i="11" a="1"/>
  <c r="D12" i="11"/>
  <c r="C12" i="11" a="1"/>
  <c r="B12" i="11" a="1"/>
  <c r="H11" i="11"/>
  <c r="G11" i="11"/>
  <c r="E11" i="11" a="1"/>
  <c r="D11" i="11"/>
  <c r="C11" i="11" a="1"/>
  <c r="B11" i="11" a="1"/>
  <c r="H10" i="11"/>
  <c r="G10" i="11"/>
  <c r="E10" i="11" a="1"/>
  <c r="D10" i="11"/>
  <c r="C10" i="11" a="1"/>
  <c r="B10" i="11" a="1"/>
  <c r="H9" i="11"/>
  <c r="G9" i="11"/>
  <c r="E9" i="11" a="1"/>
  <c r="D9" i="11"/>
  <c r="C9" i="11" a="1"/>
  <c r="B9" i="11" a="1"/>
  <c r="H8" i="11"/>
  <c r="G8" i="11"/>
  <c r="E8" i="11" a="1"/>
  <c r="D8" i="11"/>
  <c r="C8" i="11" a="1"/>
  <c r="B8" i="11" a="1"/>
  <c r="C22" i="11" a="1"/>
  <c r="F8" i="11" a="1"/>
  <c r="P3" i="11" a="1"/>
  <c r="K3" i="11" a="1"/>
  <c r="B3" i="11" a="1"/>
  <c r="D1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s="1" a="1"/>
  <c r="JE4" i="9" a="1"/>
  <c r="JD4" i="9" a="1"/>
  <c r="AB4" i="6" a="1"/>
  <c r="JG4" i="9" a="1"/>
  <c r="V35" i="9" a="1"/>
  <c r="G35" i="9" a="1"/>
  <c r="HR455" i="14" l="1" a="1"/>
  <c r="HP455" i="14" a="1"/>
  <c r="HN455" i="14" a="1"/>
  <c r="HL455" i="14" a="1"/>
  <c r="HJ455" i="14" a="1"/>
  <c r="HH455" i="14" a="1"/>
  <c r="HR405" i="14" a="1"/>
  <c r="HP405" i="14" a="1"/>
  <c r="HN405" i="14" a="1"/>
  <c r="HL405" i="14" a="1"/>
  <c r="HJ405" i="14" a="1"/>
  <c r="HH405" i="14" a="1"/>
  <c r="HR355" i="14" a="1"/>
  <c r="HP355" i="14" a="1"/>
  <c r="HN355" i="14" a="1"/>
  <c r="HL355" i="14" a="1"/>
  <c r="HJ355" i="14" a="1"/>
  <c r="HH355" i="14" a="1"/>
  <c r="HR305" i="14" a="1"/>
  <c r="HP305" i="14" a="1"/>
  <c r="HN305" i="14" a="1"/>
  <c r="HL305" i="14" a="1"/>
  <c r="HJ305" i="14" a="1"/>
  <c r="HH305" i="14" a="1"/>
  <c r="HR255" i="14" a="1"/>
  <c r="HL5" i="14" a="1"/>
  <c r="HH5" i="14" a="1"/>
  <c r="HP255" i="14" a="1"/>
  <c r="HN255" i="14" a="1"/>
  <c r="HL255" i="14" a="1"/>
  <c r="HJ255" i="14" a="1"/>
  <c r="HH255" i="14" a="1"/>
  <c r="HR205" i="14" a="1"/>
  <c r="HP205" i="14" a="1"/>
  <c r="HN205" i="14" a="1"/>
  <c r="HL205" i="14" a="1"/>
  <c r="HJ205" i="14" a="1"/>
  <c r="HH205" i="14" a="1"/>
  <c r="HR155" i="14" a="1"/>
  <c r="HP155" i="14" a="1"/>
  <c r="HN155" i="14" a="1"/>
  <c r="HL155" i="14" a="1"/>
  <c r="HJ155" i="14" a="1"/>
  <c r="HH155" i="14" a="1"/>
  <c r="HR105" i="14" a="1"/>
  <c r="HP105" i="14" a="1"/>
  <c r="HN105" i="14" a="1"/>
  <c r="HL105" i="14" a="1"/>
  <c r="HJ105" i="14" a="1"/>
  <c r="HH105" i="14" a="1"/>
  <c r="HR55" i="14" a="1"/>
  <c r="HP55" i="14" a="1"/>
  <c r="HN55" i="14" a="1"/>
  <c r="HL55" i="14" a="1"/>
  <c r="HJ55" i="14" a="1"/>
  <c r="HH55" i="14" a="1"/>
  <c r="HR5" i="14" a="1"/>
  <c r="HP5" i="14" a="1"/>
  <c r="HN5" i="14" a="1"/>
  <c r="HJ5" i="14" a="1"/>
  <c r="CO4" i="14" a="1"/>
  <c r="CL4" i="14" a="1"/>
  <c r="CI4" i="14" a="1"/>
  <c r="CJ4" i="14" a="1"/>
  <c r="H4" i="6" a="1"/>
  <c r="F34" i="6" a="1"/>
  <c r="AC4" i="6" a="1"/>
  <c r="Z17" i="6" a="1"/>
  <c r="E4" i="6" a="1"/>
  <c r="BJ5" i="9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AJ60" i="9" a="1"/>
  <c r="F36" i="9" a="1"/>
  <c r="U60" i="9" a="1"/>
  <c r="U12" i="9" a="1"/>
  <c r="U36" i="9" a="1"/>
  <c r="AK59" i="9" a="1"/>
  <c r="F60" i="9" a="1"/>
  <c r="F12" i="9" a="1"/>
  <c r="V59" i="9" a="1"/>
  <c r="G59" i="9" a="1"/>
  <c r="G11" i="9" a="1"/>
  <c r="V11" i="9" a="1"/>
  <c r="BF17" i="9" a="1"/>
  <c r="BP4" i="9" a="1"/>
  <c r="F4" i="9" a="1"/>
  <c r="HK405" i="14" l="1" a="1"/>
  <c r="HM155" i="14" a="1"/>
  <c r="HK155" i="14" a="1"/>
  <c r="HI155" i="14" a="1"/>
  <c r="HQ105" i="14" a="1"/>
  <c r="HO105" i="14" a="1"/>
  <c r="HM105" i="14" a="1"/>
  <c r="HK105" i="14" a="1"/>
  <c r="HI105" i="14" a="1"/>
  <c r="HK5" i="14" a="1"/>
  <c r="HO455" i="14" a="1"/>
  <c r="HK455" i="14" a="1"/>
  <c r="HQ405" i="14" a="1"/>
  <c r="HQ355" i="14" a="1"/>
  <c r="HK355" i="14" a="1"/>
  <c r="HQ305" i="14" a="1"/>
  <c r="HK305" i="14" a="1"/>
  <c r="HM5" i="14" a="1"/>
  <c r="HO255" i="14" a="1"/>
  <c r="HI255" i="14" a="1"/>
  <c r="HM205" i="14" a="1"/>
  <c r="HO155" i="14" a="1"/>
  <c r="HQ55" i="14" a="1"/>
  <c r="HO55" i="14" a="1"/>
  <c r="HM55" i="14" a="1"/>
  <c r="HK55" i="14" a="1"/>
  <c r="HI55" i="14" a="1"/>
  <c r="HQ5" i="14" a="1"/>
  <c r="HO5" i="14" a="1"/>
  <c r="HM455" i="14" a="1"/>
  <c r="HM405" i="14" a="1"/>
  <c r="HO355" i="14" a="1"/>
  <c r="HI355" i="14" a="1"/>
  <c r="HM305" i="14" a="1"/>
  <c r="HI5" i="14" a="1"/>
  <c r="HM255" i="14" a="1"/>
  <c r="HO205" i="14" a="1"/>
  <c r="HI205" i="14" a="1"/>
  <c r="HQ455" i="14" a="1"/>
  <c r="HI455" i="14" a="1"/>
  <c r="HO405" i="14" a="1"/>
  <c r="HI405" i="14" a="1"/>
  <c r="HM355" i="14" a="1"/>
  <c r="HO305" i="14" a="1"/>
  <c r="HI305" i="14" a="1"/>
  <c r="HQ255" i="14" a="1"/>
  <c r="HK255" i="14" a="1"/>
  <c r="HQ205" i="14" a="1"/>
  <c r="HK205" i="14" a="1"/>
  <c r="HQ155" i="14" a="1"/>
  <c r="BX4" i="6" a="1"/>
  <c r="V34" i="6" a="1"/>
  <c r="T34" i="6" a="1"/>
  <c r="X34" i="6" a="1"/>
  <c r="W34" i="6" a="1"/>
  <c r="BY4" i="6" a="1"/>
  <c r="U34" i="6" a="1"/>
  <c r="EQ4" i="14" a="1"/>
  <c r="EQ404" i="14" a="1"/>
  <c r="EQ454" i="14" a="1"/>
  <c r="EQ54" i="14" a="1"/>
  <c r="EQ204" i="14" a="1"/>
  <c r="EQ254" i="14" a="1"/>
  <c r="EQ104" i="14" a="1"/>
  <c r="EQ154" i="14" a="1"/>
  <c r="EQ304" i="14" a="1"/>
  <c r="EQ354" i="14" a="1"/>
  <c r="GQ5" i="14" a="1"/>
  <c r="GQ55" i="14" a="1"/>
  <c r="GQ405" i="14" a="1"/>
  <c r="GQ205" i="14" a="1"/>
  <c r="GQ255" i="14" a="1"/>
  <c r="GQ155" i="14" a="1"/>
  <c r="GQ305" i="14" a="1"/>
  <c r="GQ355" i="14" a="1"/>
  <c r="GQ105" i="14" a="1"/>
  <c r="GQ455" i="14" a="1"/>
  <c r="E34" i="6" a="1"/>
  <c r="S34" i="6" s="1" a="1"/>
  <c r="G34" i="6" a="1"/>
  <c r="M34" i="6" a="1"/>
  <c r="L34" i="6" a="1"/>
  <c r="Q34" i="6" s="1" a="1"/>
  <c r="AW4" i="10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BL5" i="9" a="1"/>
  <c r="BK5" i="9" a="1"/>
  <c r="BI5" i="9" a="1"/>
  <c r="AJ12" i="9" a="1"/>
  <c r="AK12" i="9" a="1"/>
  <c r="H34" i="6" l="1" a="1"/>
  <c r="P34" i="6" a="1"/>
  <c r="HF5" i="14" a="1"/>
  <c r="GZ5" i="14" a="1"/>
  <c r="HB5" i="14" a="1"/>
  <c r="E9" i="14"/>
  <c r="GY5" i="14" a="1"/>
  <c r="HA5" i="14" a="1"/>
  <c r="GU5" i="14" a="1"/>
  <c r="GX5" i="14" a="1"/>
  <c r="GS5" i="14" a="1"/>
  <c r="HD5" i="14" a="1"/>
  <c r="HE5" i="14" a="1"/>
  <c r="HG5" i="14" a="1"/>
  <c r="GR5" i="14" a="1"/>
  <c r="GT5" i="14" a="1"/>
  <c r="GV5" i="14" a="1"/>
  <c r="BI9" i="14"/>
  <c r="HG405" i="14" a="1"/>
  <c r="HF405" i="14" a="1"/>
  <c r="HE405" i="14" a="1"/>
  <c r="HD405" i="14" a="1"/>
  <c r="GS405" i="14" a="1"/>
  <c r="GV405" i="14" a="1"/>
  <c r="GX405" i="14" a="1"/>
  <c r="HB405" i="14" a="1"/>
  <c r="HA405" i="14" a="1"/>
  <c r="GZ405" i="14" a="1"/>
  <c r="GY405" i="14" a="1"/>
  <c r="GU405" i="14" a="1"/>
  <c r="GT405" i="14" a="1"/>
  <c r="GR405" i="14" a="1"/>
  <c r="GR455" i="14" a="1"/>
  <c r="HA455" i="14" a="1"/>
  <c r="GY455" i="14" a="1"/>
  <c r="HG455" i="14" a="1"/>
  <c r="HF455" i="14" a="1"/>
  <c r="HE455" i="14" a="1"/>
  <c r="HD455" i="14" a="1"/>
  <c r="GV455" i="14" a="1"/>
  <c r="GS455" i="14" a="1"/>
  <c r="GU455" i="14" a="1"/>
  <c r="HB455" i="14" a="1"/>
  <c r="GZ455" i="14" a="1"/>
  <c r="BP9" i="14"/>
  <c r="GX455" i="14" a="1"/>
  <c r="GT455" i="14" a="1"/>
  <c r="HA55" i="14" a="1"/>
  <c r="GY55" i="14" a="1"/>
  <c r="GR55" i="14" a="1"/>
  <c r="GU55" i="14" a="1"/>
  <c r="GV55" i="14" a="1"/>
  <c r="L9" i="14"/>
  <c r="HE55" i="14" a="1"/>
  <c r="HB55" i="14" a="1"/>
  <c r="HG55" i="14" a="1"/>
  <c r="HF55" i="14" a="1"/>
  <c r="HD55" i="14" a="1"/>
  <c r="GS55" i="14" a="1"/>
  <c r="GT55" i="14" a="1"/>
  <c r="GX55" i="14" a="1"/>
  <c r="GZ55" i="14" a="1"/>
  <c r="GU205" i="14" a="1"/>
  <c r="GZ205" i="14" a="1"/>
  <c r="HA205" i="14" a="1"/>
  <c r="GX205" i="14" a="1"/>
  <c r="HB205" i="14" a="1"/>
  <c r="GT205" i="14" a="1"/>
  <c r="GY205" i="14" a="1"/>
  <c r="GS205" i="14" a="1"/>
  <c r="GV205" i="14" a="1"/>
  <c r="HG205" i="14" a="1"/>
  <c r="HE205" i="14" a="1"/>
  <c r="HD205" i="14" a="1"/>
  <c r="AG9" i="14"/>
  <c r="HF205" i="14" a="1"/>
  <c r="GR205" i="14" a="1"/>
  <c r="HD255" i="14" a="1"/>
  <c r="GS255" i="14" a="1"/>
  <c r="AN9" i="14"/>
  <c r="GR255" i="14" a="1"/>
  <c r="GV255" i="14" a="1"/>
  <c r="GY255" i="14" a="1"/>
  <c r="GZ255" i="14" a="1"/>
  <c r="GU255" i="14" a="1"/>
  <c r="HA255" i="14" a="1"/>
  <c r="GT255" i="14" a="1"/>
  <c r="HG255" i="14" a="1"/>
  <c r="HF255" i="14" a="1"/>
  <c r="HE255" i="14" a="1"/>
  <c r="HB255" i="14" a="1"/>
  <c r="GX255" i="14" a="1"/>
  <c r="HG105" i="14" a="1"/>
  <c r="GU105" i="14" a="1"/>
  <c r="GT105" i="14" a="1"/>
  <c r="HF105" i="14" a="1"/>
  <c r="HD105" i="14" a="1"/>
  <c r="GS105" i="14" a="1"/>
  <c r="GR105" i="14" a="1"/>
  <c r="HE105" i="14" a="1"/>
  <c r="GY105" i="14" a="1"/>
  <c r="GX105" i="14" a="1"/>
  <c r="HA105" i="14" a="1"/>
  <c r="HB105" i="14" a="1"/>
  <c r="S9" i="14"/>
  <c r="GZ105" i="14" a="1"/>
  <c r="GV105" i="14" a="1"/>
  <c r="GZ155" i="14" a="1"/>
  <c r="GR155" i="14" a="1"/>
  <c r="HA155" i="14" a="1"/>
  <c r="GU155" i="14" a="1"/>
  <c r="HB155" i="14" a="1"/>
  <c r="HG155" i="14" a="1"/>
  <c r="HF155" i="14" a="1"/>
  <c r="HD155" i="14" a="1"/>
  <c r="GV155" i="14" a="1"/>
  <c r="Z9" i="14"/>
  <c r="GY155" i="14" a="1"/>
  <c r="GS155" i="14" a="1"/>
  <c r="GX155" i="14" a="1"/>
  <c r="GT155" i="14" a="1"/>
  <c r="HE155" i="14" a="1"/>
  <c r="GU305" i="14" a="1"/>
  <c r="GZ305" i="14" a="1"/>
  <c r="GY305" i="14" a="1"/>
  <c r="GX305" i="14" a="1"/>
  <c r="GS305" i="14" a="1"/>
  <c r="GR305" i="14" a="1"/>
  <c r="GT305" i="14" a="1"/>
  <c r="HA305" i="14" a="1"/>
  <c r="HG305" i="14" a="1"/>
  <c r="HE305" i="14" a="1"/>
  <c r="GV305" i="14" a="1"/>
  <c r="AU9" i="14"/>
  <c r="HF305" i="14" a="1"/>
  <c r="HD305" i="14" a="1"/>
  <c r="HB305" i="14" a="1"/>
  <c r="HF355" i="14" a="1"/>
  <c r="BB9" i="14"/>
  <c r="GX355" i="14" a="1"/>
  <c r="GR355" i="14" a="1"/>
  <c r="HG355" i="14" a="1"/>
  <c r="GU355" i="14" a="1"/>
  <c r="GZ355" i="14" a="1"/>
  <c r="HB355" i="14" a="1"/>
  <c r="GT355" i="14" a="1"/>
  <c r="GV355" i="14" a="1"/>
  <c r="GY355" i="14" a="1"/>
  <c r="HA355" i="14" a="1"/>
  <c r="HD355" i="14" a="1"/>
  <c r="HE355" i="14" a="1"/>
  <c r="GS355" i="14" a="1"/>
  <c r="E8" i="14"/>
  <c r="BI8" i="14"/>
  <c r="BP8" i="14"/>
  <c r="L8" i="14"/>
  <c r="AG8" i="14"/>
  <c r="AN8" i="14"/>
  <c r="S8" i="14"/>
  <c r="Z8" i="14"/>
  <c r="AU8" i="14"/>
  <c r="BB8" i="14"/>
  <c r="N34" i="6" a="1"/>
  <c r="I34" i="6" a="1"/>
  <c r="J34" i="6" a="1"/>
  <c r="BH4" i="10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V12" i="9" a="1"/>
  <c r="AL12" i="9" s="1" a="1"/>
  <c r="AM12" i="9" s="1" a="1"/>
  <c r="V36" i="9" a="1"/>
  <c r="GS4" i="14" l="1" a="1"/>
  <c r="GV4" i="14" a="1"/>
  <c r="GT4" i="14" a="1"/>
  <c r="GR4" i="14" a="1"/>
  <c r="GR404" i="14" a="1"/>
  <c r="GT404" i="14" a="1"/>
  <c r="GR454" i="14" a="1"/>
  <c r="GT454" i="14" a="1"/>
  <c r="GU404" i="14" a="1"/>
  <c r="GU454" i="14" a="1"/>
  <c r="GS204" i="14" a="1"/>
  <c r="GV54" i="14" a="1"/>
  <c r="GR54" i="14" a="1"/>
  <c r="GS54" i="14" a="1"/>
  <c r="GR204" i="14" a="1"/>
  <c r="GT154" i="14" a="1"/>
  <c r="GU204" i="14" a="1"/>
  <c r="GV204" i="14" a="1"/>
  <c r="GR254" i="14" a="1"/>
  <c r="GS254" i="14" a="1"/>
  <c r="GT254" i="14" a="1"/>
  <c r="GU254" i="14" a="1"/>
  <c r="GV254" i="14" a="1"/>
  <c r="GS104" i="14" a="1"/>
  <c r="GT104" i="14" a="1"/>
  <c r="GV104" i="14" a="1"/>
  <c r="GR104" i="14" a="1"/>
  <c r="GR154" i="14" a="1"/>
  <c r="GS154" i="14" a="1"/>
  <c r="GU154" i="14" a="1"/>
  <c r="GV154" i="14" a="1"/>
  <c r="GR304" i="14" a="1"/>
  <c r="GS304" i="14" a="1"/>
  <c r="GT304" i="14" a="1"/>
  <c r="GU304" i="14" a="1"/>
  <c r="GV304" i="14" a="1"/>
  <c r="GR354" i="14" a="1"/>
  <c r="GS354" i="14" a="1"/>
  <c r="GT354" i="14" a="1"/>
  <c r="GU354" i="14" a="1"/>
  <c r="GV354" i="14" a="1"/>
  <c r="GT54" i="14" a="1"/>
  <c r="GT204" i="14" a="1"/>
  <c r="GU4" i="14" a="1"/>
  <c r="GS404" i="14" a="1"/>
  <c r="GV404" i="14" a="1"/>
  <c r="GS454" i="14" a="1"/>
  <c r="GV454" i="14" a="1"/>
  <c r="GU54" i="14" a="1"/>
  <c r="GU104" i="14" a="1"/>
  <c r="O34" i="6" a="1"/>
  <c r="BN5" i="9" a="1"/>
  <c r="G12" i="9" s="1" a="1"/>
  <c r="G36" i="9" a="1"/>
  <c r="J11" i="10"/>
  <c r="J13" i="10"/>
  <c r="BK4" i="10" a="1"/>
  <c r="J15" i="10" a="1"/>
  <c r="BJ4" i="10" a="1"/>
  <c r="J14" i="10" l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<sst xmlns="http://schemas.openxmlformats.org/spreadsheetml/2006/main" count="769" uniqueCount="253">
  <si>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</si>
  <si>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</si>
  <si>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</si>
  <si>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</si>
  <si>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</si>
  <si>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</si>
  <si>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</si>
  <si>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</si>
  <si>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</si>
  <si>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</si>
  <si>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</si>
  <si>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</si>
  <si>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</si>
  <si>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</si>
  <si>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</si>
  <si>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</si>
  <si>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</si>
  <si>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</si>
  <si>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</si>
  <si>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</si>
  <si>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</si>
  <si>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</si>
  <si>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</si>
  <si>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</si>
  <si>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</si>
  <si>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</si>
  <si>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</si>
  <si>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</si>
  <si>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</si>
  <si>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</si>
  <si>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</si>
  <si>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</si>
  <si>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</si>
  <si>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</si>
  <si>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</si>
  <si>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</si>
  <si>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</si>
  <si>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</si>
  <si>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</si>
  <si>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</si>
  <si>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</si>
  <si>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12M</t>
  </si>
  <si>
    <t>○</t>
  </si>
  <si>
    <t>×</t>
  </si>
  <si>
    <t>PC1</t>
  </si>
  <si>
    <t>PC2</t>
  </si>
  <si>
    <t>PC3</t>
  </si>
  <si>
    <t>PC4</t>
  </si>
  <si>
    <t>PC5</t>
  </si>
  <si>
    <t>1Y</t>
  </si>
  <si>
    <t>2Y</t>
  </si>
  <si>
    <t>3Y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</si>
  <si>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</si>
  <si>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</si>
  <si>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</si>
  <si>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</si>
  <si>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</si>
  <si>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</si>
  <si>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</si>
  <si>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</si>
  <si>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</si>
  <si>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</si>
  <si>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</si>
  <si>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</si>
  <si>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</si>
  <si>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</si>
  <si>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</si>
  <si>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</si>
  <si>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</si>
  <si>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</si>
  <si>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</si>
  <si>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</si>
  <si>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</si>
  <si>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</si>
  <si>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</si>
  <si>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</si>
  <si>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</si>
  <si>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</si>
  <si>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</si>
  <si>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</si>
  <si>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</si>
  <si>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</si>
  <si>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</si>
  <si>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</si>
  <si>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</si>
  <si>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</si>
  <si>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</si>
  <si>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</si>
  <si>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</si>
  <si>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</si>
  <si>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</si>
  <si>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</si>
  <si>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</si>
  <si>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</si>
  <si>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</si>
  <si>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</si>
  <si>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</si>
  <si>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</si>
  <si>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</si>
  <si>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</si>
  <si>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</si>
  <si>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</si>
  <si>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</si>
  <si>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</si>
  <si>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</si>
  <si>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</si>
  <si>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</si>
  <si>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</si>
  <si>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</si>
  <si>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</si>
  <si>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</si>
  <si>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</si>
  <si>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</si>
  <si>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</si>
  <si>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</si>
  <si>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</si>
  <si>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</si>
  <si>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</si>
  <si>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</si>
  <si>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</si>
  <si>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</si>
  <si>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</si>
  <si>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</si>
  <si>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</si>
  <si>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</si>
  <si>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</si>
  <si>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</si>
  <si>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</si>
  <si>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</si>
  <si>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</si>
  <si>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</si>
  <si>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</si>
  <si>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</si>
  <si>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</si>
  <si>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</si>
  <si>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</si>
  <si>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</si>
  <si>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</si>
  <si>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</si>
  <si>
    <t>PCA Grid (swap): residual by k x case</t>
  </si>
  <si>
    <t>Tenors</t>
  </si>
  <si>
    <t>Use</t>
  </si>
  <si>
    <t>No</t>
  </si>
  <si>
    <t>Yes</t>
  </si>
  <si>
    <t>Case</t>
  </si>
  <si>
    <t>Base date</t>
  </si>
  <si>
    <t>Window</t>
  </si>
  <si>
    <t>Mode</t>
  </si>
  <si>
    <t>Standardize</t>
  </si>
  <si>
    <t>Est. period</t>
  </si>
  <si>
    <t>Warning</t>
  </si>
  <si>
    <t>Case 1</t>
  </si>
  <si>
    <t>Level</t>
  </si>
  <si>
    <t>Case 2</t>
  </si>
  <si>
    <t>Case 3</t>
  </si>
  <si>
    <t>Change</t>
  </si>
  <si>
    <t>Case 4</t>
  </si>
  <si>
    <t>Case 5</t>
  </si>
  <si>
    <t>Case 6</t>
  </si>
  <si>
    <t>Case 7</t>
  </si>
  <si>
    <t>Case 8</t>
  </si>
  <si>
    <t>Case 9</t>
  </si>
  <si>
    <t>Case 10</t>
  </si>
  <si>
    <t>Calculation area (UDF outputs; do not edit)</t>
  </si>
  <si>
    <t>k</t>
  </si>
  <si>
    <t>Vectors</t>
  </si>
  <si>
    <t>Actual Level</t>
  </si>
  <si>
    <t>Actual Change</t>
  </si>
  <si>
    <t>Actual info (Change)</t>
  </si>
  <si>
    <t>PcaGrid (all cases)</t>
  </si>
  <si>
    <t>Actual</t>
  </si>
  <si>
    <t>Mean+1σ</t>
  </si>
  <si>
    <t>Mean-1σ</t>
  </si>
  <si>
    <t>+1σ (bp)</t>
  </si>
  <si>
    <t>-1σ (bp)</t>
  </si>
  <si>
    <t>Mean</t>
  </si>
  <si>
    <t>+1σ</t>
  </si>
  <si>
    <t>-1σ</t>
  </si>
  <si>
    <t>Resid σ days</t>
  </si>
  <si>
    <t>PcaGridResidStd (all cases, k by band)</t>
  </si>
  <si>
    <t>+1σ (bp) band 1</t>
    <phoneticPr fontId="2"/>
  </si>
  <si>
    <t>-1σ (bp) band 1</t>
    <phoneticPr fontId="2"/>
  </si>
  <si>
    <t>+1σ (bp) band 2</t>
  </si>
  <si>
    <t>-1σ (bp) band 2</t>
  </si>
  <si>
    <t>+1σ (bp) band 3</t>
  </si>
  <si>
    <t>-1σ (bp) band 3</t>
  </si>
  <si>
    <t>+1σ (bp) band 4</t>
  </si>
  <si>
    <t>-1σ (bp) band 4</t>
  </si>
  <si>
    <t>+1σ (bp) band 5</t>
  </si>
  <si>
    <t>-1σ (bp) band 5</t>
  </si>
  <si>
    <t>σ warning</t>
  </si>
  <si>
    <t>Estimation (principal components)</t>
    <phoneticPr fontId="2"/>
  </si>
  <si>
    <t>Base date</t>
    <phoneticPr fontId="2"/>
  </si>
  <si>
    <t>Window (bdays)</t>
    <phoneticPr fontId="2"/>
  </si>
  <si>
    <t>Mode</t>
    <phoneticPr fontId="2"/>
  </si>
  <si>
    <t>Standardize</t>
    <phoneticPr fontId="2"/>
  </si>
  <si>
    <t>Comparison</t>
    <phoneticPr fontId="2"/>
  </si>
  <si>
    <t>Target date</t>
    <phoneticPr fontId="2"/>
  </si>
  <si>
    <t>k (components)</t>
    <phoneticPr fontId="2"/>
  </si>
  <si>
    <t>PCA (swap)</t>
    <phoneticPr fontId="2"/>
  </si>
  <si>
    <t>Calculation area (UDF outputs; do not edit)</t>
    <phoneticPr fontId="2"/>
  </si>
  <si>
    <t>Estimation window</t>
    <phoneticPr fontId="2"/>
  </si>
  <si>
    <t>Actual on target date</t>
    <phoneticPr fontId="2"/>
  </si>
  <si>
    <t>Selected tenors</t>
    <phoneticPr fontId="2"/>
  </si>
  <si>
    <t>Mean (%) / Scale (σ if standardized, else 1) / Std / PC vectors</t>
    <phoneticPr fontId="2"/>
  </si>
  <si>
    <t>z = (actual − mean) / scale, score = V_kᵀz, recon = mean + scale·V_k·score, residual = actual − recon</t>
    <phoneticPr fontId="2"/>
  </si>
  <si>
    <t>In Change mode, actual / mean / recon are changes from the previous business day (%). Scores are in bp without standardization, unitless with it</t>
    <phoneticPr fontId="2"/>
  </si>
  <si>
    <t>Resid σ days</t>
    <phoneticPr fontId="2"/>
  </si>
  <si>
    <t>Tenors (○ = use in PCA; order = row order of the results)</t>
    <phoneticPr fontId="2"/>
  </si>
  <si>
    <t>Tenor</t>
    <phoneticPr fontId="2"/>
  </si>
  <si>
    <t>Use</t>
    <phoneticPr fontId="2"/>
  </si>
  <si>
    <t>Eigenvalues (bp² without standardization, unitless with it)</t>
    <phoneticPr fontId="2"/>
  </si>
  <si>
    <t>Reconstruction by tenor</t>
    <phoneticPr fontId="2"/>
  </si>
  <si>
    <t>Components</t>
    <phoneticPr fontId="2"/>
  </si>
  <si>
    <t>PC vectors (PC1-PC5)</t>
    <phoneticPr fontId="2"/>
  </si>
  <si>
    <t>Actual (%)</t>
    <phoneticPr fontId="2"/>
  </si>
  <si>
    <t>Mean (%)</t>
    <phoneticPr fontId="2"/>
  </si>
  <si>
    <t>Recon (%)</t>
    <phoneticPr fontId="2"/>
  </si>
  <si>
    <t>Residual (bp)</t>
    <phoneticPr fontId="2"/>
  </si>
  <si>
    <t>Deviation from mean (bp)</t>
    <phoneticPr fontId="2"/>
  </si>
  <si>
    <t>PC</t>
    <phoneticPr fontId="2"/>
  </si>
  <si>
    <t>Eigenvalue</t>
    <phoneticPr fontId="2"/>
  </si>
  <si>
    <t>Share</t>
    <phoneticPr fontId="2"/>
  </si>
  <si>
    <t>Cumulative</t>
    <phoneticPr fontId="2"/>
  </si>
  <si>
    <t>Score</t>
    <phoneticPr fontId="2"/>
  </si>
  <si>
    <t>Used in recon</t>
    <phoneticPr fontId="2"/>
  </si>
  <si>
    <t>Level</t>
    <phoneticPr fontId="2"/>
  </si>
  <si>
    <t>No</t>
    <phoneticPr fontId="2"/>
  </si>
  <si>
    <t>VolPCA (swaption ATM normal vol, bp)</t>
    <phoneticPr fontId="2"/>
  </si>
  <si>
    <t>Calculation area (UDF outputs and per-label calculations; do not edit)</t>
    <phoneticPr fontId="2"/>
  </si>
  <si>
    <t>By label (bp)</t>
    <phoneticPr fontId="2"/>
  </si>
  <si>
    <t>Mean (bp) / Scale / Std / PC vectors</t>
    <phoneticPr fontId="2"/>
  </si>
  <si>
    <t>Selected expiries</t>
    <phoneticPr fontId="2"/>
  </si>
  <si>
    <t>Labels</t>
    <phoneticPr fontId="2"/>
  </si>
  <si>
    <t>z = (actual − mean) / scale, score = V_kᵀz, recon = mean + scale·V_k·score, residual = actual − recon (bp)</t>
    <phoneticPr fontId="2"/>
  </si>
  <si>
    <t>In Change mode, actual and recon are changes from the previous business day (bp)</t>
    <phoneticPr fontId="2"/>
  </si>
  <si>
    <t>Label</t>
    <phoneticPr fontId="2"/>
  </si>
  <si>
    <t>Actual</t>
    <phoneticPr fontId="2"/>
  </si>
  <si>
    <t>Mean</t>
    <phoneticPr fontId="2"/>
  </si>
  <si>
    <t>Scale</t>
    <phoneticPr fontId="2"/>
  </si>
  <si>
    <t>Recon</t>
    <phoneticPr fontId="2"/>
  </si>
  <si>
    <t>Residual</t>
    <phoneticPr fontId="2"/>
  </si>
  <si>
    <t>Residual: actual − recon (bp)</t>
    <phoneticPr fontId="2"/>
  </si>
  <si>
    <t>Actual (bp)</t>
    <phoneticPr fontId="2"/>
  </si>
  <si>
    <t>Components (top 10)</t>
    <phoneticPr fontId="2"/>
  </si>
  <si>
    <t>Expiry \ Tenor</t>
    <phoneticPr fontId="2"/>
  </si>
  <si>
    <t>Labels = all points of the selected expiries × selected tenors (order = row/column order of the results)</t>
    <phoneticPr fontId="2"/>
  </si>
  <si>
    <t>Expiry</t>
    <phoneticPr fontId="2"/>
  </si>
  <si>
    <t>Recon (bp)</t>
    <phoneticPr fontId="2"/>
  </si>
  <si>
    <t>Mean (bp)</t>
    <phoneticPr fontId="2"/>
  </si>
  <si>
    <t>PC1 vector</t>
    <phoneticPr fontId="2"/>
  </si>
  <si>
    <t>PC2 vector</t>
    <phoneticPr fontId="2"/>
  </si>
  <si>
    <t>PC3 vector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</si>
</sst>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</numFmts>
  <fonts count="12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45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  <xf numFmtId="0" fontId="0" fillId="3" borderId="0" xfId="0" applyNumberFormat="1" applyFill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Actual / Mean / Recon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Mean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Recon (k)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ser>
          <c:idx val="3"/>
          <c:order val="3"/>
          <c:tx>
            <c:v>+1σ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[0]!PCA_Up</c:f>
            </c:numRef>
          </c:val>
          <c:smooth val="0"/>
          <c:extLst>
            <c:ext xmlns:c16="http://schemas.microsoft.com/office/drawing/2014/chart" uri="{C3380CC4-5D6E-409C-BE32-E72D297353CC}">
              <c16:uniqueId val="{00000000-C15E-48A0-B9C1-7AD3135CC1F8}"/>
            </c:ext>
          </c:extLst>
        </c:ser>
        <c:ser>
          <c:idx val="4"/>
          <c:order val="4"/>
          <c:tx>
            <c:v>-1σ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[0]!PCA_Dn</c:f>
            </c:numRef>
          </c:val>
          <c:smooth val="0"/>
          <c:extLst>
            <c:ext xmlns:c16="http://schemas.microsoft.com/office/drawing/2014/chart" uri="{C3380CC4-5D6E-409C-BE32-E72D297353CC}">
              <c16:uniqueId val="{00000001-C15E-48A0-B9C1-7AD3135CC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Residual: actual − recon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[0]!PCA_SUp</c:f>
            </c:numRef>
          </c:val>
          <c:smooth val="0"/>
          <c:extLst>
            <c:ext xmlns:c16="http://schemas.microsoft.com/office/drawing/2014/chart" uri="{C3380CC4-5D6E-409C-BE32-E72D297353CC}">
              <c16:uniqueId val="{00000000-8EA0-49AD-956B-129F5A683422}"/>
            </c:ext>
          </c:extLst>
        </c:ser>
        <c:ser>
          <c:idx val="2"/>
          <c:order val="2"/>
          <c:tx>
            <c:v>-1σ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[0]!PCA_SDn</c:f>
            </c:numRef>
          </c:val>
          <c:smooth val="0"/>
          <c:extLst>
            <c:ext xmlns:c16="http://schemas.microsoft.com/office/drawing/2014/chart" uri="{C3380CC4-5D6E-409C-BE32-E72D297353CC}">
              <c16:uniqueId val="{00000001-8EA0-49AD-956B-129F5A68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61375"/>
        <c:axId val="1186051295"/>
      </c:line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PC vectors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E0D-4CA1-8BFD-42022E74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4064"/>
        <c:axId val="789415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[0]!PCG_SUp1_1</c:f>
            </c:numRef>
          </c:val>
          <c:smooth val="0"/>
          <c:extLst>
            <c:ext xmlns:c16="http://schemas.microsoft.com/office/drawing/2014/chart" uri="{C3380CC4-5D6E-409C-BE32-E72D297353CC}">
              <c16:uniqueId val="{00000000-9973-4EEC-AD53-34C1AC89BBB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973-4EEC-AD53-34C1AC89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4064"/>
        <c:axId val="789415504"/>
      </c:lineChart>
      <c:catAx>
        <c:axId val="7894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5504"/>
        <c:crosses val="autoZero"/>
        <c:auto val="1"/>
        <c:lblAlgn val="ctr"/>
        <c:lblOffset val="100"/>
        <c:noMultiLvlLbl val="0"/>
      </c:catAx>
      <c:valAx>
        <c:axId val="7894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4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C3C-471D-84AD-FF5320CE4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8384"/>
        <c:axId val="789413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[0]!PCG_SUp1_2</c:f>
            </c:numRef>
          </c:val>
          <c:smooth val="0"/>
          <c:extLst>
            <c:ext xmlns:c16="http://schemas.microsoft.com/office/drawing/2014/chart" uri="{C3380CC4-5D6E-409C-BE32-E72D297353CC}">
              <c16:uniqueId val="{00000000-B1AC-4AC8-9D78-643BBF5C199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[0]!PCG_SDn1_2</c:f>
            </c:numRef>
          </c:val>
          <c:smooth val="0"/>
          <c:extLst>
            <c:ext xmlns:c16="http://schemas.microsoft.com/office/drawing/2014/chart" uri="{C3380CC4-5D6E-409C-BE32-E72D297353CC}">
              <c16:uniqueId val="{00000001-B1AC-4AC8-9D78-643BBF5C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8384"/>
        <c:axId val="789413584"/>
      </c:lineChart>
      <c:catAx>
        <c:axId val="789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3584"/>
        <c:crosses val="autoZero"/>
        <c:auto val="1"/>
        <c:lblAlgn val="ctr"/>
        <c:lblOffset val="100"/>
        <c:noMultiLvlLbl val="0"/>
      </c:catAx>
      <c:valAx>
        <c:axId val="7894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8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32C-44A7-BD06-24AF17E0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2224"/>
        <c:axId val="7894059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[0]!PCG_SUp1_3</c:f>
            </c:numRef>
          </c:val>
          <c:smooth val="0"/>
          <c:extLst>
            <c:ext xmlns:c16="http://schemas.microsoft.com/office/drawing/2014/chart" uri="{C3380CC4-5D6E-409C-BE32-E72D297353CC}">
              <c16:uniqueId val="{00000000-8C52-41D0-890E-2396A4C5DB7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[0]!PCG_SDn1_3</c:f>
            </c:numRef>
          </c:val>
          <c:smooth val="0"/>
          <c:extLst>
            <c:ext xmlns:c16="http://schemas.microsoft.com/office/drawing/2014/chart" uri="{C3380CC4-5D6E-409C-BE32-E72D297353CC}">
              <c16:uniqueId val="{00000001-8C52-41D0-890E-2396A4C5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2224"/>
        <c:axId val="789405904"/>
      </c:lineChart>
      <c:catAx>
        <c:axId val="78942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904"/>
        <c:crosses val="autoZero"/>
        <c:auto val="1"/>
        <c:lblAlgn val="ctr"/>
        <c:lblOffset val="100"/>
        <c:noMultiLvlLbl val="0"/>
      </c:catAx>
      <c:valAx>
        <c:axId val="7894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265-4A93-950C-5E7FF7B5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7344"/>
        <c:axId val="7894107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[0]!PCG_SUp1_4</c:f>
            </c:numRef>
          </c:val>
          <c:smooth val="0"/>
          <c:extLst>
            <c:ext xmlns:c16="http://schemas.microsoft.com/office/drawing/2014/chart" uri="{C3380CC4-5D6E-409C-BE32-E72D297353CC}">
              <c16:uniqueId val="{00000000-46C9-468B-8617-71E9CAE1F75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[0]!PCG_SDn1_4</c:f>
            </c:numRef>
          </c:val>
          <c:smooth val="0"/>
          <c:extLst>
            <c:ext xmlns:c16="http://schemas.microsoft.com/office/drawing/2014/chart" uri="{C3380CC4-5D6E-409C-BE32-E72D297353CC}">
              <c16:uniqueId val="{00000001-46C9-468B-8617-71E9CAE1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7344"/>
        <c:axId val="789410704"/>
      </c:lineChart>
      <c:catAx>
        <c:axId val="789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0704"/>
        <c:crosses val="autoZero"/>
        <c:auto val="1"/>
        <c:lblAlgn val="ctr"/>
        <c:lblOffset val="100"/>
        <c:noMultiLvlLbl val="0"/>
      </c:catAx>
      <c:valAx>
        <c:axId val="78941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7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71B-4885-8360-0FC9C669E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2144"/>
        <c:axId val="789412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[0]!PCG_SUp1_5</c:f>
            </c:numRef>
          </c:val>
          <c:smooth val="0"/>
          <c:extLst>
            <c:ext xmlns:c16="http://schemas.microsoft.com/office/drawing/2014/chart" uri="{C3380CC4-5D6E-409C-BE32-E72D297353CC}">
              <c16:uniqueId val="{00000000-25FD-467D-992E-7A564CF4E20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[0]!PCG_SDn1_5</c:f>
            </c:numRef>
          </c:val>
          <c:smooth val="0"/>
          <c:extLst>
            <c:ext xmlns:c16="http://schemas.microsoft.com/office/drawing/2014/chart" uri="{C3380CC4-5D6E-409C-BE32-E72D297353CC}">
              <c16:uniqueId val="{00000001-25FD-467D-992E-7A564CF4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2144"/>
        <c:axId val="789412624"/>
      </c:lineChart>
      <c:catAx>
        <c:axId val="7894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624"/>
        <c:crosses val="autoZero"/>
        <c:auto val="1"/>
        <c:lblAlgn val="ctr"/>
        <c:lblOffset val="100"/>
        <c:noMultiLvlLbl val="0"/>
      </c:catAx>
      <c:valAx>
        <c:axId val="789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89B-42B7-8AF4-430FB93667FF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[0]!PCG_V1_2</c:f>
            </c:numRef>
          </c:val>
          <c:smooth val="0"/>
          <c:extLst>
            <c:ext xmlns:c16="http://schemas.microsoft.com/office/drawing/2014/chart" uri="{C3380CC4-5D6E-409C-BE32-E72D297353CC}">
              <c16:uniqueId val="{00000002-989B-42B7-8AF4-430FB93667FF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[0]!PCG_V1_3</c:f>
            </c:numRef>
          </c:val>
          <c:smooth val="0"/>
          <c:extLst>
            <c:ext xmlns:c16="http://schemas.microsoft.com/office/drawing/2014/chart" uri="{C3380CC4-5D6E-409C-BE32-E72D297353CC}">
              <c16:uniqueId val="{00000003-989B-42B7-8AF4-430FB93667FF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[0]!PCG_V1_4</c:f>
            </c:numRef>
          </c:val>
          <c:smooth val="0"/>
          <c:extLst>
            <c:ext xmlns:c16="http://schemas.microsoft.com/office/drawing/2014/chart" uri="{C3380CC4-5D6E-409C-BE32-E72D297353CC}">
              <c16:uniqueId val="{00000004-989B-42B7-8AF4-430FB93667FF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[0]!PCG_V1_5</c:f>
            </c:numRef>
          </c:val>
          <c:smooth val="0"/>
          <c:extLst>
            <c:ext xmlns:c16="http://schemas.microsoft.com/office/drawing/2014/chart" uri="{C3380CC4-5D6E-409C-BE32-E72D297353CC}">
              <c16:uniqueId val="{00000005-989B-42B7-8AF4-430FB936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9344"/>
        <c:axId val="789422704"/>
      </c:lineChart>
      <c:catAx>
        <c:axId val="7894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704"/>
        <c:crosses val="autoZero"/>
        <c:auto val="1"/>
        <c:lblAlgn val="ctr"/>
        <c:lblOffset val="100"/>
        <c:noMultiLvlLbl val="0"/>
      </c:catAx>
      <c:valAx>
        <c:axId val="7894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14F-4504-A0D8-204BEF39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6144"/>
        <c:axId val="7894241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[0]!PCG_SUp2_1</c:f>
            </c:numRef>
          </c:val>
          <c:smooth val="0"/>
          <c:extLst>
            <c:ext xmlns:c16="http://schemas.microsoft.com/office/drawing/2014/chart" uri="{C3380CC4-5D6E-409C-BE32-E72D297353CC}">
              <c16:uniqueId val="{00000000-22DE-44B5-B3E2-124BBBD5786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[0]!PCG_SDn2_1</c:f>
            </c:numRef>
          </c:val>
          <c:smooth val="0"/>
          <c:extLst>
            <c:ext xmlns:c16="http://schemas.microsoft.com/office/drawing/2014/chart" uri="{C3380CC4-5D6E-409C-BE32-E72D297353CC}">
              <c16:uniqueId val="{00000001-22DE-44B5-B3E2-124BBBD5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6144"/>
        <c:axId val="789424144"/>
      </c:lineChart>
      <c:catAx>
        <c:axId val="789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144"/>
        <c:crosses val="autoZero"/>
        <c:auto val="1"/>
        <c:lblAlgn val="ctr"/>
        <c:lblOffset val="100"/>
        <c:noMultiLvlLbl val="0"/>
      </c:catAx>
      <c:valAx>
        <c:axId val="789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6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A66-428C-A7D6-52060F85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1344"/>
        <c:axId val="789424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[0]!PCG_SUp2_2</c:f>
            </c:numRef>
          </c:val>
          <c:smooth val="0"/>
          <c:extLst>
            <c:ext xmlns:c16="http://schemas.microsoft.com/office/drawing/2014/chart" uri="{C3380CC4-5D6E-409C-BE32-E72D297353CC}">
              <c16:uniqueId val="{00000000-5698-453B-B5A2-86AF922F065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[0]!PCG_SDn2_2</c:f>
            </c:numRef>
          </c:val>
          <c:smooth val="0"/>
          <c:extLst>
            <c:ext xmlns:c16="http://schemas.microsoft.com/office/drawing/2014/chart" uri="{C3380CC4-5D6E-409C-BE32-E72D297353CC}">
              <c16:uniqueId val="{00000001-5698-453B-B5A2-86AF922F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1344"/>
        <c:axId val="789424624"/>
      </c:lineChart>
      <c:catAx>
        <c:axId val="7894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624"/>
        <c:crosses val="autoZero"/>
        <c:auto val="1"/>
        <c:lblAlgn val="ctr"/>
        <c:lblOffset val="100"/>
        <c:noMultiLvlLbl val="0"/>
      </c:catAx>
      <c:valAx>
        <c:axId val="7894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09A-4CAB-AFA0-46D21967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6544"/>
        <c:axId val="789427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[0]!PCG_SUp2_3</c:f>
            </c:numRef>
          </c:val>
          <c:smooth val="0"/>
          <c:extLst>
            <c:ext xmlns:c16="http://schemas.microsoft.com/office/drawing/2014/chart" uri="{C3380CC4-5D6E-409C-BE32-E72D297353CC}">
              <c16:uniqueId val="{00000000-338D-4C53-B4C7-A6585972ED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[0]!PCG_SDn2_3</c:f>
            </c:numRef>
          </c:val>
          <c:smooth val="0"/>
          <c:extLst>
            <c:ext xmlns:c16="http://schemas.microsoft.com/office/drawing/2014/chart" uri="{C3380CC4-5D6E-409C-BE32-E72D297353CC}">
              <c16:uniqueId val="{00000001-338D-4C53-B4C7-A6585972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6544"/>
        <c:axId val="789427504"/>
      </c:lineChart>
      <c:catAx>
        <c:axId val="789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7504"/>
        <c:crosses val="autoZero"/>
        <c:auto val="1"/>
        <c:lblAlgn val="ctr"/>
        <c:lblOffset val="100"/>
        <c:noMultiLvlLbl val="0"/>
      </c:catAx>
      <c:valAx>
        <c:axId val="7894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233-442E-9D9F-2B6DEEB4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0384"/>
        <c:axId val="78943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[0]!PCG_SUp2_4</c:f>
            </c:numRef>
          </c:val>
          <c:smooth val="0"/>
          <c:extLst>
            <c:ext xmlns:c16="http://schemas.microsoft.com/office/drawing/2014/chart" uri="{C3380CC4-5D6E-409C-BE32-E72D297353CC}">
              <c16:uniqueId val="{00000000-C3DF-43D3-8EF6-8CEC1E3677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[0]!PCG_SDn2_4</c:f>
            </c:numRef>
          </c:val>
          <c:smooth val="0"/>
          <c:extLst>
            <c:ext xmlns:c16="http://schemas.microsoft.com/office/drawing/2014/chart" uri="{C3380CC4-5D6E-409C-BE32-E72D297353CC}">
              <c16:uniqueId val="{00000001-C3DF-43D3-8EF6-8CEC1E36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0384"/>
        <c:axId val="789431824"/>
      </c:lineChart>
      <c:catAx>
        <c:axId val="7894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824"/>
        <c:crosses val="autoZero"/>
        <c:auto val="1"/>
        <c:lblAlgn val="ctr"/>
        <c:lblOffset val="100"/>
        <c:noMultiLvlLbl val="0"/>
      </c:catAx>
      <c:valAx>
        <c:axId val="7894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0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078-4D68-BCBE-9DE4608F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8544"/>
        <c:axId val="7894553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[0]!PCG_SUp2_5</c:f>
            </c:numRef>
          </c:val>
          <c:smooth val="0"/>
          <c:extLst>
            <c:ext xmlns:c16="http://schemas.microsoft.com/office/drawing/2014/chart" uri="{C3380CC4-5D6E-409C-BE32-E72D297353CC}">
              <c16:uniqueId val="{00000000-ACF7-4E01-9E59-4A0F7CCC8A2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[0]!PCG_SDn2_5</c:f>
            </c:numRef>
          </c:val>
          <c:smooth val="0"/>
          <c:extLst>
            <c:ext xmlns:c16="http://schemas.microsoft.com/office/drawing/2014/chart" uri="{C3380CC4-5D6E-409C-BE32-E72D297353CC}">
              <c16:uniqueId val="{00000001-ACF7-4E01-9E59-4A0F7CCC8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8544"/>
        <c:axId val="789455344"/>
      </c:lineChart>
      <c:catAx>
        <c:axId val="7894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5344"/>
        <c:crosses val="autoZero"/>
        <c:auto val="1"/>
        <c:lblAlgn val="ctr"/>
        <c:lblOffset val="100"/>
        <c:noMultiLvlLbl val="0"/>
      </c:catAx>
      <c:valAx>
        <c:axId val="7894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8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[0]!PCG_V2_1</c:f>
            </c:numRef>
          </c:val>
          <c:smooth val="0"/>
          <c:extLst>
            <c:ext xmlns:c16="http://schemas.microsoft.com/office/drawing/2014/chart" uri="{C3380CC4-5D6E-409C-BE32-E72D297353CC}">
              <c16:uniqueId val="{00000001-FD2E-40EA-A479-784DA3FAFB6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[0]!PCG_V2_2</c:f>
            </c:numRef>
          </c:val>
          <c:smooth val="0"/>
          <c:extLst>
            <c:ext xmlns:c16="http://schemas.microsoft.com/office/drawing/2014/chart" uri="{C3380CC4-5D6E-409C-BE32-E72D297353CC}">
              <c16:uniqueId val="{00000002-FD2E-40EA-A479-784DA3FAFB6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[0]!PCG_V2_3</c:f>
            </c:numRef>
          </c:val>
          <c:smooth val="0"/>
          <c:extLst>
            <c:ext xmlns:c16="http://schemas.microsoft.com/office/drawing/2014/chart" uri="{C3380CC4-5D6E-409C-BE32-E72D297353CC}">
              <c16:uniqueId val="{00000003-FD2E-40EA-A479-784DA3FAFB6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[0]!PCG_V2_4</c:f>
            </c:numRef>
          </c:val>
          <c:smooth val="0"/>
          <c:extLst>
            <c:ext xmlns:c16="http://schemas.microsoft.com/office/drawing/2014/chart" uri="{C3380CC4-5D6E-409C-BE32-E72D297353CC}">
              <c16:uniqueId val="{00000004-FD2E-40EA-A479-784DA3FAFB6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[0]!PCG_V2_5</c:f>
            </c:numRef>
          </c:val>
          <c:smooth val="0"/>
          <c:extLst>
            <c:ext xmlns:c16="http://schemas.microsoft.com/office/drawing/2014/chart" uri="{C3380CC4-5D6E-409C-BE32-E72D297353CC}">
              <c16:uniqueId val="{00000005-FD2E-40EA-A479-784DA3F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57744"/>
        <c:axId val="789457264"/>
      </c:lineChart>
      <c:catAx>
        <c:axId val="7894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264"/>
        <c:crosses val="autoZero"/>
        <c:auto val="1"/>
        <c:lblAlgn val="ctr"/>
        <c:lblOffset val="100"/>
        <c:noMultiLvlLbl val="0"/>
      </c:catAx>
      <c:valAx>
        <c:axId val="7894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21A-421E-A103-850776BC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44784"/>
        <c:axId val="78946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[0]!PCG_SUp3_1</c:f>
            </c:numRef>
          </c:val>
          <c:smooth val="0"/>
          <c:extLst>
            <c:ext xmlns:c16="http://schemas.microsoft.com/office/drawing/2014/chart" uri="{C3380CC4-5D6E-409C-BE32-E72D297353CC}">
              <c16:uniqueId val="{00000000-8DDD-46F3-BC83-DB7B65C494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[0]!PCG_SDn3_1</c:f>
            </c:numRef>
          </c:val>
          <c:smooth val="0"/>
          <c:extLst>
            <c:ext xmlns:c16="http://schemas.microsoft.com/office/drawing/2014/chart" uri="{C3380CC4-5D6E-409C-BE32-E72D297353CC}">
              <c16:uniqueId val="{00000001-8DDD-46F3-BC83-DB7B65C4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44784"/>
        <c:axId val="789461584"/>
      </c:lineChart>
      <c:catAx>
        <c:axId val="7894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1584"/>
        <c:crosses val="autoZero"/>
        <c:auto val="1"/>
        <c:lblAlgn val="ctr"/>
        <c:lblOffset val="100"/>
        <c:noMultiLvlLbl val="0"/>
      </c:catAx>
      <c:valAx>
        <c:axId val="78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447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89A-4997-A88A-42A444B9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3024"/>
        <c:axId val="789463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[0]!PCG_SUp3_2</c:f>
            </c:numRef>
          </c:val>
          <c:smooth val="0"/>
          <c:extLst>
            <c:ext xmlns:c16="http://schemas.microsoft.com/office/drawing/2014/chart" uri="{C3380CC4-5D6E-409C-BE32-E72D297353CC}">
              <c16:uniqueId val="{00000000-2980-4EE5-8DBC-9505A46B665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[0]!PCG_SDn3_2</c:f>
            </c:numRef>
          </c:val>
          <c:smooth val="0"/>
          <c:extLst>
            <c:ext xmlns:c16="http://schemas.microsoft.com/office/drawing/2014/chart" uri="{C3380CC4-5D6E-409C-BE32-E72D297353CC}">
              <c16:uniqueId val="{00000001-2980-4EE5-8DBC-9505A46B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3024"/>
        <c:axId val="789463504"/>
      </c:lineChart>
      <c:catAx>
        <c:axId val="78946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504"/>
        <c:crosses val="autoZero"/>
        <c:auto val="1"/>
        <c:lblAlgn val="ctr"/>
        <c:lblOffset val="100"/>
        <c:noMultiLvlLbl val="0"/>
      </c:catAx>
      <c:valAx>
        <c:axId val="7894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0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459-4E02-8ABC-4B215717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5424"/>
        <c:axId val="789466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[0]!PCG_SUp3_3</c:f>
            </c:numRef>
          </c:val>
          <c:smooth val="0"/>
          <c:extLst>
            <c:ext xmlns:c16="http://schemas.microsoft.com/office/drawing/2014/chart" uri="{C3380CC4-5D6E-409C-BE32-E72D297353CC}">
              <c16:uniqueId val="{00000000-D8AF-4085-9A45-8E0FBA3B559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[0]!PCG_SDn3_3</c:f>
            </c:numRef>
          </c:val>
          <c:smooth val="0"/>
          <c:extLst>
            <c:ext xmlns:c16="http://schemas.microsoft.com/office/drawing/2014/chart" uri="{C3380CC4-5D6E-409C-BE32-E72D297353CC}">
              <c16:uniqueId val="{00000001-D8AF-4085-9A45-8E0FBA3B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5424"/>
        <c:axId val="789466384"/>
      </c:lineChart>
      <c:catAx>
        <c:axId val="78946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6384"/>
        <c:crosses val="autoZero"/>
        <c:auto val="1"/>
        <c:lblAlgn val="ctr"/>
        <c:lblOffset val="100"/>
        <c:noMultiLvlLbl val="0"/>
      </c:catAx>
      <c:valAx>
        <c:axId val="7894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54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1E3-45BC-B0CF-7168505B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3104"/>
        <c:axId val="789468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[0]!PCG_SUp3_4</c:f>
            </c:numRef>
          </c:val>
          <c:smooth val="0"/>
          <c:extLst>
            <c:ext xmlns:c16="http://schemas.microsoft.com/office/drawing/2014/chart" uri="{C3380CC4-5D6E-409C-BE32-E72D297353CC}">
              <c16:uniqueId val="{00000000-B93F-4EE5-98C9-006D3A83643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[0]!PCG_SDn3_4</c:f>
            </c:numRef>
          </c:val>
          <c:smooth val="0"/>
          <c:extLst>
            <c:ext xmlns:c16="http://schemas.microsoft.com/office/drawing/2014/chart" uri="{C3380CC4-5D6E-409C-BE32-E72D297353CC}">
              <c16:uniqueId val="{00000001-B93F-4EE5-98C9-006D3A836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3104"/>
        <c:axId val="789468304"/>
      </c:lineChart>
      <c:catAx>
        <c:axId val="789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304"/>
        <c:crosses val="autoZero"/>
        <c:auto val="1"/>
        <c:lblAlgn val="ctr"/>
        <c:lblOffset val="100"/>
        <c:noMultiLvlLbl val="0"/>
      </c:catAx>
      <c:valAx>
        <c:axId val="7894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8F-4B85-8E64-A87E55D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0224"/>
        <c:axId val="7894687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[0]!PCG_SUp3_5</c:f>
            </c:numRef>
          </c:val>
          <c:smooth val="0"/>
          <c:extLst>
            <c:ext xmlns:c16="http://schemas.microsoft.com/office/drawing/2014/chart" uri="{C3380CC4-5D6E-409C-BE32-E72D297353CC}">
              <c16:uniqueId val="{00000000-63D6-4AC0-8052-541E19A9361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[0]!PCG_SDn3_5</c:f>
            </c:numRef>
          </c:val>
          <c:smooth val="0"/>
          <c:extLst>
            <c:ext xmlns:c16="http://schemas.microsoft.com/office/drawing/2014/chart" uri="{C3380CC4-5D6E-409C-BE32-E72D297353CC}">
              <c16:uniqueId val="{00000001-63D6-4AC0-8052-541E19A9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0224"/>
        <c:axId val="789468784"/>
      </c:lineChart>
      <c:catAx>
        <c:axId val="7894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784"/>
        <c:crosses val="autoZero"/>
        <c:auto val="1"/>
        <c:lblAlgn val="ctr"/>
        <c:lblOffset val="100"/>
        <c:noMultiLvlLbl val="0"/>
      </c:catAx>
      <c:valAx>
        <c:axId val="7894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0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[0]!PCG_V3_1</c:f>
            </c:numRef>
          </c:val>
          <c:smooth val="0"/>
          <c:extLst>
            <c:ext xmlns:c16="http://schemas.microsoft.com/office/drawing/2014/chart" uri="{C3380CC4-5D6E-409C-BE32-E72D297353CC}">
              <c16:uniqueId val="{00000001-AABB-4F27-BA7B-503310E3FB83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[0]!PCG_V3_2</c:f>
            </c:numRef>
          </c:val>
          <c:smooth val="0"/>
          <c:extLst>
            <c:ext xmlns:c16="http://schemas.microsoft.com/office/drawing/2014/chart" uri="{C3380CC4-5D6E-409C-BE32-E72D297353CC}">
              <c16:uniqueId val="{00000002-AABB-4F27-BA7B-503310E3FB83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[0]!PCG_V3_3</c:f>
            </c:numRef>
          </c:val>
          <c:smooth val="0"/>
          <c:extLst>
            <c:ext xmlns:c16="http://schemas.microsoft.com/office/drawing/2014/chart" uri="{C3380CC4-5D6E-409C-BE32-E72D297353CC}">
              <c16:uniqueId val="{00000003-AABB-4F27-BA7B-503310E3FB83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[0]!PCG_V3_4</c:f>
            </c:numRef>
          </c:val>
          <c:smooth val="0"/>
          <c:extLst>
            <c:ext xmlns:c16="http://schemas.microsoft.com/office/drawing/2014/chart" uri="{C3380CC4-5D6E-409C-BE32-E72D297353CC}">
              <c16:uniqueId val="{00000004-AABB-4F27-BA7B-503310E3FB83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[0]!PCG_V3_5</c:f>
            </c:numRef>
          </c:val>
          <c:smooth val="0"/>
          <c:extLst>
            <c:ext xmlns:c16="http://schemas.microsoft.com/office/drawing/2014/chart" uri="{C3380CC4-5D6E-409C-BE32-E72D297353CC}">
              <c16:uniqueId val="{00000005-AABB-4F27-BA7B-503310E3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4544"/>
        <c:axId val="789472144"/>
      </c:lineChart>
      <c:catAx>
        <c:axId val="7894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2144"/>
        <c:crosses val="autoZero"/>
        <c:auto val="1"/>
        <c:lblAlgn val="ctr"/>
        <c:lblOffset val="100"/>
        <c:noMultiLvlLbl val="0"/>
      </c:catAx>
      <c:valAx>
        <c:axId val="7894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895-4D7E-AF20-364DDF42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4544"/>
        <c:axId val="789359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[0]!PCG_SUp4_1</c:f>
            </c:numRef>
          </c:val>
          <c:smooth val="0"/>
          <c:extLst>
            <c:ext xmlns:c16="http://schemas.microsoft.com/office/drawing/2014/chart" uri="{C3380CC4-5D6E-409C-BE32-E72D297353CC}">
              <c16:uniqueId val="{00000000-3DD3-43C0-A65A-BD85B0D73D2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[0]!PCG_SDn4_1</c:f>
            </c:numRef>
          </c:val>
          <c:smooth val="0"/>
          <c:extLst>
            <c:ext xmlns:c16="http://schemas.microsoft.com/office/drawing/2014/chart" uri="{C3380CC4-5D6E-409C-BE32-E72D297353CC}">
              <c16:uniqueId val="{00000001-3DD3-43C0-A65A-BD85B0D7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4544"/>
        <c:axId val="789359824"/>
      </c:lineChart>
      <c:catAx>
        <c:axId val="7893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9824"/>
        <c:crosses val="autoZero"/>
        <c:auto val="1"/>
        <c:lblAlgn val="ctr"/>
        <c:lblOffset val="100"/>
        <c:noMultiLvlLbl val="0"/>
      </c:catAx>
      <c:valAx>
        <c:axId val="789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4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011-4A2A-B080-67501BE7B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48784"/>
        <c:axId val="789349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[0]!PCG_SUp4_2</c:f>
            </c:numRef>
          </c:val>
          <c:smooth val="0"/>
          <c:extLst>
            <c:ext xmlns:c16="http://schemas.microsoft.com/office/drawing/2014/chart" uri="{C3380CC4-5D6E-409C-BE32-E72D297353CC}">
              <c16:uniqueId val="{00000000-27E0-4945-AE16-F9D593B5517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[0]!PCG_SDn4_2</c:f>
            </c:numRef>
          </c:val>
          <c:smooth val="0"/>
          <c:extLst>
            <c:ext xmlns:c16="http://schemas.microsoft.com/office/drawing/2014/chart" uri="{C3380CC4-5D6E-409C-BE32-E72D297353CC}">
              <c16:uniqueId val="{00000001-27E0-4945-AE16-F9D593B5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48784"/>
        <c:axId val="789349744"/>
      </c:lineChart>
      <c:catAx>
        <c:axId val="7893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9744"/>
        <c:crosses val="autoZero"/>
        <c:auto val="1"/>
        <c:lblAlgn val="ctr"/>
        <c:lblOffset val="100"/>
        <c:noMultiLvlLbl val="0"/>
      </c:catAx>
      <c:valAx>
        <c:axId val="7893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87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F4D-4C13-B401-854036FC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8864"/>
        <c:axId val="789361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[0]!PCG_SUp4_3</c:f>
            </c:numRef>
          </c:val>
          <c:smooth val="0"/>
          <c:extLst>
            <c:ext xmlns:c16="http://schemas.microsoft.com/office/drawing/2014/chart" uri="{C3380CC4-5D6E-409C-BE32-E72D297353CC}">
              <c16:uniqueId val="{00000000-676C-4E8A-B09A-925888462ABC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[0]!PCG_SDn4_3</c:f>
            </c:numRef>
          </c:val>
          <c:smooth val="0"/>
          <c:extLst>
            <c:ext xmlns:c16="http://schemas.microsoft.com/office/drawing/2014/chart" uri="{C3380CC4-5D6E-409C-BE32-E72D297353CC}">
              <c16:uniqueId val="{00000001-676C-4E8A-B09A-925888462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8864"/>
        <c:axId val="789361264"/>
      </c:lineChart>
      <c:catAx>
        <c:axId val="78935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264"/>
        <c:crosses val="autoZero"/>
        <c:auto val="1"/>
        <c:lblAlgn val="ctr"/>
        <c:lblOffset val="100"/>
        <c:noMultiLvlLbl val="0"/>
      </c:catAx>
      <c:valAx>
        <c:axId val="7893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8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14D-400B-A622-73DFC9B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104"/>
        <c:axId val="789358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[0]!PCG_SUp4_4</c:f>
            </c:numRef>
          </c:val>
          <c:smooth val="0"/>
          <c:extLst>
            <c:ext xmlns:c16="http://schemas.microsoft.com/office/drawing/2014/chart" uri="{C3380CC4-5D6E-409C-BE32-E72D297353CC}">
              <c16:uniqueId val="{00000000-2707-48FB-A885-F128751F56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[0]!PCG_SDn4_4</c:f>
            </c:numRef>
          </c:val>
          <c:smooth val="0"/>
          <c:extLst>
            <c:ext xmlns:c16="http://schemas.microsoft.com/office/drawing/2014/chart" uri="{C3380CC4-5D6E-409C-BE32-E72D297353CC}">
              <c16:uniqueId val="{00000001-2707-48FB-A885-F128751F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104"/>
        <c:axId val="789358384"/>
      </c:lineChart>
      <c:catAx>
        <c:axId val="78935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384"/>
        <c:crosses val="autoZero"/>
        <c:auto val="1"/>
        <c:lblAlgn val="ctr"/>
        <c:lblOffset val="100"/>
        <c:noMultiLvlLbl val="0"/>
      </c:catAx>
      <c:valAx>
        <c:axId val="789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B3D-461B-96F2-68FD5FBB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0704"/>
        <c:axId val="7893550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[0]!PCG_SUp4_5</c:f>
            </c:numRef>
          </c:val>
          <c:smooth val="0"/>
          <c:extLst>
            <c:ext xmlns:c16="http://schemas.microsoft.com/office/drawing/2014/chart" uri="{C3380CC4-5D6E-409C-BE32-E72D297353CC}">
              <c16:uniqueId val="{00000000-6A47-40F5-A49A-82EF3AE831E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[0]!PCG_SDn4_5</c:f>
            </c:numRef>
          </c:val>
          <c:smooth val="0"/>
          <c:extLst>
            <c:ext xmlns:c16="http://schemas.microsoft.com/office/drawing/2014/chart" uri="{C3380CC4-5D6E-409C-BE32-E72D297353CC}">
              <c16:uniqueId val="{00000001-6A47-40F5-A49A-82EF3AE83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0704"/>
        <c:axId val="789355024"/>
      </c:lineChart>
      <c:catAx>
        <c:axId val="78935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5024"/>
        <c:crosses val="autoZero"/>
        <c:auto val="1"/>
        <c:lblAlgn val="ctr"/>
        <c:lblOffset val="100"/>
        <c:noMultiLvlLbl val="0"/>
      </c:catAx>
      <c:valAx>
        <c:axId val="789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07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[0]!PCG_V4_1</c:f>
            </c:numRef>
          </c:val>
          <c:smooth val="0"/>
          <c:extLst>
            <c:ext xmlns:c16="http://schemas.microsoft.com/office/drawing/2014/chart" uri="{C3380CC4-5D6E-409C-BE32-E72D297353CC}">
              <c16:uniqueId val="{00000001-F58B-40EC-BB51-AB1BDD8119D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[0]!PCG_V4_2</c:f>
            </c:numRef>
          </c:val>
          <c:smooth val="0"/>
          <c:extLst>
            <c:ext xmlns:c16="http://schemas.microsoft.com/office/drawing/2014/chart" uri="{C3380CC4-5D6E-409C-BE32-E72D297353CC}">
              <c16:uniqueId val="{00000002-F58B-40EC-BB51-AB1BDD8119D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[0]!PCG_V4_3</c:f>
            </c:numRef>
          </c:val>
          <c:smooth val="0"/>
          <c:extLst>
            <c:ext xmlns:c16="http://schemas.microsoft.com/office/drawing/2014/chart" uri="{C3380CC4-5D6E-409C-BE32-E72D297353CC}">
              <c16:uniqueId val="{00000003-F58B-40EC-BB51-AB1BDD8119D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[0]!PCG_V4_4</c:f>
            </c:numRef>
          </c:val>
          <c:smooth val="0"/>
          <c:extLst>
            <c:ext xmlns:c16="http://schemas.microsoft.com/office/drawing/2014/chart" uri="{C3380CC4-5D6E-409C-BE32-E72D297353CC}">
              <c16:uniqueId val="{00000004-F58B-40EC-BB51-AB1BDD8119D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[0]!PCG_V4_5</c:f>
            </c:numRef>
          </c:val>
          <c:smooth val="0"/>
          <c:extLst>
            <c:ext xmlns:c16="http://schemas.microsoft.com/office/drawing/2014/chart" uri="{C3380CC4-5D6E-409C-BE32-E72D297353CC}">
              <c16:uniqueId val="{00000005-F58B-40EC-BB51-AB1BDD81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7424"/>
        <c:axId val="789356944"/>
      </c:lineChart>
      <c:catAx>
        <c:axId val="7893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6944"/>
        <c:crosses val="autoZero"/>
        <c:auto val="1"/>
        <c:lblAlgn val="ctr"/>
        <c:lblOffset val="100"/>
        <c:noMultiLvlLbl val="0"/>
      </c:catAx>
      <c:valAx>
        <c:axId val="7893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F97-4274-BDD5-4F46D4366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2704"/>
        <c:axId val="789374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[0]!PCG_SUp5_1</c:f>
            </c:numRef>
          </c:val>
          <c:smooth val="0"/>
          <c:extLst>
            <c:ext xmlns:c16="http://schemas.microsoft.com/office/drawing/2014/chart" uri="{C3380CC4-5D6E-409C-BE32-E72D297353CC}">
              <c16:uniqueId val="{00000000-E0FA-44DD-8B81-92D22EA4FA1E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[0]!PCG_SDn5_1</c:f>
            </c:numRef>
          </c:val>
          <c:smooth val="0"/>
          <c:extLst>
            <c:ext xmlns:c16="http://schemas.microsoft.com/office/drawing/2014/chart" uri="{C3380CC4-5D6E-409C-BE32-E72D297353CC}">
              <c16:uniqueId val="{00000001-E0FA-44DD-8B81-92D22EA4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2704"/>
        <c:axId val="789374224"/>
      </c:lineChart>
      <c:catAx>
        <c:axId val="7893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4224"/>
        <c:crosses val="autoZero"/>
        <c:auto val="1"/>
        <c:lblAlgn val="ctr"/>
        <c:lblOffset val="100"/>
        <c:noMultiLvlLbl val="0"/>
      </c:catAx>
      <c:valAx>
        <c:axId val="7893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27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BC4-4C82-A6E0-C8049D7B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3184"/>
        <c:axId val="789363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[0]!PCG_SUp5_2</c:f>
            </c:numRef>
          </c:val>
          <c:smooth val="0"/>
          <c:extLst>
            <c:ext xmlns:c16="http://schemas.microsoft.com/office/drawing/2014/chart" uri="{C3380CC4-5D6E-409C-BE32-E72D297353CC}">
              <c16:uniqueId val="{00000000-3C47-4741-B4DC-2D3A02B0509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[0]!PCG_SDn5_2</c:f>
            </c:numRef>
          </c:val>
          <c:smooth val="0"/>
          <c:extLst>
            <c:ext xmlns:c16="http://schemas.microsoft.com/office/drawing/2014/chart" uri="{C3380CC4-5D6E-409C-BE32-E72D297353CC}">
              <c16:uniqueId val="{00000001-3C47-4741-B4DC-2D3A02B0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3184"/>
        <c:axId val="789363664"/>
      </c:lineChart>
      <c:catAx>
        <c:axId val="78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664"/>
        <c:crosses val="autoZero"/>
        <c:auto val="1"/>
        <c:lblAlgn val="ctr"/>
        <c:lblOffset val="100"/>
        <c:noMultiLvlLbl val="0"/>
      </c:catAx>
      <c:valAx>
        <c:axId val="78936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1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802-4046-B406-393A86A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7504"/>
        <c:axId val="789373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[0]!PCG_SUp5_3</c:f>
            </c:numRef>
          </c:val>
          <c:smooth val="0"/>
          <c:extLst>
            <c:ext xmlns:c16="http://schemas.microsoft.com/office/drawing/2014/chart" uri="{C3380CC4-5D6E-409C-BE32-E72D297353CC}">
              <c16:uniqueId val="{00000000-8F58-420D-A809-B28AD225EC6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[0]!PCG_SDn5_3</c:f>
            </c:numRef>
          </c:val>
          <c:smooth val="0"/>
          <c:extLst>
            <c:ext xmlns:c16="http://schemas.microsoft.com/office/drawing/2014/chart" uri="{C3380CC4-5D6E-409C-BE32-E72D297353CC}">
              <c16:uniqueId val="{00000001-8F58-420D-A809-B28AD225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7504"/>
        <c:axId val="789373264"/>
      </c:lineChart>
      <c:catAx>
        <c:axId val="7893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3264"/>
        <c:crosses val="autoZero"/>
        <c:auto val="1"/>
        <c:lblAlgn val="ctr"/>
        <c:lblOffset val="100"/>
        <c:noMultiLvlLbl val="0"/>
      </c:catAx>
      <c:valAx>
        <c:axId val="7893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7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C4-40C5-A01C-E7506F94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6544"/>
        <c:axId val="78937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[0]!PCG_SUp5_4</c:f>
            </c:numRef>
          </c:val>
          <c:smooth val="0"/>
          <c:extLst>
            <c:ext xmlns:c16="http://schemas.microsoft.com/office/drawing/2014/chart" uri="{C3380CC4-5D6E-409C-BE32-E72D297353CC}">
              <c16:uniqueId val="{00000000-199F-44F2-9A74-09515CDD285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[0]!PCG_SDn5_4</c:f>
            </c:numRef>
          </c:val>
          <c:smooth val="0"/>
          <c:extLst>
            <c:ext xmlns:c16="http://schemas.microsoft.com/office/drawing/2014/chart" uri="{C3380CC4-5D6E-409C-BE32-E72D297353CC}">
              <c16:uniqueId val="{00000001-199F-44F2-9A74-09515CDD2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6544"/>
        <c:axId val="789371824"/>
      </c:lineChart>
      <c:catAx>
        <c:axId val="7893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1824"/>
        <c:crosses val="autoZero"/>
        <c:auto val="1"/>
        <c:lblAlgn val="ctr"/>
        <c:lblOffset val="100"/>
        <c:noMultiLvlLbl val="0"/>
      </c:catAx>
      <c:valAx>
        <c:axId val="789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A9A-4D7B-A4A0-3ADEF26D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584"/>
        <c:axId val="789372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[0]!PCG_SUp5_5</c:f>
            </c:numRef>
          </c:val>
          <c:smooth val="0"/>
          <c:extLst>
            <c:ext xmlns:c16="http://schemas.microsoft.com/office/drawing/2014/chart" uri="{C3380CC4-5D6E-409C-BE32-E72D297353CC}">
              <c16:uniqueId val="{00000000-5AED-4D38-AA15-3A21D7CA2EF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[0]!PCG_SDn5_5</c:f>
            </c:numRef>
          </c:val>
          <c:smooth val="0"/>
          <c:extLst>
            <c:ext xmlns:c16="http://schemas.microsoft.com/office/drawing/2014/chart" uri="{C3380CC4-5D6E-409C-BE32-E72D297353CC}">
              <c16:uniqueId val="{00000001-5AED-4D38-AA15-3A21D7CA2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584"/>
        <c:axId val="789372304"/>
      </c:lineChart>
      <c:catAx>
        <c:axId val="789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2304"/>
        <c:crosses val="autoZero"/>
        <c:auto val="1"/>
        <c:lblAlgn val="ctr"/>
        <c:lblOffset val="100"/>
        <c:noMultiLvlLbl val="0"/>
      </c:catAx>
      <c:valAx>
        <c:axId val="789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[0]!PCG_V5_1</c:f>
            </c:numRef>
          </c:val>
          <c:smooth val="0"/>
          <c:extLst>
            <c:ext xmlns:c16="http://schemas.microsoft.com/office/drawing/2014/chart" uri="{C3380CC4-5D6E-409C-BE32-E72D297353CC}">
              <c16:uniqueId val="{00000001-C030-4FD4-B16F-F433C2E69492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[0]!PCG_V5_2</c:f>
            </c:numRef>
          </c:val>
          <c:smooth val="0"/>
          <c:extLst>
            <c:ext xmlns:c16="http://schemas.microsoft.com/office/drawing/2014/chart" uri="{C3380CC4-5D6E-409C-BE32-E72D297353CC}">
              <c16:uniqueId val="{00000002-C030-4FD4-B16F-F433C2E69492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[0]!PCG_V5_3</c:f>
            </c:numRef>
          </c:val>
          <c:smooth val="0"/>
          <c:extLst>
            <c:ext xmlns:c16="http://schemas.microsoft.com/office/drawing/2014/chart" uri="{C3380CC4-5D6E-409C-BE32-E72D297353CC}">
              <c16:uniqueId val="{00000003-C030-4FD4-B16F-F433C2E69492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[0]!PCG_V5_4</c:f>
            </c:numRef>
          </c:val>
          <c:smooth val="0"/>
          <c:extLst>
            <c:ext xmlns:c16="http://schemas.microsoft.com/office/drawing/2014/chart" uri="{C3380CC4-5D6E-409C-BE32-E72D297353CC}">
              <c16:uniqueId val="{00000004-C030-4FD4-B16F-F433C2E69492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[0]!PCG_V5_5</c:f>
            </c:numRef>
          </c:val>
          <c:smooth val="0"/>
          <c:extLst>
            <c:ext xmlns:c16="http://schemas.microsoft.com/office/drawing/2014/chart" uri="{C3380CC4-5D6E-409C-BE32-E72D297353CC}">
              <c16:uniqueId val="{00000005-C030-4FD4-B16F-F433C2E69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464"/>
        <c:axId val="789386704"/>
      </c:lineChart>
      <c:catAx>
        <c:axId val="7893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704"/>
        <c:crosses val="autoZero"/>
        <c:auto val="1"/>
        <c:lblAlgn val="ctr"/>
        <c:lblOffset val="100"/>
        <c:noMultiLvlLbl val="0"/>
      </c:catAx>
      <c:valAx>
        <c:axId val="7893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A05-43BC-9A33-4D2839E9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8064"/>
        <c:axId val="789388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[0]!PCG_SUp6_1</c:f>
            </c:numRef>
          </c:val>
          <c:smooth val="0"/>
          <c:extLst>
            <c:ext xmlns:c16="http://schemas.microsoft.com/office/drawing/2014/chart" uri="{C3380CC4-5D6E-409C-BE32-E72D297353CC}">
              <c16:uniqueId val="{00000000-F7CC-47E5-B9A1-63E40DD2366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[0]!PCG_SDn6_1</c:f>
            </c:numRef>
          </c:val>
          <c:smooth val="0"/>
          <c:extLst>
            <c:ext xmlns:c16="http://schemas.microsoft.com/office/drawing/2014/chart" uri="{C3380CC4-5D6E-409C-BE32-E72D297353CC}">
              <c16:uniqueId val="{00000001-F7CC-47E5-B9A1-63E40DD2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8064"/>
        <c:axId val="789388624"/>
      </c:lineChart>
      <c:catAx>
        <c:axId val="7893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624"/>
        <c:crosses val="autoZero"/>
        <c:auto val="1"/>
        <c:lblAlgn val="ctr"/>
        <c:lblOffset val="100"/>
        <c:noMultiLvlLbl val="0"/>
      </c:catAx>
      <c:valAx>
        <c:axId val="7893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8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D64-4241-836F-0D259A904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8144"/>
        <c:axId val="789375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[0]!PCG_SUp6_2</c:f>
            </c:numRef>
          </c:val>
          <c:smooth val="0"/>
          <c:extLst>
            <c:ext xmlns:c16="http://schemas.microsoft.com/office/drawing/2014/chart" uri="{C3380CC4-5D6E-409C-BE32-E72D297353CC}">
              <c16:uniqueId val="{00000000-5B35-443C-AB72-A426D58FEDB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[0]!PCG_SDn6_2</c:f>
            </c:numRef>
          </c:val>
          <c:smooth val="0"/>
          <c:extLst>
            <c:ext xmlns:c16="http://schemas.microsoft.com/office/drawing/2014/chart" uri="{C3380CC4-5D6E-409C-BE32-E72D297353CC}">
              <c16:uniqueId val="{00000001-5B35-443C-AB72-A426D58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8144"/>
        <c:axId val="789375184"/>
      </c:lineChart>
      <c:catAx>
        <c:axId val="7893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5184"/>
        <c:crosses val="autoZero"/>
        <c:auto val="1"/>
        <c:lblAlgn val="ctr"/>
        <c:lblOffset val="100"/>
        <c:noMultiLvlLbl val="0"/>
      </c:catAx>
      <c:valAx>
        <c:axId val="7893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D13-472F-9D6F-02E06DD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9024"/>
        <c:axId val="789387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[0]!PCG_SUp6_3</c:f>
            </c:numRef>
          </c:val>
          <c:smooth val="0"/>
          <c:extLst>
            <c:ext xmlns:c16="http://schemas.microsoft.com/office/drawing/2014/chart" uri="{C3380CC4-5D6E-409C-BE32-E72D297353CC}">
              <c16:uniqueId val="{00000000-E6B0-48A0-88C3-6B4E3DDCF3B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[0]!PCG_SDn6_3</c:f>
            </c:numRef>
          </c:val>
          <c:smooth val="0"/>
          <c:extLst>
            <c:ext xmlns:c16="http://schemas.microsoft.com/office/drawing/2014/chart" uri="{C3380CC4-5D6E-409C-BE32-E72D297353CC}">
              <c16:uniqueId val="{00000001-E6B0-48A0-88C3-6B4E3DDC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9024"/>
        <c:axId val="789387664"/>
      </c:lineChart>
      <c:catAx>
        <c:axId val="7893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664"/>
        <c:crosses val="autoZero"/>
        <c:auto val="1"/>
        <c:lblAlgn val="ctr"/>
        <c:lblOffset val="100"/>
        <c:noMultiLvlLbl val="0"/>
      </c:catAx>
      <c:valAx>
        <c:axId val="789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0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099-42BC-BE46-4000AEE5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0944"/>
        <c:axId val="789379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[0]!PCG_SUp6_4</c:f>
            </c:numRef>
          </c:val>
          <c:smooth val="0"/>
          <c:extLst>
            <c:ext xmlns:c16="http://schemas.microsoft.com/office/drawing/2014/chart" uri="{C3380CC4-5D6E-409C-BE32-E72D297353CC}">
              <c16:uniqueId val="{00000000-9934-4E08-BCBF-06DA024C93F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[0]!PCG_SDn6_4</c:f>
            </c:numRef>
          </c:val>
          <c:smooth val="0"/>
          <c:extLst>
            <c:ext xmlns:c16="http://schemas.microsoft.com/office/drawing/2014/chart" uri="{C3380CC4-5D6E-409C-BE32-E72D297353CC}">
              <c16:uniqueId val="{00000001-9934-4E08-BCBF-06DA024C9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944"/>
        <c:axId val="789379504"/>
      </c:lineChart>
      <c:catAx>
        <c:axId val="78938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504"/>
        <c:crosses val="autoZero"/>
        <c:auto val="1"/>
        <c:lblAlgn val="ctr"/>
        <c:lblOffset val="100"/>
        <c:noMultiLvlLbl val="0"/>
      </c:catAx>
      <c:valAx>
        <c:axId val="7893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9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C80-4F2C-A9EE-1E3FFA9FB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92944"/>
        <c:axId val="7893934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[0]!PCG_SUp6_5</c:f>
            </c:numRef>
          </c:val>
          <c:smooth val="0"/>
          <c:extLst>
            <c:ext xmlns:c16="http://schemas.microsoft.com/office/drawing/2014/chart" uri="{C3380CC4-5D6E-409C-BE32-E72D297353CC}">
              <c16:uniqueId val="{00000000-41F7-4BA9-8AEC-76E51D53FC5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[0]!PCG_SDn6_5</c:f>
            </c:numRef>
          </c:val>
          <c:smooth val="0"/>
          <c:extLst>
            <c:ext xmlns:c16="http://schemas.microsoft.com/office/drawing/2014/chart" uri="{C3380CC4-5D6E-409C-BE32-E72D297353CC}">
              <c16:uniqueId val="{00000001-41F7-4BA9-8AEC-76E51D53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2944"/>
        <c:axId val="789393424"/>
      </c:lineChart>
      <c:catAx>
        <c:axId val="7893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3424"/>
        <c:crosses val="autoZero"/>
        <c:auto val="1"/>
        <c:lblAlgn val="ctr"/>
        <c:lblOffset val="100"/>
        <c:noMultiLvlLbl val="0"/>
      </c:catAx>
      <c:valAx>
        <c:axId val="7893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29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[0]!PCG_V6_1</c:f>
            </c:numRef>
          </c:val>
          <c:smooth val="0"/>
          <c:extLst>
            <c:ext xmlns:c16="http://schemas.microsoft.com/office/drawing/2014/chart" uri="{C3380CC4-5D6E-409C-BE32-E72D297353CC}">
              <c16:uniqueId val="{00000001-17BF-4076-9289-697BBCF45BB9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[0]!PCG_V6_2</c:f>
            </c:numRef>
          </c:val>
          <c:smooth val="0"/>
          <c:extLst>
            <c:ext xmlns:c16="http://schemas.microsoft.com/office/drawing/2014/chart" uri="{C3380CC4-5D6E-409C-BE32-E72D297353CC}">
              <c16:uniqueId val="{00000002-17BF-4076-9289-697BBCF45BB9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[0]!PCG_V6_3</c:f>
            </c:numRef>
          </c:val>
          <c:smooth val="0"/>
          <c:extLst>
            <c:ext xmlns:c16="http://schemas.microsoft.com/office/drawing/2014/chart" uri="{C3380CC4-5D6E-409C-BE32-E72D297353CC}">
              <c16:uniqueId val="{00000003-17BF-4076-9289-697BBCF45BB9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[0]!PCG_V6_4</c:f>
            </c:numRef>
          </c:val>
          <c:smooth val="0"/>
          <c:extLst>
            <c:ext xmlns:c16="http://schemas.microsoft.com/office/drawing/2014/chart" uri="{C3380CC4-5D6E-409C-BE32-E72D297353CC}">
              <c16:uniqueId val="{00000004-17BF-4076-9289-697BBCF45BB9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[0]!PCG_V6_5</c:f>
            </c:numRef>
          </c:val>
          <c:smooth val="0"/>
          <c:extLst>
            <c:ext xmlns:c16="http://schemas.microsoft.com/office/drawing/2014/chart" uri="{C3380CC4-5D6E-409C-BE32-E72D297353CC}">
              <c16:uniqueId val="{00000005-17BF-4076-9289-697BBCF4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5824"/>
        <c:axId val="789396304"/>
      </c:lineChart>
      <c:catAx>
        <c:axId val="7893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6304"/>
        <c:crosses val="autoZero"/>
        <c:auto val="1"/>
        <c:lblAlgn val="ctr"/>
        <c:lblOffset val="100"/>
        <c:noMultiLvlLbl val="0"/>
      </c:catAx>
      <c:valAx>
        <c:axId val="7893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E5-4A40-A257-414C91A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864"/>
        <c:axId val="789386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[0]!PCG_SUp7_1</c:f>
            </c:numRef>
          </c:val>
          <c:smooth val="0"/>
          <c:extLst>
            <c:ext xmlns:c16="http://schemas.microsoft.com/office/drawing/2014/chart" uri="{C3380CC4-5D6E-409C-BE32-E72D297353CC}">
              <c16:uniqueId val="{00000000-9C8C-42AC-9087-D6383B2651C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[0]!PCG_SDn7_1</c:f>
            </c:numRef>
          </c:val>
          <c:smooth val="0"/>
          <c:extLst>
            <c:ext xmlns:c16="http://schemas.microsoft.com/office/drawing/2014/chart" uri="{C3380CC4-5D6E-409C-BE32-E72D297353CC}">
              <c16:uniqueId val="{00000001-9C8C-42AC-9087-D6383B26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864"/>
        <c:axId val="789386224"/>
      </c:lineChart>
      <c:catAx>
        <c:axId val="7893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224"/>
        <c:crosses val="autoZero"/>
        <c:auto val="1"/>
        <c:lblAlgn val="ctr"/>
        <c:lblOffset val="100"/>
        <c:noMultiLvlLbl val="0"/>
      </c:catAx>
      <c:valAx>
        <c:axId val="7893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8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01C-43C5-9B6F-7D771C5F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384"/>
        <c:axId val="789399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[0]!PCG_SUp7_2</c:f>
            </c:numRef>
          </c:val>
          <c:smooth val="0"/>
          <c:extLst>
            <c:ext xmlns:c16="http://schemas.microsoft.com/office/drawing/2014/chart" uri="{C3380CC4-5D6E-409C-BE32-E72D297353CC}">
              <c16:uniqueId val="{00000000-44B0-456A-B0BD-B0A24FA6127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[0]!PCG_SDn7_2</c:f>
            </c:numRef>
          </c:val>
          <c:smooth val="0"/>
          <c:extLst>
            <c:ext xmlns:c16="http://schemas.microsoft.com/office/drawing/2014/chart" uri="{C3380CC4-5D6E-409C-BE32-E72D297353CC}">
              <c16:uniqueId val="{00000001-44B0-456A-B0BD-B0A24FA61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384"/>
        <c:axId val="789399184"/>
      </c:lineChart>
      <c:catAx>
        <c:axId val="789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9184"/>
        <c:crosses val="autoZero"/>
        <c:auto val="1"/>
        <c:lblAlgn val="ctr"/>
        <c:lblOffset val="100"/>
        <c:noMultiLvlLbl val="0"/>
      </c:catAx>
      <c:valAx>
        <c:axId val="7893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989-46EE-A46F-52224EE4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1104"/>
        <c:axId val="78940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[0]!PCG_SUp7_3</c:f>
            </c:numRef>
          </c:val>
          <c:smooth val="0"/>
          <c:extLst>
            <c:ext xmlns:c16="http://schemas.microsoft.com/office/drawing/2014/chart" uri="{C3380CC4-5D6E-409C-BE32-E72D297353CC}">
              <c16:uniqueId val="{00000000-B66A-4716-8699-7F0969EEE6D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[0]!PCG_SDn7_3</c:f>
            </c:numRef>
          </c:val>
          <c:smooth val="0"/>
          <c:extLst>
            <c:ext xmlns:c16="http://schemas.microsoft.com/office/drawing/2014/chart" uri="{C3380CC4-5D6E-409C-BE32-E72D297353CC}">
              <c16:uniqueId val="{00000001-B66A-4716-8699-7F0969EEE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1104"/>
        <c:axId val="789401584"/>
      </c:lineChart>
      <c:catAx>
        <c:axId val="78940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584"/>
        <c:crosses val="autoZero"/>
        <c:auto val="1"/>
        <c:lblAlgn val="ctr"/>
        <c:lblOffset val="100"/>
        <c:noMultiLvlLbl val="0"/>
      </c:catAx>
      <c:valAx>
        <c:axId val="7894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39-428D-8477-9D836921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3504"/>
        <c:axId val="789387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[0]!PCG_SUp7_4</c:f>
            </c:numRef>
          </c:val>
          <c:smooth val="0"/>
          <c:extLst>
            <c:ext xmlns:c16="http://schemas.microsoft.com/office/drawing/2014/chart" uri="{C3380CC4-5D6E-409C-BE32-E72D297353CC}">
              <c16:uniqueId val="{00000000-EB3C-4A26-8F30-C584E392D18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[0]!PCG_SDn7_4</c:f>
            </c:numRef>
          </c:val>
          <c:smooth val="0"/>
          <c:extLst>
            <c:ext xmlns:c16="http://schemas.microsoft.com/office/drawing/2014/chart" uri="{C3380CC4-5D6E-409C-BE32-E72D297353CC}">
              <c16:uniqueId val="{00000001-EB3C-4A26-8F30-C584E392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3504"/>
        <c:axId val="789387184"/>
      </c:lineChart>
      <c:catAx>
        <c:axId val="789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184"/>
        <c:crosses val="autoZero"/>
        <c:auto val="1"/>
        <c:lblAlgn val="ctr"/>
        <c:lblOffset val="100"/>
        <c:noMultiLvlLbl val="0"/>
      </c:catAx>
      <c:valAx>
        <c:axId val="7893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3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B57-4E9F-B6FE-A795ED2D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5424"/>
        <c:axId val="789361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[0]!PCG_SUp7_5</c:f>
            </c:numRef>
          </c:val>
          <c:smooth val="0"/>
          <c:extLst>
            <c:ext xmlns:c16="http://schemas.microsoft.com/office/drawing/2014/chart" uri="{C3380CC4-5D6E-409C-BE32-E72D297353CC}">
              <c16:uniqueId val="{00000000-00E5-4789-82ED-754FEA840B5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[0]!PCG_SDn7_5</c:f>
            </c:numRef>
          </c:val>
          <c:smooth val="0"/>
          <c:extLst>
            <c:ext xmlns:c16="http://schemas.microsoft.com/office/drawing/2014/chart" uri="{C3380CC4-5D6E-409C-BE32-E72D297353CC}">
              <c16:uniqueId val="{00000001-00E5-4789-82ED-754FEA84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5424"/>
        <c:axId val="789361744"/>
      </c:lineChart>
      <c:catAx>
        <c:axId val="78940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744"/>
        <c:crosses val="autoZero"/>
        <c:auto val="1"/>
        <c:lblAlgn val="ctr"/>
        <c:lblOffset val="100"/>
        <c:noMultiLvlLbl val="0"/>
      </c:catAx>
      <c:valAx>
        <c:axId val="7893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4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[0]!PCG_V7_1</c:f>
            </c:numRef>
          </c:val>
          <c:smooth val="0"/>
          <c:extLst>
            <c:ext xmlns:c16="http://schemas.microsoft.com/office/drawing/2014/chart" uri="{C3380CC4-5D6E-409C-BE32-E72D297353CC}">
              <c16:uniqueId val="{00000001-FCE2-4509-A74F-14A60AF8803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[0]!PCG_V7_2</c:f>
            </c:numRef>
          </c:val>
          <c:smooth val="0"/>
          <c:extLst>
            <c:ext xmlns:c16="http://schemas.microsoft.com/office/drawing/2014/chart" uri="{C3380CC4-5D6E-409C-BE32-E72D297353CC}">
              <c16:uniqueId val="{00000002-FCE2-4509-A74F-14A60AF8803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[0]!PCG_V7_3</c:f>
            </c:numRef>
          </c:val>
          <c:smooth val="0"/>
          <c:extLst>
            <c:ext xmlns:c16="http://schemas.microsoft.com/office/drawing/2014/chart" uri="{C3380CC4-5D6E-409C-BE32-E72D297353CC}">
              <c16:uniqueId val="{00000003-FCE2-4509-A74F-14A60AF8803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[0]!PCG_V7_4</c:f>
            </c:numRef>
          </c:val>
          <c:smooth val="0"/>
          <c:extLst>
            <c:ext xmlns:c16="http://schemas.microsoft.com/office/drawing/2014/chart" uri="{C3380CC4-5D6E-409C-BE32-E72D297353CC}">
              <c16:uniqueId val="{00000004-FCE2-4509-A74F-14A60AF8803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[0]!PCG_V7_5</c:f>
            </c:numRef>
          </c:val>
          <c:smooth val="0"/>
          <c:extLst>
            <c:ext xmlns:c16="http://schemas.microsoft.com/office/drawing/2014/chart" uri="{C3380CC4-5D6E-409C-BE32-E72D297353CC}">
              <c16:uniqueId val="{00000005-FCE2-4509-A74F-14A60AF88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976"/>
        <c:axId val="714264176"/>
      </c:lineChart>
      <c:catAx>
        <c:axId val="7142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4176"/>
        <c:crosses val="autoZero"/>
        <c:auto val="1"/>
        <c:lblAlgn val="ctr"/>
        <c:lblOffset val="100"/>
        <c:noMultiLvlLbl val="0"/>
      </c:catAx>
      <c:valAx>
        <c:axId val="7142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23F-4CAE-805B-8382A4775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2736"/>
        <c:axId val="7142660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[0]!PCG_SUp8_1</c:f>
            </c:numRef>
          </c:val>
          <c:smooth val="0"/>
          <c:extLst>
            <c:ext xmlns:c16="http://schemas.microsoft.com/office/drawing/2014/chart" uri="{C3380CC4-5D6E-409C-BE32-E72D297353CC}">
              <c16:uniqueId val="{00000000-84AB-4B14-87DE-B1178369C59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[0]!PCG_SDn8_1</c:f>
            </c:numRef>
          </c:val>
          <c:smooth val="0"/>
          <c:extLst>
            <c:ext xmlns:c16="http://schemas.microsoft.com/office/drawing/2014/chart" uri="{C3380CC4-5D6E-409C-BE32-E72D297353CC}">
              <c16:uniqueId val="{00000001-84AB-4B14-87DE-B1178369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2736"/>
        <c:axId val="714266096"/>
      </c:lineChart>
      <c:catAx>
        <c:axId val="714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6096"/>
        <c:crosses val="autoZero"/>
        <c:auto val="1"/>
        <c:lblAlgn val="ctr"/>
        <c:lblOffset val="100"/>
        <c:noMultiLvlLbl val="0"/>
      </c:catAx>
      <c:valAx>
        <c:axId val="7142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2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079-4503-94C7-818654F9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016"/>
        <c:axId val="714255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[0]!PCG_SUp8_2</c:f>
            </c:numRef>
          </c:val>
          <c:smooth val="0"/>
          <c:extLst>
            <c:ext xmlns:c16="http://schemas.microsoft.com/office/drawing/2014/chart" uri="{C3380CC4-5D6E-409C-BE32-E72D297353CC}">
              <c16:uniqueId val="{00000000-E90A-48F2-94DB-FECE446A9DB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[0]!PCG_SDn8_2</c:f>
            </c:numRef>
          </c:val>
          <c:smooth val="0"/>
          <c:extLst>
            <c:ext xmlns:c16="http://schemas.microsoft.com/office/drawing/2014/chart" uri="{C3380CC4-5D6E-409C-BE32-E72D297353CC}">
              <c16:uniqueId val="{00000001-E90A-48F2-94DB-FECE446A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016"/>
        <c:axId val="714255536"/>
      </c:lineChart>
      <c:catAx>
        <c:axId val="714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5536"/>
        <c:crosses val="autoZero"/>
        <c:auto val="1"/>
        <c:lblAlgn val="ctr"/>
        <c:lblOffset val="100"/>
        <c:noMultiLvlLbl val="0"/>
      </c:catAx>
      <c:valAx>
        <c:axId val="7142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67-4F0B-8680-EA56C3D9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976"/>
        <c:axId val="7142603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[0]!PCG_SUp8_3</c:f>
            </c:numRef>
          </c:val>
          <c:smooth val="0"/>
          <c:extLst>
            <c:ext xmlns:c16="http://schemas.microsoft.com/office/drawing/2014/chart" uri="{C3380CC4-5D6E-409C-BE32-E72D297353CC}">
              <c16:uniqueId val="{00000000-65C9-4A27-9038-A08035DF81A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[0]!PCG_SDn8_3</c:f>
            </c:numRef>
          </c:val>
          <c:smooth val="0"/>
          <c:extLst>
            <c:ext xmlns:c16="http://schemas.microsoft.com/office/drawing/2014/chart" uri="{C3380CC4-5D6E-409C-BE32-E72D297353CC}">
              <c16:uniqueId val="{00000001-65C9-4A27-9038-A08035DF8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976"/>
        <c:axId val="714260336"/>
      </c:lineChart>
      <c:catAx>
        <c:axId val="7142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0336"/>
        <c:crosses val="autoZero"/>
        <c:auto val="1"/>
        <c:lblAlgn val="ctr"/>
        <c:lblOffset val="100"/>
        <c:noMultiLvlLbl val="0"/>
      </c:catAx>
      <c:valAx>
        <c:axId val="7142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9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F9F-46FC-BE92-FE44294D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56016"/>
        <c:axId val="7142699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[0]!PCG_SUp8_4</c:f>
            </c:numRef>
          </c:val>
          <c:smooth val="0"/>
          <c:extLst>
            <c:ext xmlns:c16="http://schemas.microsoft.com/office/drawing/2014/chart" uri="{C3380CC4-5D6E-409C-BE32-E72D297353CC}">
              <c16:uniqueId val="{00000000-75B8-469B-8D85-002CE26667A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[0]!PCG_SDn8_4</c:f>
            </c:numRef>
          </c:val>
          <c:smooth val="0"/>
          <c:extLst>
            <c:ext xmlns:c16="http://schemas.microsoft.com/office/drawing/2014/chart" uri="{C3380CC4-5D6E-409C-BE32-E72D297353CC}">
              <c16:uniqueId val="{00000001-75B8-469B-8D85-002CE2666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016"/>
        <c:axId val="714269936"/>
      </c:lineChart>
      <c:catAx>
        <c:axId val="714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9936"/>
        <c:crosses val="autoZero"/>
        <c:auto val="1"/>
        <c:lblAlgn val="ctr"/>
        <c:lblOffset val="100"/>
        <c:noMultiLvlLbl val="0"/>
      </c:catAx>
      <c:valAx>
        <c:axId val="7142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1FA-4AA5-90FE-132C8B76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3296"/>
        <c:axId val="714273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[0]!PCG_SUp8_5</c:f>
            </c:numRef>
          </c:val>
          <c:smooth val="0"/>
          <c:extLst>
            <c:ext xmlns:c16="http://schemas.microsoft.com/office/drawing/2014/chart" uri="{C3380CC4-5D6E-409C-BE32-E72D297353CC}">
              <c16:uniqueId val="{00000000-AEC1-488F-99F9-17A64C4B202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[0]!PCG_SDn8_5</c:f>
            </c:numRef>
          </c:val>
          <c:smooth val="0"/>
          <c:extLst>
            <c:ext xmlns:c16="http://schemas.microsoft.com/office/drawing/2014/chart" uri="{C3380CC4-5D6E-409C-BE32-E72D297353CC}">
              <c16:uniqueId val="{00000001-AEC1-488F-99F9-17A64C4B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3296"/>
        <c:axId val="714273776"/>
      </c:lineChart>
      <c:catAx>
        <c:axId val="714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776"/>
        <c:crosses val="autoZero"/>
        <c:auto val="1"/>
        <c:lblAlgn val="ctr"/>
        <c:lblOffset val="100"/>
        <c:noMultiLvlLbl val="0"/>
      </c:catAx>
      <c:valAx>
        <c:axId val="714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2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[0]!PCG_V8_1</c:f>
            </c:numRef>
          </c:val>
          <c:smooth val="0"/>
          <c:extLst>
            <c:ext xmlns:c16="http://schemas.microsoft.com/office/drawing/2014/chart" uri="{C3380CC4-5D6E-409C-BE32-E72D297353CC}">
              <c16:uniqueId val="{00000001-62F2-4EAB-88CD-94F546E65B7E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[0]!PCG_V8_2</c:f>
            </c:numRef>
          </c:val>
          <c:smooth val="0"/>
          <c:extLst>
            <c:ext xmlns:c16="http://schemas.microsoft.com/office/drawing/2014/chart" uri="{C3380CC4-5D6E-409C-BE32-E72D297353CC}">
              <c16:uniqueId val="{00000002-62F2-4EAB-88CD-94F546E65B7E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[0]!PCG_V8_3</c:f>
            </c:numRef>
          </c:val>
          <c:smooth val="0"/>
          <c:extLst>
            <c:ext xmlns:c16="http://schemas.microsoft.com/office/drawing/2014/chart" uri="{C3380CC4-5D6E-409C-BE32-E72D297353CC}">
              <c16:uniqueId val="{00000003-62F2-4EAB-88CD-94F546E65B7E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[0]!PCG_V8_4</c:f>
            </c:numRef>
          </c:val>
          <c:smooth val="0"/>
          <c:extLst>
            <c:ext xmlns:c16="http://schemas.microsoft.com/office/drawing/2014/chart" uri="{C3380CC4-5D6E-409C-BE32-E72D297353CC}">
              <c16:uniqueId val="{00000004-62F2-4EAB-88CD-94F546E65B7E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[0]!PCG_V8_5</c:f>
            </c:numRef>
          </c:val>
          <c:smooth val="0"/>
          <c:extLst>
            <c:ext xmlns:c16="http://schemas.microsoft.com/office/drawing/2014/chart" uri="{C3380CC4-5D6E-409C-BE32-E72D297353CC}">
              <c16:uniqueId val="{00000005-62F2-4EAB-88CD-94F546E6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4256"/>
        <c:axId val="714261296"/>
      </c:lineChart>
      <c:catAx>
        <c:axId val="7142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1296"/>
        <c:crosses val="autoZero"/>
        <c:auto val="1"/>
        <c:lblAlgn val="ctr"/>
        <c:lblOffset val="100"/>
        <c:noMultiLvlLbl val="0"/>
      </c:catAx>
      <c:valAx>
        <c:axId val="7142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352-418B-A057-6B294992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416"/>
        <c:axId val="71427761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[0]!PCG_SUp9_1</c:f>
            </c:numRef>
          </c:val>
          <c:smooth val="0"/>
          <c:extLst>
            <c:ext xmlns:c16="http://schemas.microsoft.com/office/drawing/2014/chart" uri="{C3380CC4-5D6E-409C-BE32-E72D297353CC}">
              <c16:uniqueId val="{00000000-9A31-4C71-8262-D998C8FF666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A31-4C71-8262-D998C8FF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416"/>
        <c:axId val="714277616"/>
      </c:lineChart>
      <c:catAx>
        <c:axId val="714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7616"/>
        <c:crosses val="autoZero"/>
        <c:auto val="1"/>
        <c:lblAlgn val="ctr"/>
        <c:lblOffset val="100"/>
        <c:noMultiLvlLbl val="0"/>
      </c:catAx>
      <c:valAx>
        <c:axId val="7142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5FE-4DF4-B260-39244136A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8576"/>
        <c:axId val="714279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[0]!PCG_SUp9_2</c:f>
            </c:numRef>
          </c:val>
          <c:smooth val="0"/>
          <c:extLst>
            <c:ext xmlns:c16="http://schemas.microsoft.com/office/drawing/2014/chart" uri="{C3380CC4-5D6E-409C-BE32-E72D297353CC}">
              <c16:uniqueId val="{00000000-1283-4AE1-8195-EA038A34DED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[0]!PCG_SDn9_2</c:f>
            </c:numRef>
          </c:val>
          <c:smooth val="0"/>
          <c:extLst>
            <c:ext xmlns:c16="http://schemas.microsoft.com/office/drawing/2014/chart" uri="{C3380CC4-5D6E-409C-BE32-E72D297353CC}">
              <c16:uniqueId val="{00000001-1283-4AE1-8195-EA038A34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8576"/>
        <c:axId val="714279536"/>
      </c:lineChart>
      <c:catAx>
        <c:axId val="7142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9536"/>
        <c:crosses val="autoZero"/>
        <c:auto val="1"/>
        <c:lblAlgn val="ctr"/>
        <c:lblOffset val="100"/>
        <c:noMultiLvlLbl val="0"/>
      </c:catAx>
      <c:valAx>
        <c:axId val="7142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8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4DB-4BE9-8898-2932EFE51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896"/>
        <c:axId val="714283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[0]!PCG_SUp9_3</c:f>
            </c:numRef>
          </c:val>
          <c:smooth val="0"/>
          <c:extLst>
            <c:ext xmlns:c16="http://schemas.microsoft.com/office/drawing/2014/chart" uri="{C3380CC4-5D6E-409C-BE32-E72D297353CC}">
              <c16:uniqueId val="{00000000-7554-46CC-A905-9E865D377B4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[0]!PCG_SDn9_3</c:f>
            </c:numRef>
          </c:val>
          <c:smooth val="0"/>
          <c:extLst>
            <c:ext xmlns:c16="http://schemas.microsoft.com/office/drawing/2014/chart" uri="{C3380CC4-5D6E-409C-BE32-E72D297353CC}">
              <c16:uniqueId val="{00000001-7554-46CC-A905-9E865D37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896"/>
        <c:axId val="714283376"/>
      </c:lineChart>
      <c:catAx>
        <c:axId val="71428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3376"/>
        <c:crosses val="autoZero"/>
        <c:auto val="1"/>
        <c:lblAlgn val="ctr"/>
        <c:lblOffset val="100"/>
        <c:noMultiLvlLbl val="0"/>
      </c:catAx>
      <c:valAx>
        <c:axId val="7142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8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63E-4047-BF2E-F5E154DC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4816"/>
        <c:axId val="714285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[0]!PCG_SUp9_4</c:f>
            </c:numRef>
          </c:val>
          <c:smooth val="0"/>
          <c:extLst>
            <c:ext xmlns:c16="http://schemas.microsoft.com/office/drawing/2014/chart" uri="{C3380CC4-5D6E-409C-BE32-E72D297353CC}">
              <c16:uniqueId val="{00000000-DF14-4979-A26B-F41B91F392A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[0]!PCG_SDn9_4</c:f>
            </c:numRef>
          </c:val>
          <c:smooth val="0"/>
          <c:extLst>
            <c:ext xmlns:c16="http://schemas.microsoft.com/office/drawing/2014/chart" uri="{C3380CC4-5D6E-409C-BE32-E72D297353CC}">
              <c16:uniqueId val="{00000001-DF14-4979-A26B-F41B91F39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4816"/>
        <c:axId val="714285776"/>
      </c:lineChart>
      <c:catAx>
        <c:axId val="7142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5776"/>
        <c:crosses val="autoZero"/>
        <c:auto val="1"/>
        <c:lblAlgn val="ctr"/>
        <c:lblOffset val="100"/>
        <c:noMultiLvlLbl val="0"/>
      </c:catAx>
      <c:valAx>
        <c:axId val="7142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48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64D-4BFE-8E73-B1129583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8736"/>
        <c:axId val="714295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[0]!PCG_SUp9_5</c:f>
            </c:numRef>
          </c:val>
          <c:smooth val="0"/>
          <c:extLst>
            <c:ext xmlns:c16="http://schemas.microsoft.com/office/drawing/2014/chart" uri="{C3380CC4-5D6E-409C-BE32-E72D297353CC}">
              <c16:uniqueId val="{00000000-BE32-4C60-B433-82CFD65572B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[0]!PCG_SDn9_5</c:f>
            </c:numRef>
          </c:val>
          <c:smooth val="0"/>
          <c:extLst>
            <c:ext xmlns:c16="http://schemas.microsoft.com/office/drawing/2014/chart" uri="{C3380CC4-5D6E-409C-BE32-E72D297353CC}">
              <c16:uniqueId val="{00000001-BE32-4C60-B433-82CFD6557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8736"/>
        <c:axId val="714295376"/>
      </c:lineChart>
      <c:catAx>
        <c:axId val="71429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376"/>
        <c:crosses val="autoZero"/>
        <c:auto val="1"/>
        <c:lblAlgn val="ctr"/>
        <c:lblOffset val="100"/>
        <c:noMultiLvlLbl val="0"/>
      </c:catAx>
      <c:valAx>
        <c:axId val="7142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8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1AA-4018-813A-A0D1405DD10C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[0]!PCG_V9_2</c:f>
            </c:numRef>
          </c:val>
          <c:smooth val="0"/>
          <c:extLst>
            <c:ext xmlns:c16="http://schemas.microsoft.com/office/drawing/2014/chart" uri="{C3380CC4-5D6E-409C-BE32-E72D297353CC}">
              <c16:uniqueId val="{00000002-91AA-4018-813A-A0D1405DD10C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[0]!PCG_V9_3</c:f>
            </c:numRef>
          </c:val>
          <c:smooth val="0"/>
          <c:extLst>
            <c:ext xmlns:c16="http://schemas.microsoft.com/office/drawing/2014/chart" uri="{C3380CC4-5D6E-409C-BE32-E72D297353CC}">
              <c16:uniqueId val="{00000003-91AA-4018-813A-A0D1405DD10C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[0]!PCG_V9_4</c:f>
            </c:numRef>
          </c:val>
          <c:smooth val="0"/>
          <c:extLst>
            <c:ext xmlns:c16="http://schemas.microsoft.com/office/drawing/2014/chart" uri="{C3380CC4-5D6E-409C-BE32-E72D297353CC}">
              <c16:uniqueId val="{00000004-91AA-4018-813A-A0D1405DD10C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[0]!PCG_V9_5</c:f>
            </c:numRef>
          </c:val>
          <c:smooth val="0"/>
          <c:extLst>
            <c:ext xmlns:c16="http://schemas.microsoft.com/office/drawing/2014/chart" uri="{C3380CC4-5D6E-409C-BE32-E72D297353CC}">
              <c16:uniqueId val="{00000005-91AA-4018-813A-A0D1405D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5856"/>
        <c:axId val="714290096"/>
      </c:lineChart>
      <c:catAx>
        <c:axId val="7142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0096"/>
        <c:crosses val="autoZero"/>
        <c:auto val="1"/>
        <c:lblAlgn val="ctr"/>
        <c:lblOffset val="100"/>
        <c:noMultiLvlLbl val="0"/>
      </c:catAx>
      <c:valAx>
        <c:axId val="7142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9B-4AAD-B32E-4F52AE14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2576"/>
        <c:axId val="7142881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[0]!PCG_SUp10_1</c:f>
            </c:numRef>
          </c:val>
          <c:smooth val="0"/>
          <c:extLst>
            <c:ext xmlns:c16="http://schemas.microsoft.com/office/drawing/2014/chart" uri="{C3380CC4-5D6E-409C-BE32-E72D297353CC}">
              <c16:uniqueId val="{00000000-9DFE-4B46-B867-439323ACC61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9DFE-4B46-B867-439323ACC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2576"/>
        <c:axId val="714288176"/>
      </c:lineChart>
      <c:catAx>
        <c:axId val="7143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8176"/>
        <c:crosses val="autoZero"/>
        <c:auto val="1"/>
        <c:lblAlgn val="ctr"/>
        <c:lblOffset val="100"/>
        <c:noMultiLvlLbl val="0"/>
      </c:catAx>
      <c:valAx>
        <c:axId val="7142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2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7B9-45A5-9DB7-13B1459F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1136"/>
        <c:axId val="714291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[0]!PCG_SUp10_2</c:f>
            </c:numRef>
          </c:val>
          <c:smooth val="0"/>
          <c:extLst>
            <c:ext xmlns:c16="http://schemas.microsoft.com/office/drawing/2014/chart" uri="{C3380CC4-5D6E-409C-BE32-E72D297353CC}">
              <c16:uniqueId val="{00000000-0310-44E1-BFFA-14EB0CB2E00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[0]!PCG_SDn10_2</c:f>
            </c:numRef>
          </c:val>
          <c:smooth val="0"/>
          <c:extLst>
            <c:ext xmlns:c16="http://schemas.microsoft.com/office/drawing/2014/chart" uri="{C3380CC4-5D6E-409C-BE32-E72D297353CC}">
              <c16:uniqueId val="{00000001-0310-44E1-BFFA-14EB0CB2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1136"/>
        <c:axId val="714291536"/>
      </c:lineChart>
      <c:catAx>
        <c:axId val="71430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1536"/>
        <c:crosses val="autoZero"/>
        <c:auto val="1"/>
        <c:lblAlgn val="ctr"/>
        <c:lblOffset val="100"/>
        <c:noMultiLvlLbl val="0"/>
      </c:catAx>
      <c:valAx>
        <c:axId val="7142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11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9A0-4A54-BBA9-32C89E26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2496"/>
        <c:axId val="7142948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[0]!PCG_SUp10_3</c:f>
            </c:numRef>
          </c:val>
          <c:smooth val="0"/>
          <c:extLst>
            <c:ext xmlns:c16="http://schemas.microsoft.com/office/drawing/2014/chart" uri="{C3380CC4-5D6E-409C-BE32-E72D297353CC}">
              <c16:uniqueId val="{00000000-BA3E-4A4A-89EF-531CB9CFD6A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[0]!PCG_SDn10_3</c:f>
            </c:numRef>
          </c:val>
          <c:smooth val="0"/>
          <c:extLst>
            <c:ext xmlns:c16="http://schemas.microsoft.com/office/drawing/2014/chart" uri="{C3380CC4-5D6E-409C-BE32-E72D297353CC}">
              <c16:uniqueId val="{00000001-BA3E-4A4A-89EF-531CB9CFD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2496"/>
        <c:axId val="714294896"/>
      </c:lineChart>
      <c:catAx>
        <c:axId val="7142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4896"/>
        <c:crosses val="autoZero"/>
        <c:auto val="1"/>
        <c:lblAlgn val="ctr"/>
        <c:lblOffset val="100"/>
        <c:noMultiLvlLbl val="0"/>
      </c:catAx>
      <c:valAx>
        <c:axId val="7142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2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22B-450B-BAED-836CA2FC2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3936"/>
        <c:axId val="7142867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[0]!PCG_SUp10_4</c:f>
            </c:numRef>
          </c:val>
          <c:smooth val="0"/>
          <c:extLst>
            <c:ext xmlns:c16="http://schemas.microsoft.com/office/drawing/2014/chart" uri="{C3380CC4-5D6E-409C-BE32-E72D297353CC}">
              <c16:uniqueId val="{00000000-094C-45AF-A6AD-023C51FF0D7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[0]!PCG_SDn10_4</c:f>
            </c:numRef>
          </c:val>
          <c:smooth val="0"/>
          <c:extLst>
            <c:ext xmlns:c16="http://schemas.microsoft.com/office/drawing/2014/chart" uri="{C3380CC4-5D6E-409C-BE32-E72D297353CC}">
              <c16:uniqueId val="{00000001-094C-45AF-A6AD-023C51FF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3936"/>
        <c:axId val="714286736"/>
      </c:lineChart>
      <c:catAx>
        <c:axId val="7142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6736"/>
        <c:crosses val="autoZero"/>
        <c:auto val="1"/>
        <c:lblAlgn val="ctr"/>
        <c:lblOffset val="100"/>
        <c:noMultiLvlLbl val="0"/>
      </c:catAx>
      <c:valAx>
        <c:axId val="7142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39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DA2-431B-AFEB-27DF890BA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7696"/>
        <c:axId val="7143164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[0]!PCG_SUp10_5</c:f>
            </c:numRef>
          </c:val>
          <c:smooth val="0"/>
          <c:extLst>
            <c:ext xmlns:c16="http://schemas.microsoft.com/office/drawing/2014/chart" uri="{C3380CC4-5D6E-409C-BE32-E72D297353CC}">
              <c16:uniqueId val="{00000000-773B-4849-9B69-9CC5C27B17B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[0]!PCG_SDn10_5</c:f>
            </c:numRef>
          </c:val>
          <c:smooth val="0"/>
          <c:extLst>
            <c:ext xmlns:c16="http://schemas.microsoft.com/office/drawing/2014/chart" uri="{C3380CC4-5D6E-409C-BE32-E72D297353CC}">
              <c16:uniqueId val="{00000001-773B-4849-9B69-9CC5C27B1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7696"/>
        <c:axId val="714316496"/>
      </c:lineChart>
      <c:catAx>
        <c:axId val="7142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6496"/>
        <c:crosses val="autoZero"/>
        <c:auto val="1"/>
        <c:lblAlgn val="ctr"/>
        <c:lblOffset val="100"/>
        <c:noMultiLvlLbl val="0"/>
      </c:catAx>
      <c:valAx>
        <c:axId val="7143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76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186D-4BED-B21C-38CF02CBB0E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[0]!PCG_V10_2</c:f>
            </c:numRef>
          </c:val>
          <c:smooth val="0"/>
          <c:extLst>
            <c:ext xmlns:c16="http://schemas.microsoft.com/office/drawing/2014/chart" uri="{C3380CC4-5D6E-409C-BE32-E72D297353CC}">
              <c16:uniqueId val="{00000002-186D-4BED-B21C-38CF02CBB0E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[0]!PCG_V10_3</c:f>
            </c:numRef>
          </c:val>
          <c:smooth val="0"/>
          <c:extLst>
            <c:ext xmlns:c16="http://schemas.microsoft.com/office/drawing/2014/chart" uri="{C3380CC4-5D6E-409C-BE32-E72D297353CC}">
              <c16:uniqueId val="{00000003-186D-4BED-B21C-38CF02CBB0E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[0]!PCG_V10_4</c:f>
            </c:numRef>
          </c:val>
          <c:smooth val="0"/>
          <c:extLst>
            <c:ext xmlns:c16="http://schemas.microsoft.com/office/drawing/2014/chart" uri="{C3380CC4-5D6E-409C-BE32-E72D297353CC}">
              <c16:uniqueId val="{00000004-186D-4BED-B21C-38CF02CBB0E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[0]!PCG_V10_5</c:f>
            </c:numRef>
          </c:val>
          <c:smooth val="0"/>
          <c:extLst>
            <c:ext xmlns:c16="http://schemas.microsoft.com/office/drawing/2014/chart" uri="{C3380CC4-5D6E-409C-BE32-E72D297353CC}">
              <c16:uniqueId val="{00000005-186D-4BED-B21C-38CF02CB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5456"/>
        <c:axId val="714310736"/>
      </c:lineChart>
      <c:catAx>
        <c:axId val="7143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0736"/>
        <c:crosses val="autoZero"/>
        <c:auto val="1"/>
        <c:lblAlgn val="ctr"/>
        <c:lblOffset val="100"/>
        <c:noMultiLvlLbl val="0"/>
      </c:catAx>
      <c:valAx>
        <c:axId val="7143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</c:f>
            </c:numRef>
          </c:val>
          <c:smooth val="0"/>
          <c:extLst>
            <c:ext xmlns:c16="http://schemas.microsoft.com/office/drawing/2014/chart" uri="{C3380CC4-5D6E-409C-BE32-E72D297353CC}">
              <c16:uniqueId val="{00000003-98FF-4296-B230-E43B18796D1F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</c:f>
            </c:numRef>
          </c:val>
          <c:smooth val="0"/>
          <c:extLst>
            <c:ext xmlns:c16="http://schemas.microsoft.com/office/drawing/2014/chart" uri="{C3380CC4-5D6E-409C-BE32-E72D297353CC}">
              <c16:uniqueId val="{00000004-98FF-4296-B230-E43B18796D1F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</c:f>
            </c:numRef>
          </c:val>
          <c:smooth val="0"/>
          <c:extLst>
            <c:ext xmlns:c16="http://schemas.microsoft.com/office/drawing/2014/chart" uri="{C3380CC4-5D6E-409C-BE32-E72D297353CC}">
              <c16:uniqueId val="{00000005-98FF-4296-B230-E43B18796D1F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</c:f>
            </c:numRef>
          </c:val>
          <c:smooth val="0"/>
          <c:extLst>
            <c:ext xmlns:c16="http://schemas.microsoft.com/office/drawing/2014/chart" uri="{C3380CC4-5D6E-409C-BE32-E72D297353CC}">
              <c16:uniqueId val="{00000002-98FF-4296-B230-E43B18796D1F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</c:f>
            </c:numRef>
          </c:val>
          <c:smooth val="0"/>
          <c:extLst>
            <c:ext xmlns:c16="http://schemas.microsoft.com/office/drawing/2014/chart" uri="{C3380CC4-5D6E-409C-BE32-E72D297353CC}">
              <c16:uniqueId val="{00000001-98FF-4296-B230-E43B1879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13504"/>
        <c:axId val="2120715424"/>
      </c:lineChart>
      <c:catAx>
        <c:axId val="212071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5424"/>
        <c:crosses val="autoZero"/>
        <c:auto val="1"/>
        <c:lblAlgn val="ctr"/>
        <c:lblOffset val="100"/>
        <c:noMultiLvlLbl val="0"/>
      </c:catAx>
      <c:valAx>
        <c:axId val="21207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[0]!PCG_Rec2</c:f>
            </c:numRef>
          </c:val>
          <c:smooth val="0"/>
          <c:extLst>
            <c:ext xmlns:c16="http://schemas.microsoft.com/office/drawing/2014/chart" uri="{C3380CC4-5D6E-409C-BE32-E72D297353CC}">
              <c16:uniqueId val="{00000003-B66F-4314-AA5A-9E57B7CDBCC9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[0]!PCG_Up2</c:f>
            </c:numRef>
          </c:val>
          <c:smooth val="0"/>
          <c:extLst>
            <c:ext xmlns:c16="http://schemas.microsoft.com/office/drawing/2014/chart" uri="{C3380CC4-5D6E-409C-BE32-E72D297353CC}">
              <c16:uniqueId val="{00000004-B66F-4314-AA5A-9E57B7CDBCC9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[0]!PCG_Dn2</c:f>
            </c:numRef>
          </c:val>
          <c:smooth val="0"/>
          <c:extLst>
            <c:ext xmlns:c16="http://schemas.microsoft.com/office/drawing/2014/chart" uri="{C3380CC4-5D6E-409C-BE32-E72D297353CC}">
              <c16:uniqueId val="{00000005-B66F-4314-AA5A-9E57B7CDBCC9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[0]!PCG_Mean2</c:f>
            </c:numRef>
          </c:val>
          <c:smooth val="0"/>
          <c:extLst>
            <c:ext xmlns:c16="http://schemas.microsoft.com/office/drawing/2014/chart" uri="{C3380CC4-5D6E-409C-BE32-E72D297353CC}">
              <c16:uniqueId val="{00000002-B66F-4314-AA5A-9E57B7CDBCC9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[0]!PCG_Act2</c:f>
            </c:numRef>
          </c:val>
          <c:smooth val="0"/>
          <c:extLst>
            <c:ext xmlns:c16="http://schemas.microsoft.com/office/drawing/2014/chart" uri="{C3380CC4-5D6E-409C-BE32-E72D297353CC}">
              <c16:uniqueId val="{00000001-B66F-4314-AA5A-9E57B7CD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23104"/>
        <c:axId val="2120723584"/>
      </c:lineChart>
      <c:catAx>
        <c:axId val="21207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584"/>
        <c:crosses val="autoZero"/>
        <c:auto val="1"/>
        <c:lblAlgn val="ctr"/>
        <c:lblOffset val="100"/>
        <c:noMultiLvlLbl val="0"/>
      </c:catAx>
      <c:valAx>
        <c:axId val="21207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[0]!PCG_Rec3</c:f>
            </c:numRef>
          </c:val>
          <c:smooth val="0"/>
          <c:extLst>
            <c:ext xmlns:c16="http://schemas.microsoft.com/office/drawing/2014/chart" uri="{C3380CC4-5D6E-409C-BE32-E72D297353CC}">
              <c16:uniqueId val="{00000003-3DD1-41D0-B3A4-5FA6ADC5A878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[0]!PCG_Up3</c:f>
            </c:numRef>
          </c:val>
          <c:smooth val="0"/>
          <c:extLst>
            <c:ext xmlns:c16="http://schemas.microsoft.com/office/drawing/2014/chart" uri="{C3380CC4-5D6E-409C-BE32-E72D297353CC}">
              <c16:uniqueId val="{00000004-3DD1-41D0-B3A4-5FA6ADC5A878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[0]!PCG_Dn3</c:f>
            </c:numRef>
          </c:val>
          <c:smooth val="0"/>
          <c:extLst>
            <c:ext xmlns:c16="http://schemas.microsoft.com/office/drawing/2014/chart" uri="{C3380CC4-5D6E-409C-BE32-E72D297353CC}">
              <c16:uniqueId val="{00000005-3DD1-41D0-B3A4-5FA6ADC5A878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[0]!PCG_Mean3</c:f>
            </c:numRef>
          </c:val>
          <c:smooth val="0"/>
          <c:extLst>
            <c:ext xmlns:c16="http://schemas.microsoft.com/office/drawing/2014/chart" uri="{C3380CC4-5D6E-409C-BE32-E72D297353CC}">
              <c16:uniqueId val="{00000002-3DD1-41D0-B3A4-5FA6ADC5A878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[0]!PCG_Act3</c:f>
            </c:numRef>
          </c:val>
          <c:smooth val="0"/>
          <c:extLst>
            <c:ext xmlns:c16="http://schemas.microsoft.com/office/drawing/2014/chart" uri="{C3380CC4-5D6E-409C-BE32-E72D297353CC}">
              <c16:uniqueId val="{00000001-3DD1-41D0-B3A4-5FA6ADC5A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0480"/>
        <c:axId val="2122360960"/>
      </c:lineChart>
      <c:catAx>
        <c:axId val="2122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960"/>
        <c:crosses val="autoZero"/>
        <c:auto val="1"/>
        <c:lblAlgn val="ctr"/>
        <c:lblOffset val="100"/>
        <c:noMultiLvlLbl val="0"/>
      </c:catAx>
      <c:valAx>
        <c:axId val="21223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[0]!PCG_Rec4</c:f>
            </c:numRef>
          </c:val>
          <c:smooth val="0"/>
          <c:extLst>
            <c:ext xmlns:c16="http://schemas.microsoft.com/office/drawing/2014/chart" uri="{C3380CC4-5D6E-409C-BE32-E72D297353CC}">
              <c16:uniqueId val="{00000003-A0AB-4AC4-B993-9B23D06E4C1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[0]!PCG_Up4</c:f>
            </c:numRef>
          </c:val>
          <c:smooth val="0"/>
          <c:extLst>
            <c:ext xmlns:c16="http://schemas.microsoft.com/office/drawing/2014/chart" uri="{C3380CC4-5D6E-409C-BE32-E72D297353CC}">
              <c16:uniqueId val="{00000004-A0AB-4AC4-B993-9B23D06E4C1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[0]!PCG_Dn4</c:f>
            </c:numRef>
          </c:val>
          <c:smooth val="0"/>
          <c:extLst>
            <c:ext xmlns:c16="http://schemas.microsoft.com/office/drawing/2014/chart" uri="{C3380CC4-5D6E-409C-BE32-E72D297353CC}">
              <c16:uniqueId val="{00000005-A0AB-4AC4-B993-9B23D06E4C1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[0]!PCG_Mean4</c:f>
            </c:numRef>
          </c:val>
          <c:smooth val="0"/>
          <c:extLst>
            <c:ext xmlns:c16="http://schemas.microsoft.com/office/drawing/2014/chart" uri="{C3380CC4-5D6E-409C-BE32-E72D297353CC}">
              <c16:uniqueId val="{00000002-A0AB-4AC4-B993-9B23D06E4C1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[0]!PCG_Act4</c:f>
            </c:numRef>
          </c:val>
          <c:smooth val="0"/>
          <c:extLst>
            <c:ext xmlns:c16="http://schemas.microsoft.com/office/drawing/2014/chart" uri="{C3380CC4-5D6E-409C-BE32-E72D297353CC}">
              <c16:uniqueId val="{00000001-A0AB-4AC4-B993-9B23D06E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6720"/>
        <c:axId val="2122367200"/>
      </c:lineChart>
      <c:catAx>
        <c:axId val="21223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7200"/>
        <c:crosses val="autoZero"/>
        <c:auto val="1"/>
        <c:lblAlgn val="ctr"/>
        <c:lblOffset val="100"/>
        <c:noMultiLvlLbl val="0"/>
      </c:catAx>
      <c:valAx>
        <c:axId val="21223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[0]!PCG_Rec5</c:f>
            </c:numRef>
          </c:val>
          <c:smooth val="0"/>
          <c:extLst>
            <c:ext xmlns:c16="http://schemas.microsoft.com/office/drawing/2014/chart" uri="{C3380CC4-5D6E-409C-BE32-E72D297353CC}">
              <c16:uniqueId val="{00000003-8289-469D-9F2D-1ADC4A443F4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[0]!PCG_Up5</c:f>
            </c:numRef>
          </c:val>
          <c:smooth val="0"/>
          <c:extLst>
            <c:ext xmlns:c16="http://schemas.microsoft.com/office/drawing/2014/chart" uri="{C3380CC4-5D6E-409C-BE32-E72D297353CC}">
              <c16:uniqueId val="{00000004-8289-469D-9F2D-1ADC4A443F4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[0]!PCG_Dn5</c:f>
            </c:numRef>
          </c:val>
          <c:smooth val="0"/>
          <c:extLst>
            <c:ext xmlns:c16="http://schemas.microsoft.com/office/drawing/2014/chart" uri="{C3380CC4-5D6E-409C-BE32-E72D297353CC}">
              <c16:uniqueId val="{00000005-8289-469D-9F2D-1ADC4A443F4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[0]!PCG_Mean5</c:f>
            </c:numRef>
          </c:val>
          <c:smooth val="0"/>
          <c:extLst>
            <c:ext xmlns:c16="http://schemas.microsoft.com/office/drawing/2014/chart" uri="{C3380CC4-5D6E-409C-BE32-E72D297353CC}">
              <c16:uniqueId val="{00000002-8289-469D-9F2D-1ADC4A443F4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[0]!PCG_Act5</c:f>
            </c:numRef>
          </c:val>
          <c:smooth val="0"/>
          <c:extLst>
            <c:ext xmlns:c16="http://schemas.microsoft.com/office/drawing/2014/chart" uri="{C3380CC4-5D6E-409C-BE32-E72D297353CC}">
              <c16:uniqueId val="{00000001-8289-469D-9F2D-1ADC4A44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53280"/>
        <c:axId val="2122359040"/>
      </c:lineChart>
      <c:catAx>
        <c:axId val="212235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9040"/>
        <c:crosses val="autoZero"/>
        <c:auto val="1"/>
        <c:lblAlgn val="ctr"/>
        <c:lblOffset val="100"/>
        <c:noMultiLvlLbl val="0"/>
      </c:catAx>
      <c:valAx>
        <c:axId val="21223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[0]!PCG_Rec6</c:f>
            </c:numRef>
          </c:val>
          <c:smooth val="0"/>
          <c:extLst>
            <c:ext xmlns:c16="http://schemas.microsoft.com/office/drawing/2014/chart" uri="{C3380CC4-5D6E-409C-BE32-E72D297353CC}">
              <c16:uniqueId val="{00000003-350D-4F4B-9C48-4D62FC84865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[0]!PCG_Up6</c:f>
            </c:numRef>
          </c:val>
          <c:smooth val="0"/>
          <c:extLst>
            <c:ext xmlns:c16="http://schemas.microsoft.com/office/drawing/2014/chart" uri="{C3380CC4-5D6E-409C-BE32-E72D297353CC}">
              <c16:uniqueId val="{00000004-350D-4F4B-9C48-4D62FC84865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[0]!PCG_Dn6</c:f>
            </c:numRef>
          </c:val>
          <c:smooth val="0"/>
          <c:extLst>
            <c:ext xmlns:c16="http://schemas.microsoft.com/office/drawing/2014/chart" uri="{C3380CC4-5D6E-409C-BE32-E72D297353CC}">
              <c16:uniqueId val="{00000005-350D-4F4B-9C48-4D62FC84865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[0]!PCG_Mean6</c:f>
            </c:numRef>
          </c:val>
          <c:smooth val="0"/>
          <c:extLst>
            <c:ext xmlns:c16="http://schemas.microsoft.com/office/drawing/2014/chart" uri="{C3380CC4-5D6E-409C-BE32-E72D297353CC}">
              <c16:uniqueId val="{00000002-350D-4F4B-9C48-4D62FC84865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[0]!PCG_Act6</c:f>
            </c:numRef>
          </c:val>
          <c:smooth val="0"/>
          <c:extLst>
            <c:ext xmlns:c16="http://schemas.microsoft.com/office/drawing/2014/chart" uri="{C3380CC4-5D6E-409C-BE32-E72D297353CC}">
              <c16:uniqueId val="{00000001-350D-4F4B-9C48-4D62FC848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5760"/>
        <c:axId val="2122355200"/>
      </c:lineChart>
      <c:catAx>
        <c:axId val="21223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5200"/>
        <c:crosses val="autoZero"/>
        <c:auto val="1"/>
        <c:lblAlgn val="ctr"/>
        <c:lblOffset val="100"/>
        <c:noMultiLvlLbl val="0"/>
      </c:catAx>
      <c:valAx>
        <c:axId val="21223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[0]!PCG_Rec7</c:f>
            </c:numRef>
          </c:val>
          <c:smooth val="0"/>
          <c:extLst>
            <c:ext xmlns:c16="http://schemas.microsoft.com/office/drawing/2014/chart" uri="{C3380CC4-5D6E-409C-BE32-E72D297353CC}">
              <c16:uniqueId val="{00000003-A3C5-40E0-8B37-33D527F9C500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[0]!PCG_Up7</c:f>
            </c:numRef>
          </c:val>
          <c:smooth val="0"/>
          <c:extLst>
            <c:ext xmlns:c16="http://schemas.microsoft.com/office/drawing/2014/chart" uri="{C3380CC4-5D6E-409C-BE32-E72D297353CC}">
              <c16:uniqueId val="{00000004-A3C5-40E0-8B37-33D527F9C500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[0]!PCG_Dn7</c:f>
            </c:numRef>
          </c:val>
          <c:smooth val="0"/>
          <c:extLst>
            <c:ext xmlns:c16="http://schemas.microsoft.com/office/drawing/2014/chart" uri="{C3380CC4-5D6E-409C-BE32-E72D297353CC}">
              <c16:uniqueId val="{00000005-A3C5-40E0-8B37-33D527F9C500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[0]!PCG_Mean7</c:f>
            </c:numRef>
          </c:val>
          <c:smooth val="0"/>
          <c:extLst>
            <c:ext xmlns:c16="http://schemas.microsoft.com/office/drawing/2014/chart" uri="{C3380CC4-5D6E-409C-BE32-E72D297353CC}">
              <c16:uniqueId val="{00000002-A3C5-40E0-8B37-33D527F9C500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[0]!PCG_Act7</c:f>
            </c:numRef>
          </c:val>
          <c:smooth val="0"/>
          <c:extLst>
            <c:ext xmlns:c16="http://schemas.microsoft.com/office/drawing/2014/chart" uri="{C3380CC4-5D6E-409C-BE32-E72D297353CC}">
              <c16:uniqueId val="{00000001-A3C5-40E0-8B37-33D527F9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7136"/>
        <c:axId val="2123379536"/>
      </c:lineChart>
      <c:catAx>
        <c:axId val="212337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536"/>
        <c:crosses val="autoZero"/>
        <c:auto val="1"/>
        <c:lblAlgn val="ctr"/>
        <c:lblOffset val="100"/>
        <c:noMultiLvlLbl val="0"/>
      </c:catAx>
      <c:valAx>
        <c:axId val="21233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[0]!PCG_Rec8</c:f>
            </c:numRef>
          </c:val>
          <c:smooth val="0"/>
          <c:extLst>
            <c:ext xmlns:c16="http://schemas.microsoft.com/office/drawing/2014/chart" uri="{C3380CC4-5D6E-409C-BE32-E72D297353CC}">
              <c16:uniqueId val="{00000003-1913-429B-927D-564BF814B6ED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[0]!PCG_Up8</c:f>
            </c:numRef>
          </c:val>
          <c:smooth val="0"/>
          <c:extLst>
            <c:ext xmlns:c16="http://schemas.microsoft.com/office/drawing/2014/chart" uri="{C3380CC4-5D6E-409C-BE32-E72D297353CC}">
              <c16:uniqueId val="{00000004-1913-429B-927D-564BF814B6ED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[0]!PCG_Dn8</c:f>
            </c:numRef>
          </c:val>
          <c:smooth val="0"/>
          <c:extLst>
            <c:ext xmlns:c16="http://schemas.microsoft.com/office/drawing/2014/chart" uri="{C3380CC4-5D6E-409C-BE32-E72D297353CC}">
              <c16:uniqueId val="{00000005-1913-429B-927D-564BF814B6ED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[0]!PCG_Mean8</c:f>
            </c:numRef>
          </c:val>
          <c:smooth val="0"/>
          <c:extLst>
            <c:ext xmlns:c16="http://schemas.microsoft.com/office/drawing/2014/chart" uri="{C3380CC4-5D6E-409C-BE32-E72D297353CC}">
              <c16:uniqueId val="{00000002-1913-429B-927D-564BF814B6ED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[0]!PCG_Act8</c:f>
            </c:numRef>
          </c:val>
          <c:smooth val="0"/>
          <c:extLst>
            <c:ext xmlns:c16="http://schemas.microsoft.com/office/drawing/2014/chart" uri="{C3380CC4-5D6E-409C-BE32-E72D297353CC}">
              <c16:uniqueId val="{00000001-1913-429B-927D-564BF814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9056"/>
        <c:axId val="2123378576"/>
      </c:lineChart>
      <c:catAx>
        <c:axId val="212337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576"/>
        <c:crosses val="autoZero"/>
        <c:auto val="1"/>
        <c:lblAlgn val="ctr"/>
        <c:lblOffset val="100"/>
        <c:noMultiLvlLbl val="0"/>
      </c:catAx>
      <c:valAx>
        <c:axId val="21233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[0]!PCG_Rec9</c:f>
            </c:numRef>
          </c:val>
          <c:smooth val="0"/>
          <c:extLst>
            <c:ext xmlns:c16="http://schemas.microsoft.com/office/drawing/2014/chart" uri="{C3380CC4-5D6E-409C-BE32-E72D297353CC}">
              <c16:uniqueId val="{00000003-0711-42F5-841A-E3E24F462AD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[0]!PCG_Up9</c:f>
            </c:numRef>
          </c:val>
          <c:smooth val="0"/>
          <c:extLst>
            <c:ext xmlns:c16="http://schemas.microsoft.com/office/drawing/2014/chart" uri="{C3380CC4-5D6E-409C-BE32-E72D297353CC}">
              <c16:uniqueId val="{00000004-0711-42F5-841A-E3E24F462AD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[0]!PCG_Dn9</c:f>
            </c:numRef>
          </c:val>
          <c:smooth val="0"/>
          <c:extLst>
            <c:ext xmlns:c16="http://schemas.microsoft.com/office/drawing/2014/chart" uri="{C3380CC4-5D6E-409C-BE32-E72D297353CC}">
              <c16:uniqueId val="{00000005-0711-42F5-841A-E3E24F462AD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[0]!PCG_Mean9</c:f>
            </c:numRef>
          </c:val>
          <c:smooth val="0"/>
          <c:extLst>
            <c:ext xmlns:c16="http://schemas.microsoft.com/office/drawing/2014/chart" uri="{C3380CC4-5D6E-409C-BE32-E72D297353CC}">
              <c16:uniqueId val="{00000002-0711-42F5-841A-E3E24F462AD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[0]!PCG_Act9</c:f>
            </c:numRef>
          </c:val>
          <c:smooth val="0"/>
          <c:extLst>
            <c:ext xmlns:c16="http://schemas.microsoft.com/office/drawing/2014/chart" uri="{C3380CC4-5D6E-409C-BE32-E72D297353CC}">
              <c16:uniqueId val="{00000001-0711-42F5-841A-E3E24F46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8096"/>
        <c:axId val="2123380016"/>
      </c:lineChart>
      <c:catAx>
        <c:axId val="212337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80016"/>
        <c:crosses val="autoZero"/>
        <c:auto val="1"/>
        <c:lblAlgn val="ctr"/>
        <c:lblOffset val="100"/>
        <c:noMultiLvlLbl val="0"/>
      </c:catAx>
      <c:valAx>
        <c:axId val="21233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[0]!PCG_Rec10</c:f>
            </c:numRef>
          </c:val>
          <c:smooth val="0"/>
          <c:extLst>
            <c:ext xmlns:c16="http://schemas.microsoft.com/office/drawing/2014/chart" uri="{C3380CC4-5D6E-409C-BE32-E72D297353CC}">
              <c16:uniqueId val="{00000003-4FEA-4492-AC6D-B7F8E83B115E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[0]!PCG_Up10</c:f>
            </c:numRef>
          </c:val>
          <c:smooth val="0"/>
          <c:extLst>
            <c:ext xmlns:c16="http://schemas.microsoft.com/office/drawing/2014/chart" uri="{C3380CC4-5D6E-409C-BE32-E72D297353CC}">
              <c16:uniqueId val="{00000004-4FEA-4492-AC6D-B7F8E83B115E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[0]!PCG_Dn10</c:f>
            </c:numRef>
          </c:val>
          <c:smooth val="0"/>
          <c:extLst>
            <c:ext xmlns:c16="http://schemas.microsoft.com/office/drawing/2014/chart" uri="{C3380CC4-5D6E-409C-BE32-E72D297353CC}">
              <c16:uniqueId val="{00000005-4FEA-4492-AC6D-B7F8E83B115E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[0]!PCG_Mean10</c:f>
            </c:numRef>
          </c:val>
          <c:smooth val="0"/>
          <c:extLst>
            <c:ext xmlns:c16="http://schemas.microsoft.com/office/drawing/2014/chart" uri="{C3380CC4-5D6E-409C-BE32-E72D297353CC}">
              <c16:uniqueId val="{00000002-4FEA-4492-AC6D-B7F8E83B115E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[0]!PCG_Act10</c:f>
            </c:numRef>
          </c:val>
          <c:smooth val="0"/>
          <c:extLst>
            <c:ext xmlns:c16="http://schemas.microsoft.com/office/drawing/2014/chart" uri="{C3380CC4-5D6E-409C-BE32-E72D297353CC}">
              <c16:uniqueId val="{00000001-4FEA-4492-AC6D-B7F8E83B1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90096"/>
        <c:axId val="2123721376"/>
      </c:lineChart>
      <c:catAx>
        <c:axId val="212339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721376"/>
        <c:crosses val="autoZero"/>
        <c:auto val="1"/>
        <c:lblAlgn val="ctr"/>
        <c:lblOffset val="100"/>
        <c:noMultiLvlLbl val="0"/>
      </c:catAx>
      <c:valAx>
        <c:axId val="21237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9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9.xml"/><Relationship Id="rId21" Type="http://schemas.openxmlformats.org/officeDocument/2006/relationships/chart" Target="../charts/chart24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63" Type="http://schemas.openxmlformats.org/officeDocument/2006/relationships/chart" Target="../charts/chart66.xml"/><Relationship Id="rId68" Type="http://schemas.openxmlformats.org/officeDocument/2006/relationships/chart" Target="../charts/chart71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66" Type="http://schemas.openxmlformats.org/officeDocument/2006/relationships/chart" Target="../charts/chart69.xml"/><Relationship Id="rId5" Type="http://schemas.openxmlformats.org/officeDocument/2006/relationships/chart" Target="../charts/chart8.xml"/><Relationship Id="rId61" Type="http://schemas.openxmlformats.org/officeDocument/2006/relationships/chart" Target="../charts/chart64.xml"/><Relationship Id="rId19" Type="http://schemas.openxmlformats.org/officeDocument/2006/relationships/chart" Target="../charts/chart2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56" Type="http://schemas.openxmlformats.org/officeDocument/2006/relationships/chart" Target="../charts/chart59.xml"/><Relationship Id="rId64" Type="http://schemas.openxmlformats.org/officeDocument/2006/relationships/chart" Target="../charts/chart67.xml"/><Relationship Id="rId69" Type="http://schemas.openxmlformats.org/officeDocument/2006/relationships/chart" Target="../charts/chart72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67" Type="http://schemas.openxmlformats.org/officeDocument/2006/relationships/chart" Target="../charts/chart70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62" Type="http://schemas.openxmlformats.org/officeDocument/2006/relationships/chart" Target="../charts/chart65.xml"/><Relationship Id="rId70" Type="http://schemas.openxmlformats.org/officeDocument/2006/relationships/chart" Target="../charts/chart7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Relationship Id="rId65" Type="http://schemas.openxmlformats.org/officeDocument/2006/relationships/chart" Target="../charts/chart6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9" Type="http://schemas.openxmlformats.org/officeDocument/2006/relationships/chart" Target="../charts/chart42.xml"/><Relationship Id="rId34" Type="http://schemas.openxmlformats.org/officeDocument/2006/relationships/chart" Target="../charts/chart37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10</xdr:row>
      <xdr:rowOff>25400</xdr:rowOff>
    </xdr:from>
    <xdr:to>
      <xdr:col>10</xdr:col>
      <xdr:colOff>742950</xdr:colOff>
      <xdr:row>25</xdr:row>
      <xdr:rowOff>209550</xdr:rowOff>
    </xdr:to>
    <xdr:graphicFrame macro="">
      <xdr:nvGraphicFramePr>
        <xdr:cNvPr id="2" name="PCG_1_1">
          <a:extLst>
            <a:ext uri="{FF2B5EF4-FFF2-40B4-BE49-F238E27FC236}">
              <a16:creationId xmlns:a16="http://schemas.microsoft.com/office/drawing/2014/main" id="{0B5B637F-25A7-FE30-502C-72F26DAAE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26</xdr:row>
      <xdr:rowOff>25400</xdr:rowOff>
    </xdr:from>
    <xdr:to>
      <xdr:col>10</xdr:col>
      <xdr:colOff>742950</xdr:colOff>
      <xdr:row>41</xdr:row>
      <xdr:rowOff>209550</xdr:rowOff>
    </xdr:to>
    <xdr:graphicFrame macro="">
      <xdr:nvGraphicFramePr>
        <xdr:cNvPr id="3" name="PCG_1_2">
          <a:extLst>
            <a:ext uri="{FF2B5EF4-FFF2-40B4-BE49-F238E27FC236}">
              <a16:creationId xmlns:a16="http://schemas.microsoft.com/office/drawing/2014/main" id="{065454AF-A85D-3CD6-4334-451AE52A0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</xdr:colOff>
      <xdr:row>42</xdr:row>
      <xdr:rowOff>25400</xdr:rowOff>
    </xdr:from>
    <xdr:to>
      <xdr:col>10</xdr:col>
      <xdr:colOff>742950</xdr:colOff>
      <xdr:row>57</xdr:row>
      <xdr:rowOff>209550</xdr:rowOff>
    </xdr:to>
    <xdr:graphicFrame macro="">
      <xdr:nvGraphicFramePr>
        <xdr:cNvPr id="4" name="PCG_1_3">
          <a:extLst>
            <a:ext uri="{FF2B5EF4-FFF2-40B4-BE49-F238E27FC236}">
              <a16:creationId xmlns:a16="http://schemas.microsoft.com/office/drawing/2014/main" id="{A2E33E12-D8D5-7324-C884-BDBAE194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25400</xdr:colOff>
      <xdr:row>58</xdr:row>
      <xdr:rowOff>25400</xdr:rowOff>
    </xdr:from>
    <xdr:to>
      <xdr:col>10</xdr:col>
      <xdr:colOff>742950</xdr:colOff>
      <xdr:row>73</xdr:row>
      <xdr:rowOff>209550</xdr:rowOff>
    </xdr:to>
    <xdr:graphicFrame macro="">
      <xdr:nvGraphicFramePr>
        <xdr:cNvPr id="5" name="PCG_1_4">
          <a:extLst>
            <a:ext uri="{FF2B5EF4-FFF2-40B4-BE49-F238E27FC236}">
              <a16:creationId xmlns:a16="http://schemas.microsoft.com/office/drawing/2014/main" id="{398F0332-D74D-0F79-7EAE-35D2191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74</xdr:row>
      <xdr:rowOff>25400</xdr:rowOff>
    </xdr:from>
    <xdr:to>
      <xdr:col>10</xdr:col>
      <xdr:colOff>742950</xdr:colOff>
      <xdr:row>89</xdr:row>
      <xdr:rowOff>209550</xdr:rowOff>
    </xdr:to>
    <xdr:graphicFrame macro="">
      <xdr:nvGraphicFramePr>
        <xdr:cNvPr id="6" name="PCG_1_5">
          <a:extLst>
            <a:ext uri="{FF2B5EF4-FFF2-40B4-BE49-F238E27FC236}">
              <a16:creationId xmlns:a16="http://schemas.microsoft.com/office/drawing/2014/main" id="{4F9B7A26-68AD-3F5B-E438-DEDC18DCA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25400</xdr:colOff>
      <xdr:row>90</xdr:row>
      <xdr:rowOff>25400</xdr:rowOff>
    </xdr:from>
    <xdr:to>
      <xdr:col>10</xdr:col>
      <xdr:colOff>742950</xdr:colOff>
      <xdr:row>105</xdr:row>
      <xdr:rowOff>209550</xdr:rowOff>
    </xdr:to>
    <xdr:graphicFrame macro="">
      <xdr:nvGraphicFramePr>
        <xdr:cNvPr id="7" name="PCG_1_6">
          <a:extLst>
            <a:ext uri="{FF2B5EF4-FFF2-40B4-BE49-F238E27FC236}">
              <a16:creationId xmlns:a16="http://schemas.microsoft.com/office/drawing/2014/main" id="{6F1619B5-35FB-5AA5-6F7D-DD86F28E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17</xdr:col>
      <xdr:colOff>742950</xdr:colOff>
      <xdr:row>25</xdr:row>
      <xdr:rowOff>209550</xdr:rowOff>
    </xdr:to>
    <xdr:graphicFrame macro="">
      <xdr:nvGraphicFramePr>
        <xdr:cNvPr id="8" name="PCG_2_1">
          <a:extLst>
            <a:ext uri="{FF2B5EF4-FFF2-40B4-BE49-F238E27FC236}">
              <a16:creationId xmlns:a16="http://schemas.microsoft.com/office/drawing/2014/main" id="{DD98A588-1F0E-5791-9DF4-256678872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</xdr:colOff>
      <xdr:row>26</xdr:row>
      <xdr:rowOff>25400</xdr:rowOff>
    </xdr:from>
    <xdr:to>
      <xdr:col>17</xdr:col>
      <xdr:colOff>742950</xdr:colOff>
      <xdr:row>41</xdr:row>
      <xdr:rowOff>209550</xdr:rowOff>
    </xdr:to>
    <xdr:graphicFrame macro="">
      <xdr:nvGraphicFramePr>
        <xdr:cNvPr id="9" name="PCG_2_2">
          <a:extLst>
            <a:ext uri="{FF2B5EF4-FFF2-40B4-BE49-F238E27FC236}">
              <a16:creationId xmlns:a16="http://schemas.microsoft.com/office/drawing/2014/main" id="{E1DCC4D6-D235-5A2A-40A0-87AE553A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</xdr:colOff>
      <xdr:row>42</xdr:row>
      <xdr:rowOff>25400</xdr:rowOff>
    </xdr:from>
    <xdr:to>
      <xdr:col>17</xdr:col>
      <xdr:colOff>742950</xdr:colOff>
      <xdr:row>57</xdr:row>
      <xdr:rowOff>209550</xdr:rowOff>
    </xdr:to>
    <xdr:graphicFrame macro="">
      <xdr:nvGraphicFramePr>
        <xdr:cNvPr id="10" name="PCG_2_3">
          <a:extLst>
            <a:ext uri="{FF2B5EF4-FFF2-40B4-BE49-F238E27FC236}">
              <a16:creationId xmlns:a16="http://schemas.microsoft.com/office/drawing/2014/main" id="{33F162AD-C4A4-783C-5053-6272E6E57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58</xdr:row>
      <xdr:rowOff>25400</xdr:rowOff>
    </xdr:from>
    <xdr:to>
      <xdr:col>17</xdr:col>
      <xdr:colOff>742950</xdr:colOff>
      <xdr:row>73</xdr:row>
      <xdr:rowOff>209550</xdr:rowOff>
    </xdr:to>
    <xdr:graphicFrame macro="">
      <xdr:nvGraphicFramePr>
        <xdr:cNvPr id="11" name="PCG_2_4">
          <a:extLst>
            <a:ext uri="{FF2B5EF4-FFF2-40B4-BE49-F238E27FC236}">
              <a16:creationId xmlns:a16="http://schemas.microsoft.com/office/drawing/2014/main" id="{8A5828AD-4144-EA4C-3529-D9171B00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</xdr:colOff>
      <xdr:row>74</xdr:row>
      <xdr:rowOff>25400</xdr:rowOff>
    </xdr:from>
    <xdr:to>
      <xdr:col>17</xdr:col>
      <xdr:colOff>742950</xdr:colOff>
      <xdr:row>89</xdr:row>
      <xdr:rowOff>209550</xdr:rowOff>
    </xdr:to>
    <xdr:graphicFrame macro="">
      <xdr:nvGraphicFramePr>
        <xdr:cNvPr id="12" name="PCG_2_5">
          <a:extLst>
            <a:ext uri="{FF2B5EF4-FFF2-40B4-BE49-F238E27FC236}">
              <a16:creationId xmlns:a16="http://schemas.microsoft.com/office/drawing/2014/main" id="{FB29B481-1D35-DABF-6803-A15CA7F2F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25400</xdr:colOff>
      <xdr:row>90</xdr:row>
      <xdr:rowOff>25400</xdr:rowOff>
    </xdr:from>
    <xdr:to>
      <xdr:col>17</xdr:col>
      <xdr:colOff>742950</xdr:colOff>
      <xdr:row>105</xdr:row>
      <xdr:rowOff>209550</xdr:rowOff>
    </xdr:to>
    <xdr:graphicFrame macro="">
      <xdr:nvGraphicFramePr>
        <xdr:cNvPr id="13" name="PCG_2_6">
          <a:extLst>
            <a:ext uri="{FF2B5EF4-FFF2-40B4-BE49-F238E27FC236}">
              <a16:creationId xmlns:a16="http://schemas.microsoft.com/office/drawing/2014/main" id="{BBE28477-2370-7053-6466-E3BCA0E2C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25400</xdr:colOff>
      <xdr:row>10</xdr:row>
      <xdr:rowOff>25400</xdr:rowOff>
    </xdr:from>
    <xdr:to>
      <xdr:col>24</xdr:col>
      <xdr:colOff>742950</xdr:colOff>
      <xdr:row>25</xdr:row>
      <xdr:rowOff>209550</xdr:rowOff>
    </xdr:to>
    <xdr:graphicFrame macro="">
      <xdr:nvGraphicFramePr>
        <xdr:cNvPr id="14" name="PCG_3_1">
          <a:extLst>
            <a:ext uri="{FF2B5EF4-FFF2-40B4-BE49-F238E27FC236}">
              <a16:creationId xmlns:a16="http://schemas.microsoft.com/office/drawing/2014/main" id="{B0216956-258A-89EF-D397-550F0DCBE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25400</xdr:colOff>
      <xdr:row>26</xdr:row>
      <xdr:rowOff>25400</xdr:rowOff>
    </xdr:from>
    <xdr:to>
      <xdr:col>24</xdr:col>
      <xdr:colOff>742950</xdr:colOff>
      <xdr:row>41</xdr:row>
      <xdr:rowOff>209550</xdr:rowOff>
    </xdr:to>
    <xdr:graphicFrame macro="">
      <xdr:nvGraphicFramePr>
        <xdr:cNvPr id="15" name="PCG_3_2">
          <a:extLst>
            <a:ext uri="{FF2B5EF4-FFF2-40B4-BE49-F238E27FC236}">
              <a16:creationId xmlns:a16="http://schemas.microsoft.com/office/drawing/2014/main" id="{FED72A30-7C3C-11B9-2F30-DBEFF779D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25400</xdr:colOff>
      <xdr:row>42</xdr:row>
      <xdr:rowOff>25400</xdr:rowOff>
    </xdr:from>
    <xdr:to>
      <xdr:col>24</xdr:col>
      <xdr:colOff>742950</xdr:colOff>
      <xdr:row>57</xdr:row>
      <xdr:rowOff>209550</xdr:rowOff>
    </xdr:to>
    <xdr:graphicFrame macro="">
      <xdr:nvGraphicFramePr>
        <xdr:cNvPr id="16" name="PCG_3_3">
          <a:extLst>
            <a:ext uri="{FF2B5EF4-FFF2-40B4-BE49-F238E27FC236}">
              <a16:creationId xmlns:a16="http://schemas.microsoft.com/office/drawing/2014/main" id="{D680AD0E-3F85-3BF2-59D7-B7147119E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25400</xdr:colOff>
      <xdr:row>58</xdr:row>
      <xdr:rowOff>25400</xdr:rowOff>
    </xdr:from>
    <xdr:to>
      <xdr:col>24</xdr:col>
      <xdr:colOff>742950</xdr:colOff>
      <xdr:row>73</xdr:row>
      <xdr:rowOff>209550</xdr:rowOff>
    </xdr:to>
    <xdr:graphicFrame macro="">
      <xdr:nvGraphicFramePr>
        <xdr:cNvPr id="17" name="PCG_3_4">
          <a:extLst>
            <a:ext uri="{FF2B5EF4-FFF2-40B4-BE49-F238E27FC236}">
              <a16:creationId xmlns:a16="http://schemas.microsoft.com/office/drawing/2014/main" id="{C34375BA-0BD1-BCBC-903D-8B6C9EA4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25400</xdr:colOff>
      <xdr:row>74</xdr:row>
      <xdr:rowOff>25400</xdr:rowOff>
    </xdr:from>
    <xdr:to>
      <xdr:col>24</xdr:col>
      <xdr:colOff>742950</xdr:colOff>
      <xdr:row>89</xdr:row>
      <xdr:rowOff>209550</xdr:rowOff>
    </xdr:to>
    <xdr:graphicFrame macro="">
      <xdr:nvGraphicFramePr>
        <xdr:cNvPr id="18" name="PCG_3_5">
          <a:extLst>
            <a:ext uri="{FF2B5EF4-FFF2-40B4-BE49-F238E27FC236}">
              <a16:creationId xmlns:a16="http://schemas.microsoft.com/office/drawing/2014/main" id="{4F8645DC-F708-176B-EFD7-276A1A3CA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25400</xdr:colOff>
      <xdr:row>90</xdr:row>
      <xdr:rowOff>25400</xdr:rowOff>
    </xdr:from>
    <xdr:to>
      <xdr:col>24</xdr:col>
      <xdr:colOff>742950</xdr:colOff>
      <xdr:row>105</xdr:row>
      <xdr:rowOff>209550</xdr:rowOff>
    </xdr:to>
    <xdr:graphicFrame macro="">
      <xdr:nvGraphicFramePr>
        <xdr:cNvPr id="19" name="PCG_3_6">
          <a:extLst>
            <a:ext uri="{FF2B5EF4-FFF2-40B4-BE49-F238E27FC236}">
              <a16:creationId xmlns:a16="http://schemas.microsoft.com/office/drawing/2014/main" id="{4E84D986-C98C-74BE-4DFA-FD86ACBCB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25400</xdr:colOff>
      <xdr:row>10</xdr:row>
      <xdr:rowOff>25400</xdr:rowOff>
    </xdr:from>
    <xdr:to>
      <xdr:col>31</xdr:col>
      <xdr:colOff>742950</xdr:colOff>
      <xdr:row>25</xdr:row>
      <xdr:rowOff>209550</xdr:rowOff>
    </xdr:to>
    <xdr:graphicFrame macro="">
      <xdr:nvGraphicFramePr>
        <xdr:cNvPr id="20" name="PCG_4_1">
          <a:extLst>
            <a:ext uri="{FF2B5EF4-FFF2-40B4-BE49-F238E27FC236}">
              <a16:creationId xmlns:a16="http://schemas.microsoft.com/office/drawing/2014/main" id="{9395C031-FE2C-4C6C-98E8-E9530DA09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</xdr:colOff>
      <xdr:row>26</xdr:row>
      <xdr:rowOff>25400</xdr:rowOff>
    </xdr:from>
    <xdr:to>
      <xdr:col>31</xdr:col>
      <xdr:colOff>742950</xdr:colOff>
      <xdr:row>41</xdr:row>
      <xdr:rowOff>209550</xdr:rowOff>
    </xdr:to>
    <xdr:graphicFrame macro="">
      <xdr:nvGraphicFramePr>
        <xdr:cNvPr id="21" name="PCG_4_2">
          <a:extLst>
            <a:ext uri="{FF2B5EF4-FFF2-40B4-BE49-F238E27FC236}">
              <a16:creationId xmlns:a16="http://schemas.microsoft.com/office/drawing/2014/main" id="{10F4CCD7-D3AF-1E43-890A-607A9A240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25400</xdr:colOff>
      <xdr:row>42</xdr:row>
      <xdr:rowOff>25400</xdr:rowOff>
    </xdr:from>
    <xdr:to>
      <xdr:col>31</xdr:col>
      <xdr:colOff>742950</xdr:colOff>
      <xdr:row>57</xdr:row>
      <xdr:rowOff>209550</xdr:rowOff>
    </xdr:to>
    <xdr:graphicFrame macro="">
      <xdr:nvGraphicFramePr>
        <xdr:cNvPr id="22" name="PCG_4_3">
          <a:extLst>
            <a:ext uri="{FF2B5EF4-FFF2-40B4-BE49-F238E27FC236}">
              <a16:creationId xmlns:a16="http://schemas.microsoft.com/office/drawing/2014/main" id="{9A46F675-7A0B-0C12-619A-5F5F456BB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25400</xdr:colOff>
      <xdr:row>58</xdr:row>
      <xdr:rowOff>25400</xdr:rowOff>
    </xdr:from>
    <xdr:to>
      <xdr:col>31</xdr:col>
      <xdr:colOff>742950</xdr:colOff>
      <xdr:row>73</xdr:row>
      <xdr:rowOff>209550</xdr:rowOff>
    </xdr:to>
    <xdr:graphicFrame macro="">
      <xdr:nvGraphicFramePr>
        <xdr:cNvPr id="23" name="PCG_4_4">
          <a:extLst>
            <a:ext uri="{FF2B5EF4-FFF2-40B4-BE49-F238E27FC236}">
              <a16:creationId xmlns:a16="http://schemas.microsoft.com/office/drawing/2014/main" id="{8CFDBF8C-CB98-0FA9-57CA-2DF9A8B5F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25400</xdr:colOff>
      <xdr:row>74</xdr:row>
      <xdr:rowOff>25400</xdr:rowOff>
    </xdr:from>
    <xdr:to>
      <xdr:col>31</xdr:col>
      <xdr:colOff>742950</xdr:colOff>
      <xdr:row>89</xdr:row>
      <xdr:rowOff>209550</xdr:rowOff>
    </xdr:to>
    <xdr:graphicFrame macro="">
      <xdr:nvGraphicFramePr>
        <xdr:cNvPr id="24" name="PCG_4_5">
          <a:extLst>
            <a:ext uri="{FF2B5EF4-FFF2-40B4-BE49-F238E27FC236}">
              <a16:creationId xmlns:a16="http://schemas.microsoft.com/office/drawing/2014/main" id="{A0AADC13-B43E-0DE0-2486-0B440212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25400</xdr:colOff>
      <xdr:row>90</xdr:row>
      <xdr:rowOff>25400</xdr:rowOff>
    </xdr:from>
    <xdr:to>
      <xdr:col>31</xdr:col>
      <xdr:colOff>742950</xdr:colOff>
      <xdr:row>105</xdr:row>
      <xdr:rowOff>209550</xdr:rowOff>
    </xdr:to>
    <xdr:graphicFrame macro="">
      <xdr:nvGraphicFramePr>
        <xdr:cNvPr id="25" name="PCG_4_6">
          <a:extLst>
            <a:ext uri="{FF2B5EF4-FFF2-40B4-BE49-F238E27FC236}">
              <a16:creationId xmlns:a16="http://schemas.microsoft.com/office/drawing/2014/main" id="{C999A727-9C84-8C66-AAFF-DD881EC4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32</xdr:col>
      <xdr:colOff>25400</xdr:colOff>
      <xdr:row>10</xdr:row>
      <xdr:rowOff>25400</xdr:rowOff>
    </xdr:from>
    <xdr:to>
      <xdr:col>38</xdr:col>
      <xdr:colOff>742950</xdr:colOff>
      <xdr:row>25</xdr:row>
      <xdr:rowOff>209550</xdr:rowOff>
    </xdr:to>
    <xdr:graphicFrame macro="">
      <xdr:nvGraphicFramePr>
        <xdr:cNvPr id="26" name="PCG_5_1">
          <a:extLst>
            <a:ext uri="{FF2B5EF4-FFF2-40B4-BE49-F238E27FC236}">
              <a16:creationId xmlns:a16="http://schemas.microsoft.com/office/drawing/2014/main" id="{D029774A-143B-D090-F566-392352426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25400</xdr:colOff>
      <xdr:row>26</xdr:row>
      <xdr:rowOff>25400</xdr:rowOff>
    </xdr:from>
    <xdr:to>
      <xdr:col>38</xdr:col>
      <xdr:colOff>742950</xdr:colOff>
      <xdr:row>41</xdr:row>
      <xdr:rowOff>209550</xdr:rowOff>
    </xdr:to>
    <xdr:graphicFrame macro="">
      <xdr:nvGraphicFramePr>
        <xdr:cNvPr id="27" name="PCG_5_2">
          <a:extLst>
            <a:ext uri="{FF2B5EF4-FFF2-40B4-BE49-F238E27FC236}">
              <a16:creationId xmlns:a16="http://schemas.microsoft.com/office/drawing/2014/main" id="{093C1508-6493-861F-EE1F-96E707D46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25400</xdr:colOff>
      <xdr:row>42</xdr:row>
      <xdr:rowOff>25400</xdr:rowOff>
    </xdr:from>
    <xdr:to>
      <xdr:col>38</xdr:col>
      <xdr:colOff>742950</xdr:colOff>
      <xdr:row>57</xdr:row>
      <xdr:rowOff>209550</xdr:rowOff>
    </xdr:to>
    <xdr:graphicFrame macro="">
      <xdr:nvGraphicFramePr>
        <xdr:cNvPr id="28" name="PCG_5_3">
          <a:extLst>
            <a:ext uri="{FF2B5EF4-FFF2-40B4-BE49-F238E27FC236}">
              <a16:creationId xmlns:a16="http://schemas.microsoft.com/office/drawing/2014/main" id="{7D52F355-7559-993B-0DFC-F0EF1A01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25400</xdr:colOff>
      <xdr:row>58</xdr:row>
      <xdr:rowOff>25400</xdr:rowOff>
    </xdr:from>
    <xdr:to>
      <xdr:col>38</xdr:col>
      <xdr:colOff>742950</xdr:colOff>
      <xdr:row>73</xdr:row>
      <xdr:rowOff>209550</xdr:rowOff>
    </xdr:to>
    <xdr:graphicFrame macro="">
      <xdr:nvGraphicFramePr>
        <xdr:cNvPr id="29" name="PCG_5_4">
          <a:extLst>
            <a:ext uri="{FF2B5EF4-FFF2-40B4-BE49-F238E27FC236}">
              <a16:creationId xmlns:a16="http://schemas.microsoft.com/office/drawing/2014/main" id="{2EA4DF2A-DA81-E366-AABD-2BB68808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25400</xdr:colOff>
      <xdr:row>74</xdr:row>
      <xdr:rowOff>25400</xdr:rowOff>
    </xdr:from>
    <xdr:to>
      <xdr:col>38</xdr:col>
      <xdr:colOff>742950</xdr:colOff>
      <xdr:row>89</xdr:row>
      <xdr:rowOff>209550</xdr:rowOff>
    </xdr:to>
    <xdr:graphicFrame macro="">
      <xdr:nvGraphicFramePr>
        <xdr:cNvPr id="30" name="PCG_5_5">
          <a:extLst>
            <a:ext uri="{FF2B5EF4-FFF2-40B4-BE49-F238E27FC236}">
              <a16:creationId xmlns:a16="http://schemas.microsoft.com/office/drawing/2014/main" id="{8EDA1DB3-EF5B-E462-8DAE-DE5F4DEF7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25400</xdr:colOff>
      <xdr:row>90</xdr:row>
      <xdr:rowOff>25400</xdr:rowOff>
    </xdr:from>
    <xdr:to>
      <xdr:col>38</xdr:col>
      <xdr:colOff>742950</xdr:colOff>
      <xdr:row>105</xdr:row>
      <xdr:rowOff>209550</xdr:rowOff>
    </xdr:to>
    <xdr:graphicFrame macro="">
      <xdr:nvGraphicFramePr>
        <xdr:cNvPr id="31" name="PCG_5_6">
          <a:extLst>
            <a:ext uri="{FF2B5EF4-FFF2-40B4-BE49-F238E27FC236}">
              <a16:creationId xmlns:a16="http://schemas.microsoft.com/office/drawing/2014/main" id="{4BEC41EE-9DAA-0777-626D-685E4331C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39</xdr:col>
      <xdr:colOff>25400</xdr:colOff>
      <xdr:row>10</xdr:row>
      <xdr:rowOff>25400</xdr:rowOff>
    </xdr:from>
    <xdr:to>
      <xdr:col>45</xdr:col>
      <xdr:colOff>742950</xdr:colOff>
      <xdr:row>25</xdr:row>
      <xdr:rowOff>209550</xdr:rowOff>
    </xdr:to>
    <xdr:graphicFrame macro="">
      <xdr:nvGraphicFramePr>
        <xdr:cNvPr id="32" name="PCG_6_1">
          <a:extLst>
            <a:ext uri="{FF2B5EF4-FFF2-40B4-BE49-F238E27FC236}">
              <a16:creationId xmlns:a16="http://schemas.microsoft.com/office/drawing/2014/main" id="{DEB3FD24-87CF-C63E-8E96-90BC02176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39</xdr:col>
      <xdr:colOff>25400</xdr:colOff>
      <xdr:row>26</xdr:row>
      <xdr:rowOff>25400</xdr:rowOff>
    </xdr:from>
    <xdr:to>
      <xdr:col>45</xdr:col>
      <xdr:colOff>742950</xdr:colOff>
      <xdr:row>41</xdr:row>
      <xdr:rowOff>209550</xdr:rowOff>
    </xdr:to>
    <xdr:graphicFrame macro="">
      <xdr:nvGraphicFramePr>
        <xdr:cNvPr id="33" name="PCG_6_2">
          <a:extLst>
            <a:ext uri="{FF2B5EF4-FFF2-40B4-BE49-F238E27FC236}">
              <a16:creationId xmlns:a16="http://schemas.microsoft.com/office/drawing/2014/main" id="{A4039E4B-40CD-A360-2A46-22840D9D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39</xdr:col>
      <xdr:colOff>25400</xdr:colOff>
      <xdr:row>42</xdr:row>
      <xdr:rowOff>25400</xdr:rowOff>
    </xdr:from>
    <xdr:to>
      <xdr:col>45</xdr:col>
      <xdr:colOff>742950</xdr:colOff>
      <xdr:row>57</xdr:row>
      <xdr:rowOff>209550</xdr:rowOff>
    </xdr:to>
    <xdr:graphicFrame macro="">
      <xdr:nvGraphicFramePr>
        <xdr:cNvPr id="34" name="PCG_6_3">
          <a:extLst>
            <a:ext uri="{FF2B5EF4-FFF2-40B4-BE49-F238E27FC236}">
              <a16:creationId xmlns:a16="http://schemas.microsoft.com/office/drawing/2014/main" id="{A15E204A-C6F8-1D89-CB53-4BC47F582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39</xdr:col>
      <xdr:colOff>25400</xdr:colOff>
      <xdr:row>58</xdr:row>
      <xdr:rowOff>25400</xdr:rowOff>
    </xdr:from>
    <xdr:to>
      <xdr:col>45</xdr:col>
      <xdr:colOff>742950</xdr:colOff>
      <xdr:row>73</xdr:row>
      <xdr:rowOff>209550</xdr:rowOff>
    </xdr:to>
    <xdr:graphicFrame macro="">
      <xdr:nvGraphicFramePr>
        <xdr:cNvPr id="35" name="PCG_6_4">
          <a:extLst>
            <a:ext uri="{FF2B5EF4-FFF2-40B4-BE49-F238E27FC236}">
              <a16:creationId xmlns:a16="http://schemas.microsoft.com/office/drawing/2014/main" id="{E8D489C9-B071-0BCE-9554-05CADB0B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39</xdr:col>
      <xdr:colOff>25400</xdr:colOff>
      <xdr:row>74</xdr:row>
      <xdr:rowOff>25400</xdr:rowOff>
    </xdr:from>
    <xdr:to>
      <xdr:col>45</xdr:col>
      <xdr:colOff>742950</xdr:colOff>
      <xdr:row>89</xdr:row>
      <xdr:rowOff>209550</xdr:rowOff>
    </xdr:to>
    <xdr:graphicFrame macro="">
      <xdr:nvGraphicFramePr>
        <xdr:cNvPr id="36" name="PCG_6_5">
          <a:extLst>
            <a:ext uri="{FF2B5EF4-FFF2-40B4-BE49-F238E27FC236}">
              <a16:creationId xmlns:a16="http://schemas.microsoft.com/office/drawing/2014/main" id="{398C135F-2D37-86ED-88B4-AD37B0473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39</xdr:col>
      <xdr:colOff>25400</xdr:colOff>
      <xdr:row>90</xdr:row>
      <xdr:rowOff>25400</xdr:rowOff>
    </xdr:from>
    <xdr:to>
      <xdr:col>45</xdr:col>
      <xdr:colOff>742950</xdr:colOff>
      <xdr:row>105</xdr:row>
      <xdr:rowOff>209550</xdr:rowOff>
    </xdr:to>
    <xdr:graphicFrame macro="">
      <xdr:nvGraphicFramePr>
        <xdr:cNvPr id="37" name="PCG_6_6">
          <a:extLst>
            <a:ext uri="{FF2B5EF4-FFF2-40B4-BE49-F238E27FC236}">
              <a16:creationId xmlns:a16="http://schemas.microsoft.com/office/drawing/2014/main" id="{11EA5391-6376-9222-B4EF-AD1E7408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46</xdr:col>
      <xdr:colOff>25400</xdr:colOff>
      <xdr:row>10</xdr:row>
      <xdr:rowOff>25400</xdr:rowOff>
    </xdr:from>
    <xdr:to>
      <xdr:col>52</xdr:col>
      <xdr:colOff>742950</xdr:colOff>
      <xdr:row>25</xdr:row>
      <xdr:rowOff>209550</xdr:rowOff>
    </xdr:to>
    <xdr:graphicFrame macro="">
      <xdr:nvGraphicFramePr>
        <xdr:cNvPr id="38" name="PCG_7_1">
          <a:extLst>
            <a:ext uri="{FF2B5EF4-FFF2-40B4-BE49-F238E27FC236}">
              <a16:creationId xmlns:a16="http://schemas.microsoft.com/office/drawing/2014/main" id="{FB8CFA7C-2C66-C24E-1053-1A0F189C5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46</xdr:col>
      <xdr:colOff>25400</xdr:colOff>
      <xdr:row>26</xdr:row>
      <xdr:rowOff>25400</xdr:rowOff>
    </xdr:from>
    <xdr:to>
      <xdr:col>52</xdr:col>
      <xdr:colOff>742950</xdr:colOff>
      <xdr:row>41</xdr:row>
      <xdr:rowOff>209550</xdr:rowOff>
    </xdr:to>
    <xdr:graphicFrame macro="">
      <xdr:nvGraphicFramePr>
        <xdr:cNvPr id="39" name="PCG_7_2">
          <a:extLst>
            <a:ext uri="{FF2B5EF4-FFF2-40B4-BE49-F238E27FC236}">
              <a16:creationId xmlns:a16="http://schemas.microsoft.com/office/drawing/2014/main" id="{A4FA0132-7F12-A576-EC25-8A33165D5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46</xdr:col>
      <xdr:colOff>25400</xdr:colOff>
      <xdr:row>42</xdr:row>
      <xdr:rowOff>25400</xdr:rowOff>
    </xdr:from>
    <xdr:to>
      <xdr:col>52</xdr:col>
      <xdr:colOff>742950</xdr:colOff>
      <xdr:row>57</xdr:row>
      <xdr:rowOff>209550</xdr:rowOff>
    </xdr:to>
    <xdr:graphicFrame macro="">
      <xdr:nvGraphicFramePr>
        <xdr:cNvPr id="40" name="PCG_7_3">
          <a:extLst>
            <a:ext uri="{FF2B5EF4-FFF2-40B4-BE49-F238E27FC236}">
              <a16:creationId xmlns:a16="http://schemas.microsoft.com/office/drawing/2014/main" id="{C9155A63-F5D8-0600-6CA2-4B460FEAE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46</xdr:col>
      <xdr:colOff>25400</xdr:colOff>
      <xdr:row>58</xdr:row>
      <xdr:rowOff>25400</xdr:rowOff>
    </xdr:from>
    <xdr:to>
      <xdr:col>52</xdr:col>
      <xdr:colOff>742950</xdr:colOff>
      <xdr:row>73</xdr:row>
      <xdr:rowOff>209550</xdr:rowOff>
    </xdr:to>
    <xdr:graphicFrame macro="">
      <xdr:nvGraphicFramePr>
        <xdr:cNvPr id="41" name="PCG_7_4">
          <a:extLst>
            <a:ext uri="{FF2B5EF4-FFF2-40B4-BE49-F238E27FC236}">
              <a16:creationId xmlns:a16="http://schemas.microsoft.com/office/drawing/2014/main" id="{3A96E0BC-95AF-4744-FFA0-9609FB3E8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46</xdr:col>
      <xdr:colOff>25400</xdr:colOff>
      <xdr:row>74</xdr:row>
      <xdr:rowOff>25400</xdr:rowOff>
    </xdr:from>
    <xdr:to>
      <xdr:col>52</xdr:col>
      <xdr:colOff>742950</xdr:colOff>
      <xdr:row>89</xdr:row>
      <xdr:rowOff>209550</xdr:rowOff>
    </xdr:to>
    <xdr:graphicFrame macro="">
      <xdr:nvGraphicFramePr>
        <xdr:cNvPr id="42" name="PCG_7_5">
          <a:extLst>
            <a:ext uri="{FF2B5EF4-FFF2-40B4-BE49-F238E27FC236}">
              <a16:creationId xmlns:a16="http://schemas.microsoft.com/office/drawing/2014/main" id="{48B1C826-CE76-F7D2-AE71-8ED7A6F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46</xdr:col>
      <xdr:colOff>25400</xdr:colOff>
      <xdr:row>90</xdr:row>
      <xdr:rowOff>25400</xdr:rowOff>
    </xdr:from>
    <xdr:to>
      <xdr:col>52</xdr:col>
      <xdr:colOff>742950</xdr:colOff>
      <xdr:row>105</xdr:row>
      <xdr:rowOff>209550</xdr:rowOff>
    </xdr:to>
    <xdr:graphicFrame macro="">
      <xdr:nvGraphicFramePr>
        <xdr:cNvPr id="43" name="PCG_7_6">
          <a:extLst>
            <a:ext uri="{FF2B5EF4-FFF2-40B4-BE49-F238E27FC236}">
              <a16:creationId xmlns:a16="http://schemas.microsoft.com/office/drawing/2014/main" id="{D80C9A20-2524-023F-50D7-561AF715F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53</xdr:col>
      <xdr:colOff>25400</xdr:colOff>
      <xdr:row>10</xdr:row>
      <xdr:rowOff>25400</xdr:rowOff>
    </xdr:from>
    <xdr:to>
      <xdr:col>59</xdr:col>
      <xdr:colOff>742950</xdr:colOff>
      <xdr:row>25</xdr:row>
      <xdr:rowOff>209550</xdr:rowOff>
    </xdr:to>
    <xdr:graphicFrame macro="">
      <xdr:nvGraphicFramePr>
        <xdr:cNvPr id="44" name="PCG_8_1">
          <a:extLst>
            <a:ext uri="{FF2B5EF4-FFF2-40B4-BE49-F238E27FC236}">
              <a16:creationId xmlns:a16="http://schemas.microsoft.com/office/drawing/2014/main" id="{C44E6877-FF56-4C1B-467F-0F64EC89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53</xdr:col>
      <xdr:colOff>25400</xdr:colOff>
      <xdr:row>26</xdr:row>
      <xdr:rowOff>25400</xdr:rowOff>
    </xdr:from>
    <xdr:to>
      <xdr:col>59</xdr:col>
      <xdr:colOff>742950</xdr:colOff>
      <xdr:row>41</xdr:row>
      <xdr:rowOff>209550</xdr:rowOff>
    </xdr:to>
    <xdr:graphicFrame macro="">
      <xdr:nvGraphicFramePr>
        <xdr:cNvPr id="45" name="PCG_8_2">
          <a:extLst>
            <a:ext uri="{FF2B5EF4-FFF2-40B4-BE49-F238E27FC236}">
              <a16:creationId xmlns:a16="http://schemas.microsoft.com/office/drawing/2014/main" id="{57C9A6C1-2F82-A848-6EAB-A3AB8B728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53</xdr:col>
      <xdr:colOff>25400</xdr:colOff>
      <xdr:row>42</xdr:row>
      <xdr:rowOff>25400</xdr:rowOff>
    </xdr:from>
    <xdr:to>
      <xdr:col>59</xdr:col>
      <xdr:colOff>742950</xdr:colOff>
      <xdr:row>57</xdr:row>
      <xdr:rowOff>209550</xdr:rowOff>
    </xdr:to>
    <xdr:graphicFrame macro="">
      <xdr:nvGraphicFramePr>
        <xdr:cNvPr id="46" name="PCG_8_3">
          <a:extLst>
            <a:ext uri="{FF2B5EF4-FFF2-40B4-BE49-F238E27FC236}">
              <a16:creationId xmlns:a16="http://schemas.microsoft.com/office/drawing/2014/main" id="{E1385596-1168-6E0B-8DE5-461357D56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53</xdr:col>
      <xdr:colOff>25400</xdr:colOff>
      <xdr:row>58</xdr:row>
      <xdr:rowOff>25400</xdr:rowOff>
    </xdr:from>
    <xdr:to>
      <xdr:col>59</xdr:col>
      <xdr:colOff>742950</xdr:colOff>
      <xdr:row>73</xdr:row>
      <xdr:rowOff>209550</xdr:rowOff>
    </xdr:to>
    <xdr:graphicFrame macro="">
      <xdr:nvGraphicFramePr>
        <xdr:cNvPr id="47" name="PCG_8_4">
          <a:extLst>
            <a:ext uri="{FF2B5EF4-FFF2-40B4-BE49-F238E27FC236}">
              <a16:creationId xmlns:a16="http://schemas.microsoft.com/office/drawing/2014/main" id="{A9B44EC3-664C-42D0-6C5F-1C782738B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53</xdr:col>
      <xdr:colOff>25400</xdr:colOff>
      <xdr:row>74</xdr:row>
      <xdr:rowOff>25400</xdr:rowOff>
    </xdr:from>
    <xdr:to>
      <xdr:col>59</xdr:col>
      <xdr:colOff>742950</xdr:colOff>
      <xdr:row>89</xdr:row>
      <xdr:rowOff>209550</xdr:rowOff>
    </xdr:to>
    <xdr:graphicFrame macro="">
      <xdr:nvGraphicFramePr>
        <xdr:cNvPr id="48" name="PCG_8_5">
          <a:extLst>
            <a:ext uri="{FF2B5EF4-FFF2-40B4-BE49-F238E27FC236}">
              <a16:creationId xmlns:a16="http://schemas.microsoft.com/office/drawing/2014/main" id="{CD378FEF-B237-4737-7F47-CF3C5C81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53</xdr:col>
      <xdr:colOff>25400</xdr:colOff>
      <xdr:row>90</xdr:row>
      <xdr:rowOff>25400</xdr:rowOff>
    </xdr:from>
    <xdr:to>
      <xdr:col>59</xdr:col>
      <xdr:colOff>742950</xdr:colOff>
      <xdr:row>105</xdr:row>
      <xdr:rowOff>209550</xdr:rowOff>
    </xdr:to>
    <xdr:graphicFrame macro="">
      <xdr:nvGraphicFramePr>
        <xdr:cNvPr id="49" name="PCG_8_6">
          <a:extLst>
            <a:ext uri="{FF2B5EF4-FFF2-40B4-BE49-F238E27FC236}">
              <a16:creationId xmlns:a16="http://schemas.microsoft.com/office/drawing/2014/main" id="{72CE8F48-51D1-E9B6-0BED-0947A56E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60</xdr:col>
      <xdr:colOff>25400</xdr:colOff>
      <xdr:row>10</xdr:row>
      <xdr:rowOff>25400</xdr:rowOff>
    </xdr:from>
    <xdr:to>
      <xdr:col>66</xdr:col>
      <xdr:colOff>742950</xdr:colOff>
      <xdr:row>25</xdr:row>
      <xdr:rowOff>209550</xdr:rowOff>
    </xdr:to>
    <xdr:graphicFrame macro="">
      <xdr:nvGraphicFramePr>
        <xdr:cNvPr id="50" name="PCG_9_1">
          <a:extLst>
            <a:ext uri="{FF2B5EF4-FFF2-40B4-BE49-F238E27FC236}">
              <a16:creationId xmlns:a16="http://schemas.microsoft.com/office/drawing/2014/main" id="{F475C9FF-2A26-EB87-E591-B2358BC2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60</xdr:col>
      <xdr:colOff>25400</xdr:colOff>
      <xdr:row>26</xdr:row>
      <xdr:rowOff>25400</xdr:rowOff>
    </xdr:from>
    <xdr:to>
      <xdr:col>66</xdr:col>
      <xdr:colOff>742950</xdr:colOff>
      <xdr:row>41</xdr:row>
      <xdr:rowOff>209550</xdr:rowOff>
    </xdr:to>
    <xdr:graphicFrame macro="">
      <xdr:nvGraphicFramePr>
        <xdr:cNvPr id="51" name="PCG_9_2">
          <a:extLst>
            <a:ext uri="{FF2B5EF4-FFF2-40B4-BE49-F238E27FC236}">
              <a16:creationId xmlns:a16="http://schemas.microsoft.com/office/drawing/2014/main" id="{E9E07537-A476-AF9D-B15C-11FB5FCB3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60</xdr:col>
      <xdr:colOff>25400</xdr:colOff>
      <xdr:row>42</xdr:row>
      <xdr:rowOff>25400</xdr:rowOff>
    </xdr:from>
    <xdr:to>
      <xdr:col>66</xdr:col>
      <xdr:colOff>742950</xdr:colOff>
      <xdr:row>57</xdr:row>
      <xdr:rowOff>209550</xdr:rowOff>
    </xdr:to>
    <xdr:graphicFrame macro="">
      <xdr:nvGraphicFramePr>
        <xdr:cNvPr id="52" name="PCG_9_3">
          <a:extLst>
            <a:ext uri="{FF2B5EF4-FFF2-40B4-BE49-F238E27FC236}">
              <a16:creationId xmlns:a16="http://schemas.microsoft.com/office/drawing/2014/main" id="{767AA05A-811C-6FD2-D795-11E3EAFB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60</xdr:col>
      <xdr:colOff>25400</xdr:colOff>
      <xdr:row>58</xdr:row>
      <xdr:rowOff>25400</xdr:rowOff>
    </xdr:from>
    <xdr:to>
      <xdr:col>66</xdr:col>
      <xdr:colOff>742950</xdr:colOff>
      <xdr:row>73</xdr:row>
      <xdr:rowOff>209550</xdr:rowOff>
    </xdr:to>
    <xdr:graphicFrame macro="">
      <xdr:nvGraphicFramePr>
        <xdr:cNvPr id="53" name="PCG_9_4">
          <a:extLst>
            <a:ext uri="{FF2B5EF4-FFF2-40B4-BE49-F238E27FC236}">
              <a16:creationId xmlns:a16="http://schemas.microsoft.com/office/drawing/2014/main" id="{59480B3C-07CE-18B3-E3C4-AD6E55C0A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60</xdr:col>
      <xdr:colOff>25400</xdr:colOff>
      <xdr:row>74</xdr:row>
      <xdr:rowOff>25400</xdr:rowOff>
    </xdr:from>
    <xdr:to>
      <xdr:col>66</xdr:col>
      <xdr:colOff>742950</xdr:colOff>
      <xdr:row>89</xdr:row>
      <xdr:rowOff>209550</xdr:rowOff>
    </xdr:to>
    <xdr:graphicFrame macro="">
      <xdr:nvGraphicFramePr>
        <xdr:cNvPr id="54" name="PCG_9_5">
          <a:extLst>
            <a:ext uri="{FF2B5EF4-FFF2-40B4-BE49-F238E27FC236}">
              <a16:creationId xmlns:a16="http://schemas.microsoft.com/office/drawing/2014/main" id="{57ACB46F-3D85-89E6-D893-E2F74E64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60</xdr:col>
      <xdr:colOff>25400</xdr:colOff>
      <xdr:row>90</xdr:row>
      <xdr:rowOff>25400</xdr:rowOff>
    </xdr:from>
    <xdr:to>
      <xdr:col>66</xdr:col>
      <xdr:colOff>742950</xdr:colOff>
      <xdr:row>105</xdr:row>
      <xdr:rowOff>209550</xdr:rowOff>
    </xdr:to>
    <xdr:graphicFrame macro="">
      <xdr:nvGraphicFramePr>
        <xdr:cNvPr id="55" name="PCG_9_6">
          <a:extLst>
            <a:ext uri="{FF2B5EF4-FFF2-40B4-BE49-F238E27FC236}">
              <a16:creationId xmlns:a16="http://schemas.microsoft.com/office/drawing/2014/main" id="{71B1EC72-A904-1915-FDA6-BFAEB9CD7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67</xdr:col>
      <xdr:colOff>25400</xdr:colOff>
      <xdr:row>10</xdr:row>
      <xdr:rowOff>25400</xdr:rowOff>
    </xdr:from>
    <xdr:to>
      <xdr:col>73</xdr:col>
      <xdr:colOff>742950</xdr:colOff>
      <xdr:row>25</xdr:row>
      <xdr:rowOff>209550</xdr:rowOff>
    </xdr:to>
    <xdr:graphicFrame macro="">
      <xdr:nvGraphicFramePr>
        <xdr:cNvPr id="56" name="PCG_10_1">
          <a:extLst>
            <a:ext uri="{FF2B5EF4-FFF2-40B4-BE49-F238E27FC236}">
              <a16:creationId xmlns:a16="http://schemas.microsoft.com/office/drawing/2014/main" id="{09A627F1-22FA-CF45-D280-179A5ACF4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67</xdr:col>
      <xdr:colOff>25400</xdr:colOff>
      <xdr:row>26</xdr:row>
      <xdr:rowOff>25400</xdr:rowOff>
    </xdr:from>
    <xdr:to>
      <xdr:col>73</xdr:col>
      <xdr:colOff>742950</xdr:colOff>
      <xdr:row>41</xdr:row>
      <xdr:rowOff>209550</xdr:rowOff>
    </xdr:to>
    <xdr:graphicFrame macro="">
      <xdr:nvGraphicFramePr>
        <xdr:cNvPr id="57" name="PCG_10_2">
          <a:extLst>
            <a:ext uri="{FF2B5EF4-FFF2-40B4-BE49-F238E27FC236}">
              <a16:creationId xmlns:a16="http://schemas.microsoft.com/office/drawing/2014/main" id="{132080F3-5117-337A-BDE7-72B127D3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67</xdr:col>
      <xdr:colOff>25400</xdr:colOff>
      <xdr:row>42</xdr:row>
      <xdr:rowOff>25400</xdr:rowOff>
    </xdr:from>
    <xdr:to>
      <xdr:col>73</xdr:col>
      <xdr:colOff>742950</xdr:colOff>
      <xdr:row>57</xdr:row>
      <xdr:rowOff>209550</xdr:rowOff>
    </xdr:to>
    <xdr:graphicFrame macro="">
      <xdr:nvGraphicFramePr>
        <xdr:cNvPr id="58" name="PCG_10_3">
          <a:extLst>
            <a:ext uri="{FF2B5EF4-FFF2-40B4-BE49-F238E27FC236}">
              <a16:creationId xmlns:a16="http://schemas.microsoft.com/office/drawing/2014/main" id="{51CD05CF-374C-8C41-609E-D14AE76B3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67</xdr:col>
      <xdr:colOff>25400</xdr:colOff>
      <xdr:row>58</xdr:row>
      <xdr:rowOff>25400</xdr:rowOff>
    </xdr:from>
    <xdr:to>
      <xdr:col>73</xdr:col>
      <xdr:colOff>742950</xdr:colOff>
      <xdr:row>73</xdr:row>
      <xdr:rowOff>209550</xdr:rowOff>
    </xdr:to>
    <xdr:graphicFrame macro="">
      <xdr:nvGraphicFramePr>
        <xdr:cNvPr id="59" name="PCG_10_4">
          <a:extLst>
            <a:ext uri="{FF2B5EF4-FFF2-40B4-BE49-F238E27FC236}">
              <a16:creationId xmlns:a16="http://schemas.microsoft.com/office/drawing/2014/main" id="{BF63C08B-46E0-0C4A-E4DE-E7F545F8E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67</xdr:col>
      <xdr:colOff>25400</xdr:colOff>
      <xdr:row>74</xdr:row>
      <xdr:rowOff>25400</xdr:rowOff>
    </xdr:from>
    <xdr:to>
      <xdr:col>73</xdr:col>
      <xdr:colOff>742950</xdr:colOff>
      <xdr:row>89</xdr:row>
      <xdr:rowOff>209550</xdr:rowOff>
    </xdr:to>
    <xdr:graphicFrame macro="">
      <xdr:nvGraphicFramePr>
        <xdr:cNvPr id="60" name="PCG_10_5">
          <a:extLst>
            <a:ext uri="{FF2B5EF4-FFF2-40B4-BE49-F238E27FC236}">
              <a16:creationId xmlns:a16="http://schemas.microsoft.com/office/drawing/2014/main" id="{40DE11D0-EB3B-EFA3-EFEC-65BC1BB65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67</xdr:col>
      <xdr:colOff>25400</xdr:colOff>
      <xdr:row>90</xdr:row>
      <xdr:rowOff>25400</xdr:rowOff>
    </xdr:from>
    <xdr:to>
      <xdr:col>73</xdr:col>
      <xdr:colOff>742950</xdr:colOff>
      <xdr:row>105</xdr:row>
      <xdr:rowOff>209550</xdr:rowOff>
    </xdr:to>
    <xdr:graphicFrame macro="">
      <xdr:nvGraphicFramePr>
        <xdr:cNvPr id="61" name="PCG_10_6">
          <a:extLst>
            <a:ext uri="{FF2B5EF4-FFF2-40B4-BE49-F238E27FC236}">
              <a16:creationId xmlns:a16="http://schemas.microsoft.com/office/drawing/2014/main" id="{1C07D95F-4CC9-1526-E594-86A559E5D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4</xdr:col>
      <xdr:colOff>25400</xdr:colOff>
      <xdr:row>106</xdr:row>
      <xdr:rowOff>25400</xdr:rowOff>
    </xdr:from>
    <xdr:to>
      <xdr:col>10</xdr:col>
      <xdr:colOff>742950</xdr:colOff>
      <xdr:row>121</xdr:row>
      <xdr:rowOff>209550</xdr:rowOff>
    </xdr:to>
    <xdr:graphicFrame macro="">
      <xdr:nvGraphicFramePr>
        <xdr:cNvPr id="62" name="PCG_1_7">
          <a:extLst>
            <a:ext uri="{FF2B5EF4-FFF2-40B4-BE49-F238E27FC236}">
              <a16:creationId xmlns:a16="http://schemas.microsoft.com/office/drawing/2014/main" id="{B0820030-C0FD-EBBC-32F1-C707F8BAC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25400</xdr:colOff>
      <xdr:row>106</xdr:row>
      <xdr:rowOff>25400</xdr:rowOff>
    </xdr:from>
    <xdr:to>
      <xdr:col>17</xdr:col>
      <xdr:colOff>742950</xdr:colOff>
      <xdr:row>121</xdr:row>
      <xdr:rowOff>209550</xdr:rowOff>
    </xdr:to>
    <xdr:graphicFrame macro="">
      <xdr:nvGraphicFramePr>
        <xdr:cNvPr id="63" name="PCG_2_7">
          <a:extLst>
            <a:ext uri="{FF2B5EF4-FFF2-40B4-BE49-F238E27FC236}">
              <a16:creationId xmlns:a16="http://schemas.microsoft.com/office/drawing/2014/main" id="{33B6B428-CC67-D0D7-FC71-185A31688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</xdr:col>
      <xdr:colOff>25400</xdr:colOff>
      <xdr:row>106</xdr:row>
      <xdr:rowOff>25400</xdr:rowOff>
    </xdr:from>
    <xdr:to>
      <xdr:col>24</xdr:col>
      <xdr:colOff>742950</xdr:colOff>
      <xdr:row>121</xdr:row>
      <xdr:rowOff>209550</xdr:rowOff>
    </xdr:to>
    <xdr:graphicFrame macro="">
      <xdr:nvGraphicFramePr>
        <xdr:cNvPr id="64" name="PCG_3_7">
          <a:extLst>
            <a:ext uri="{FF2B5EF4-FFF2-40B4-BE49-F238E27FC236}">
              <a16:creationId xmlns:a16="http://schemas.microsoft.com/office/drawing/2014/main" id="{30E9347B-6DAB-81ED-DA09-C46BD1F2B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25</xdr:col>
      <xdr:colOff>25400</xdr:colOff>
      <xdr:row>106</xdr:row>
      <xdr:rowOff>25400</xdr:rowOff>
    </xdr:from>
    <xdr:to>
      <xdr:col>31</xdr:col>
      <xdr:colOff>742950</xdr:colOff>
      <xdr:row>121</xdr:row>
      <xdr:rowOff>209550</xdr:rowOff>
    </xdr:to>
    <xdr:graphicFrame macro="">
      <xdr:nvGraphicFramePr>
        <xdr:cNvPr id="65" name="PCG_4_7">
          <a:extLst>
            <a:ext uri="{FF2B5EF4-FFF2-40B4-BE49-F238E27FC236}">
              <a16:creationId xmlns:a16="http://schemas.microsoft.com/office/drawing/2014/main" id="{8AE4FAD0-612A-273B-E47C-221F4D81D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32</xdr:col>
      <xdr:colOff>25400</xdr:colOff>
      <xdr:row>106</xdr:row>
      <xdr:rowOff>25400</xdr:rowOff>
    </xdr:from>
    <xdr:to>
      <xdr:col>38</xdr:col>
      <xdr:colOff>742950</xdr:colOff>
      <xdr:row>121</xdr:row>
      <xdr:rowOff>209550</xdr:rowOff>
    </xdr:to>
    <xdr:graphicFrame macro="">
      <xdr:nvGraphicFramePr>
        <xdr:cNvPr id="66" name="PCG_5_7">
          <a:extLst>
            <a:ext uri="{FF2B5EF4-FFF2-40B4-BE49-F238E27FC236}">
              <a16:creationId xmlns:a16="http://schemas.microsoft.com/office/drawing/2014/main" id="{613DC3D5-FC74-22E8-2F2D-3EA16462A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39</xdr:col>
      <xdr:colOff>25400</xdr:colOff>
      <xdr:row>106</xdr:row>
      <xdr:rowOff>25400</xdr:rowOff>
    </xdr:from>
    <xdr:to>
      <xdr:col>45</xdr:col>
      <xdr:colOff>742950</xdr:colOff>
      <xdr:row>121</xdr:row>
      <xdr:rowOff>209550</xdr:rowOff>
    </xdr:to>
    <xdr:graphicFrame macro="">
      <xdr:nvGraphicFramePr>
        <xdr:cNvPr id="67" name="PCG_6_7">
          <a:extLst>
            <a:ext uri="{FF2B5EF4-FFF2-40B4-BE49-F238E27FC236}">
              <a16:creationId xmlns:a16="http://schemas.microsoft.com/office/drawing/2014/main" id="{7B94C8FD-6895-9435-397D-BB88040B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46</xdr:col>
      <xdr:colOff>25400</xdr:colOff>
      <xdr:row>106</xdr:row>
      <xdr:rowOff>25400</xdr:rowOff>
    </xdr:from>
    <xdr:to>
      <xdr:col>52</xdr:col>
      <xdr:colOff>742950</xdr:colOff>
      <xdr:row>121</xdr:row>
      <xdr:rowOff>209550</xdr:rowOff>
    </xdr:to>
    <xdr:graphicFrame macro="">
      <xdr:nvGraphicFramePr>
        <xdr:cNvPr id="68" name="PCG_7_7">
          <a:extLst>
            <a:ext uri="{FF2B5EF4-FFF2-40B4-BE49-F238E27FC236}">
              <a16:creationId xmlns:a16="http://schemas.microsoft.com/office/drawing/2014/main" id="{D401DC21-8597-77E5-EAAA-6C78D1491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53</xdr:col>
      <xdr:colOff>25400</xdr:colOff>
      <xdr:row>106</xdr:row>
      <xdr:rowOff>25400</xdr:rowOff>
    </xdr:from>
    <xdr:to>
      <xdr:col>59</xdr:col>
      <xdr:colOff>742950</xdr:colOff>
      <xdr:row>121</xdr:row>
      <xdr:rowOff>209550</xdr:rowOff>
    </xdr:to>
    <xdr:graphicFrame macro="">
      <xdr:nvGraphicFramePr>
        <xdr:cNvPr id="69" name="PCG_8_7">
          <a:extLst>
            <a:ext uri="{FF2B5EF4-FFF2-40B4-BE49-F238E27FC236}">
              <a16:creationId xmlns:a16="http://schemas.microsoft.com/office/drawing/2014/main" id="{2E5593D9-5C99-D6F6-2FE4-84BA7662B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60</xdr:col>
      <xdr:colOff>25400</xdr:colOff>
      <xdr:row>106</xdr:row>
      <xdr:rowOff>25400</xdr:rowOff>
    </xdr:from>
    <xdr:to>
      <xdr:col>66</xdr:col>
      <xdr:colOff>742950</xdr:colOff>
      <xdr:row>121</xdr:row>
      <xdr:rowOff>209550</xdr:rowOff>
    </xdr:to>
    <xdr:graphicFrame macro="">
      <xdr:nvGraphicFramePr>
        <xdr:cNvPr id="70" name="PCG_9_7">
          <a:extLst>
            <a:ext uri="{FF2B5EF4-FFF2-40B4-BE49-F238E27FC236}">
              <a16:creationId xmlns:a16="http://schemas.microsoft.com/office/drawing/2014/main" id="{2EDB0314-6973-EBE6-89E0-CDBEED1E8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67</xdr:col>
      <xdr:colOff>25400</xdr:colOff>
      <xdr:row>106</xdr:row>
      <xdr:rowOff>25400</xdr:rowOff>
    </xdr:from>
    <xdr:to>
      <xdr:col>73</xdr:col>
      <xdr:colOff>742950</xdr:colOff>
      <xdr:row>121</xdr:row>
      <xdr:rowOff>209550</xdr:rowOff>
    </xdr:to>
    <xdr:graphicFrame macro="">
      <xdr:nvGraphicFramePr>
        <xdr:cNvPr id="71" name="PCG_10_7">
          <a:extLst>
            <a:ext uri="{FF2B5EF4-FFF2-40B4-BE49-F238E27FC236}">
              <a16:creationId xmlns:a16="http://schemas.microsoft.com/office/drawing/2014/main" id="{93325E4F-755E-5A7A-5149-953C5F80C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zoomScale="57" workbookViewId="0">
      <selection activeCell="D22" sqref="D22"/>
    </sheetView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84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LiveInfo("swap",_xlfn.ANCHORARRAY($CA$4))</f>
      </c>
      <c r="E1" s="17" t="s">
        <v>55</v>
      </c>
    </row>
    <row r="2" spans="1:84" ht="22.5" x14ac:dyDescent="0.55000000000000004">
      <c r="A2" t="s">
        <v>199</v>
      </c>
      <c r="E2" s="1"/>
      <c r="Z2" s="1" t="s">
        <v>200</v>
      </c>
      <c r="CA2" t="s">
        <v>56</v>
      </c>
    </row>
    <row r="3" spans="1:84" x14ac:dyDescent="0.55000000000000004">
      <c r="A3" s="4" t="s">
        <v>191</v>
      </c>
      <c r="E3" t="s">
        <v>201</v>
      </c>
      <c r="H3" t="s">
        <v>202</v>
      </c>
      <c r="AB3" t="s">
        <v>203</v>
      </c>
      <c r="AC3" t="s">
        <v>204</v>
      </c>
      <c r="BX3" t="s">
        <v>171</v>
      </c>
      <c r="BY3" t="s">
        <v>172</v>
      </c>
      <c r="CE3" t="s">
        <v>173</v>
      </c>
      <c r="CF3" t="s">
        <v>174</v>
      </c>
    </row>
    <row r="4" spans="1:84" x14ac:dyDescent="0.55000000000000004">
      <c r="A4" t="s">
        <v>192</v>
      </c>
      <c r="B4" s="3"/>
      <c r="E4" cm="1">
        <f t="array" ref="E4:F8">PcaWindow(PCA_Selected,PCA_Mode,PCA_Standardize,PCA_window,PCA_BaseDate,PCA_TargetDate)</f>
      </c>
      <c r="F4" s="7"/>
      <c r="H4" cm="1">
        <f t="array" aca="1" ref="H4:I7" ca="1">PcaActualInfo(PCA_Selected,PCA_Mode,PCA_TargetDate,_xlfn.CHOOSECOLS(_xlfn.ANCHORARRAY($CA$4),1,2))</f>
      </c>
      <c r="I4" s="7">
        <f ca="1"/>
      </c>
      <c r="O4" t="s">
        <v>205</v>
      </c>
      <c r="AA4" s="7"/>
      <c r="AB4" cm="1">
        <f t="array" ref="AB4:AB22">_xlfn._xlws.FILTER($A$15:$A$56,$B$15:$B$56="○")</f>
      </c>
      <c r="AC4" cm="1">
        <f t="array" ref="AC4:AY23">PcaModel(PCA_Selected,PCA_Mode,PCA_Standardize,PCA_window,PCA_BaseDate,PCA_TargetDate)</f>
      </c>
      <c r="BX4" cm="1">
        <f t="array" ref="BX4:BX22">_xlfn.DROP(_xlfn.CHOOSECOLS(_xlfn.ANCHORARRAY($AC$4),2),1)+_xlfn.DROP(_xlfn.CHOOSECOLS(_xlfn.ANCHORARRAY($AC$4),4),1)</f>
      </c>
      <c r="BY4" cm="1">
        <f t="array" ref="BY4:BY22">_xlfn.DROP(_xlfn.CHOOSECOLS(_xlfn.ANCHORARRAY($AC$4),2),1)-_xlfn.DROP(_xlfn.CHOOSECOLS(_xlfn.ANCHORARRAY($AC$4),4),1)</f>
      </c>
      <c r="CA4" cm="1">
        <f t="array" aca="1" ref="CA4:CD47" ca="1">IF($B$1="Fixed",LiveSnapshot("swap"),LiveQuotes("swap"))</f>
      </c>
      <c r="CB4">
        <f ca="1"/>
      </c>
      <c r="CC4">
        <f ca="1"/>
      </c>
      <c r="CD4">
        <f ca="1"/>
      </c>
      <c r="CE4" cm="1">
        <f t="array" ref="CE4:CE22">PcaResidStd(PCA_Selected,PCA_Mode,PCA_Standardize,PCA_window,PCA_k,PCA_BaseDate,PCA_TargetDate,PCA_SigmaDays)</f>
      </c>
      <c r="CF4" cm="1">
        <f t="array" ref="CF4:CF22">-_xlfn.ANCHORARRAY($CE$4)</f>
      </c>
    </row>
    <row r="5" spans="1:84" x14ac:dyDescent="0.55000000000000004">
      <c r="A5" t="s">
        <v>193</v>
      </c>
      <c r="B5" s="2">
        <v>250</v>
      </c>
      <c r="F5" s="7"/>
      <c r="H5">
        <f ca="1"/>
      </c>
      <c r="I5">
        <f ca="1"/>
      </c>
      <c r="O5" t="s">
        <v>206</v>
      </c>
      <c r="AA5" s="7"/>
      <c r="CA5">
        <f ca="1"/>
      </c>
      <c r="CB5">
        <f ca="1"/>
      </c>
      <c r="CC5">
        <f ca="1"/>
      </c>
      <c r="CD5">
        <f ca="1"/>
      </c>
    </row>
    <row r="6" spans="1:84" x14ac:dyDescent="0.55000000000000004">
      <c r="A6" t="s">
        <v>194</v>
      </c>
      <c r="B6" s="2" t="s">
        <v>226</v>
      </c>
      <c r="H6">
        <f ca="1"/>
      </c>
      <c r="I6" s="7">
        <f ca="1"/>
      </c>
      <c r="CA6">
        <f ca="1"/>
      </c>
      <c r="CB6">
        <f ca="1"/>
      </c>
      <c r="CC6">
        <f ca="1"/>
      </c>
      <c r="CD6">
        <f ca="1"/>
      </c>
    </row>
    <row r="7" spans="1:84" x14ac:dyDescent="0.55000000000000004">
      <c r="A7" t="s">
        <v>195</v>
      </c>
      <c r="B7" s="2" t="s">
        <v>227</v>
      </c>
      <c r="H7">
        <f ca="1"/>
      </c>
      <c r="I7" s="8">
        <f ca="1"/>
      </c>
      <c r="CA7">
        <f ca="1"/>
      </c>
      <c r="CB7">
        <f ca="1"/>
      </c>
      <c r="CC7">
        <f ca="1"/>
      </c>
      <c r="CD7">
        <f ca="1"/>
      </c>
    </row>
    <row r="8" spans="1:84" x14ac:dyDescent="0.55000000000000004">
      <c r="F8" s="8"/>
      <c r="CA8">
        <f ca="1"/>
      </c>
      <c r="CB8">
        <f ca="1"/>
      </c>
      <c r="CC8">
        <f ca="1"/>
      </c>
      <c r="CD8">
        <f ca="1"/>
      </c>
    </row>
    <row r="9" spans="1:84" x14ac:dyDescent="0.55000000000000004">
      <c r="A9" s="4" t="s">
        <v>196</v>
      </c>
      <c r="CA9">
        <f ca="1"/>
      </c>
      <c r="CB9">
        <f ca="1"/>
      </c>
      <c r="CC9">
        <f ca="1"/>
      </c>
      <c r="CD9">
        <f ca="1"/>
      </c>
    </row>
    <row r="10" spans="1:84" x14ac:dyDescent="0.55000000000000004">
      <c r="A10" t="s">
        <v>197</v>
      </c>
      <c r="B10" s="3"/>
      <c r="CA10">
        <f ca="1"/>
      </c>
      <c r="CB10">
        <f ca="1"/>
      </c>
      <c r="CC10">
        <f ca="1"/>
      </c>
      <c r="CD10">
        <f ca="1"/>
      </c>
    </row>
    <row r="11" spans="1:84" x14ac:dyDescent="0.55000000000000004">
      <c r="A11" t="s">
        <v>198</v>
      </c>
      <c r="B11" s="2">
        <v>3</v>
      </c>
      <c r="AA11" s="7"/>
      <c r="CA11">
        <f ca="1"/>
      </c>
      <c r="CB11">
        <f ca="1"/>
      </c>
      <c r="CC11">
        <f ca="1"/>
      </c>
      <c r="CD11">
        <f ca="1"/>
      </c>
    </row>
    <row r="12" spans="1:84" x14ac:dyDescent="0.55000000000000004">
      <c r="A12" t="s">
        <v>207</v>
      </c>
      <c r="B12" s="2"/>
      <c r="CA12">
        <f ca="1"/>
      </c>
      <c r="CB12">
        <f ca="1"/>
      </c>
      <c r="CC12">
        <f ca="1"/>
      </c>
      <c r="CD12">
        <f ca="1"/>
      </c>
    </row>
    <row r="13" spans="1:84" x14ac:dyDescent="0.55000000000000004">
      <c r="A13" t="s">
        <v>208</v>
      </c>
      <c r="AA13" s="7"/>
      <c r="CA13">
        <f ca="1"/>
      </c>
      <c r="CB13">
        <f ca="1"/>
      </c>
      <c r="CC13">
        <f ca="1"/>
      </c>
      <c r="CD13">
        <f ca="1"/>
      </c>
    </row>
    <row r="14" spans="1:84" x14ac:dyDescent="0.55000000000000004">
      <c r="A14" s="5" t="s">
        <v>209</v>
      </c>
      <c r="B14" s="5" t="s">
        <v>210</v>
      </c>
      <c r="CA14">
        <f ca="1"/>
      </c>
      <c r="CB14">
        <f ca="1"/>
      </c>
      <c r="CC14">
        <f ca="1"/>
      </c>
      <c r="CD14">
        <f ca="1"/>
      </c>
    </row>
    <row r="15" spans="1:84" x14ac:dyDescent="0.55000000000000004">
      <c r="A15" t="s">
        <v>0</v>
      </c>
      <c r="B15" s="6" t="s">
        <v>43</v>
      </c>
      <c r="CA15">
        <f ca="1"/>
      </c>
      <c r="CB15">
        <f ca="1"/>
      </c>
      <c r="CC15">
        <f ca="1"/>
      </c>
      <c r="CD15">
        <f ca="1"/>
      </c>
    </row>
    <row r="16" spans="1:84" x14ac:dyDescent="0.55000000000000004">
      <c r="A16" t="s">
        <v>1</v>
      </c>
      <c r="B16" s="6" t="s">
        <v>43</v>
      </c>
      <c r="Z16" t="s">
        <v>211</v>
      </c>
      <c r="CA16">
        <f ca="1"/>
      </c>
      <c r="CB16">
        <f ca="1"/>
      </c>
      <c r="CC16">
        <f ca="1"/>
      </c>
      <c r="CD16">
        <f ca="1"/>
      </c>
    </row>
    <row r="17" spans="1:84" x14ac:dyDescent="0.55000000000000004">
      <c r="A17" t="s">
        <v>2</v>
      </c>
      <c r="B17" s="6" t="s">
        <v>43</v>
      </c>
      <c r="Z17" cm="1">
        <f t="array" ref="Z17:AA36">PcaEigen(PCA_Selected,PCA_Mode,PCA_Standardize,PCA_window,PCA_BaseDate,PCA_TargetDate)</f>
      </c>
      <c r="CA17">
        <f ca="1"/>
      </c>
      <c r="CB17">
        <f ca="1"/>
      </c>
      <c r="CC17">
        <f ca="1"/>
      </c>
      <c r="CD17">
        <f ca="1"/>
      </c>
    </row>
    <row r="18" spans="1:84" x14ac:dyDescent="0.55000000000000004">
      <c r="A18" t="s">
        <v>3</v>
      </c>
      <c r="B18" s="6" t="s">
        <v>43</v>
      </c>
      <c r="CA18">
        <f ca="1"/>
      </c>
      <c r="CB18">
        <f ca="1"/>
      </c>
      <c r="CC18">
        <f ca="1"/>
      </c>
      <c r="CD18">
        <f ca="1"/>
      </c>
    </row>
    <row r="19" spans="1:84" x14ac:dyDescent="0.55000000000000004">
      <c r="A19" t="s">
        <v>4</v>
      </c>
      <c r="B19" s="6" t="s">
        <v>43</v>
      </c>
      <c r="CA19">
        <f ca="1"/>
      </c>
      <c r="CB19">
        <f ca="1"/>
      </c>
      <c r="CC19">
        <f ca="1"/>
      </c>
      <c r="CD19">
        <f ca="1"/>
      </c>
    </row>
    <row r="20" spans="1:84" x14ac:dyDescent="0.55000000000000004">
      <c r="A20" t="s">
        <v>5</v>
      </c>
      <c r="B20" s="6" t="s">
        <v>43</v>
      </c>
      <c r="CA20">
        <f ca="1"/>
      </c>
      <c r="CB20">
        <f ca="1"/>
      </c>
      <c r="CC20">
        <f ca="1"/>
      </c>
      <c r="CD20">
        <f ca="1"/>
      </c>
    </row>
    <row r="21" spans="1:84" x14ac:dyDescent="0.55000000000000004">
      <c r="A21" t="s">
        <v>6</v>
      </c>
      <c r="B21" s="6" t="s">
        <v>43</v>
      </c>
      <c r="CA21">
        <f ca="1"/>
      </c>
      <c r="CB21">
        <f ca="1"/>
      </c>
      <c r="CC21">
        <f ca="1"/>
      </c>
      <c r="CD21">
        <f ca="1"/>
      </c>
    </row>
    <row r="22" spans="1:84" x14ac:dyDescent="0.55000000000000004">
      <c r="A22" t="s">
        <v>7</v>
      </c>
      <c r="B22" s="6" t="s">
        <v>42</v>
      </c>
      <c r="CA22">
        <f ca="1"/>
      </c>
      <c r="CB22">
        <f ca="1"/>
      </c>
      <c r="CC22">
        <f ca="1"/>
      </c>
      <c r="CD22">
        <f ca="1"/>
      </c>
    </row>
    <row r="23" spans="1:84" x14ac:dyDescent="0.55000000000000004">
      <c r="A23" t="s">
        <v>8</v>
      </c>
      <c r="B23" s="6" t="s">
        <v>43</v>
      </c>
      <c r="CA23">
        <f ca="1"/>
      </c>
      <c r="CB23">
        <f ca="1"/>
      </c>
      <c r="CC23">
        <f ca="1"/>
      </c>
      <c r="CD23">
        <f ca="1"/>
      </c>
    </row>
    <row r="24" spans="1:84" x14ac:dyDescent="0.55000000000000004">
      <c r="A24" t="s">
        <v>9</v>
      </c>
      <c r="B24" s="6" t="s">
        <v>43</v>
      </c>
      <c r="CA24">
        <f ca="1"/>
      </c>
      <c r="CB24">
        <f ca="1"/>
      </c>
      <c r="CC24">
        <f ca="1"/>
      </c>
      <c r="CD24">
        <f ca="1"/>
      </c>
    </row>
    <row r="25" spans="1:84" x14ac:dyDescent="0.55000000000000004">
      <c r="A25" t="s">
        <v>10</v>
      </c>
      <c r="B25" s="6" t="s">
        <v>43</v>
      </c>
      <c r="CA25">
        <f ca="1"/>
      </c>
      <c r="CB25">
        <f ca="1"/>
      </c>
      <c r="CC25">
        <f ca="1"/>
      </c>
      <c r="CD25">
        <f ca="1"/>
      </c>
    </row>
    <row r="26" spans="1:84" x14ac:dyDescent="0.55000000000000004">
      <c r="A26" t="s">
        <v>11</v>
      </c>
      <c r="B26" s="6" t="s">
        <v>43</v>
      </c>
      <c r="CA26">
        <f ca="1"/>
      </c>
      <c r="CB26">
        <f ca="1"/>
      </c>
      <c r="CC26">
        <f ca="1"/>
      </c>
      <c r="CD26">
        <f ca="1"/>
      </c>
    </row>
    <row r="27" spans="1:84" x14ac:dyDescent="0.55000000000000004">
      <c r="A27" t="s">
        <v>12</v>
      </c>
      <c r="B27" s="6" t="s">
        <v>43</v>
      </c>
      <c r="CA27">
        <f ca="1"/>
      </c>
      <c r="CB27">
        <f ca="1"/>
      </c>
      <c r="CC27">
        <f ca="1"/>
      </c>
      <c r="CD27">
        <f ca="1"/>
      </c>
    </row>
    <row r="28" spans="1:84" x14ac:dyDescent="0.55000000000000004">
      <c r="A28" t="s">
        <v>41</v>
      </c>
      <c r="B28" s="6" t="s">
        <v>42</v>
      </c>
      <c r="CA28">
        <f ca="1"/>
      </c>
      <c r="CB28">
        <f ca="1"/>
      </c>
      <c r="CC28">
        <f ca="1"/>
      </c>
      <c r="CD28">
        <f ca="1"/>
      </c>
    </row>
    <row r="29" spans="1:84" x14ac:dyDescent="0.55000000000000004">
      <c r="A29" t="s">
        <v>13</v>
      </c>
      <c r="B29" s="6" t="s">
        <v>43</v>
      </c>
      <c r="CA29">
        <f ca="1"/>
      </c>
      <c r="CB29">
        <f ca="1"/>
      </c>
      <c r="CC29">
        <f ca="1"/>
      </c>
      <c r="CD29">
        <f ca="1"/>
      </c>
    </row>
    <row r="30" spans="1:84" x14ac:dyDescent="0.55000000000000004">
      <c r="A30" t="s">
        <v>14</v>
      </c>
      <c r="B30" s="6" t="s">
        <v>42</v>
      </c>
      <c r="CA30">
        <f ca="1"/>
      </c>
      <c r="CB30">
        <f ca="1"/>
      </c>
      <c r="CC30">
        <f ca="1"/>
      </c>
      <c r="CD30">
        <f ca="1"/>
      </c>
    </row>
    <row r="31" spans="1:84" x14ac:dyDescent="0.55000000000000004">
      <c r="A31" t="s">
        <v>15</v>
      </c>
      <c r="B31" s="6" t="s">
        <v>43</v>
      </c>
      <c r="CA31">
        <f ca="1"/>
      </c>
      <c r="CB31">
        <f ca="1"/>
      </c>
      <c r="CC31">
        <f ca="1"/>
      </c>
      <c r="CD31">
        <f ca="1"/>
      </c>
    </row>
    <row r="32" spans="1:84" x14ac:dyDescent="0.55000000000000004">
      <c r="A32" t="s">
        <v>16</v>
      </c>
      <c r="B32" s="6" t="s">
        <v>42</v>
      </c>
      <c r="E32" s="4" t="s">
        <v>212</v>
      </c>
      <c r="L32" s="4" t="s">
        <v>213</v>
      </c>
      <c r="S32" s="4" t="s">
        <v>214</v>
      </c>
      <c r="CA32">
        <f ca="1"/>
      </c>
      <c r="CB32">
        <f ca="1"/>
      </c>
      <c r="CC32">
        <f ca="1"/>
      </c>
      <c r="CD32">
        <f ca="1"/>
      </c>
    </row>
    <row r="33" spans="1:82" ht="74" x14ac:dyDescent="0.55000000000000004">
      <c r="A33" t="s">
        <v>17</v>
      </c>
      <c r="B33" s="6" t="s">
        <v>42</v>
      </c>
      <c r="E33" s="9" t="s">
        <v>209</v>
      </c>
      <c r="F33" s="9" t="s">
        <v>215</v>
      </c>
      <c r="G33" s="9" t="s">
        <v>216</v>
      </c>
      <c r="H33" s="9" t="s">
        <v>217</v>
      </c>
      <c r="I33" s="9" t="s">
        <v>218</v>
      </c>
      <c r="J33" s="9" t="s">
        <v>219</v>
      </c>
      <c r="L33" s="9" t="s">
        <v>220</v>
      </c>
      <c r="M33" s="9" t="s">
        <v>221</v>
      </c>
      <c r="N33" s="9" t="s">
        <v>222</v>
      </c>
      <c r="O33" s="9" t="s">
        <v>223</v>
      </c>
      <c r="P33" s="9" t="s">
        <v>224</v>
      </c>
      <c r="Q33" s="9" t="s">
        <v>225</v>
      </c>
      <c r="S33" s="9" t="s">
        <v>209</v>
      </c>
      <c r="T33" s="9" t="s">
        <v>44</v>
      </c>
      <c r="U33" s="9" t="s">
        <v>45</v>
      </c>
      <c r="V33" s="9" t="s">
        <v>46</v>
      </c>
      <c r="W33" s="9" t="s">
        <v>47</v>
      </c>
      <c r="X33" s="9" t="s">
        <v>48</v>
      </c>
      <c r="CA33">
        <f ca="1"/>
      </c>
      <c r="CB33">
        <f ca="1"/>
      </c>
      <c r="CC33">
        <f ca="1"/>
      </c>
      <c r="CD33">
        <f ca="1"/>
      </c>
    </row>
    <row r="34" spans="1:82" x14ac:dyDescent="0.55000000000000004">
      <c r="A34" t="s">
        <v>18</v>
      </c>
      <c r="B34" s="6" t="s">
        <v>42</v>
      </c>
      <c r="E34" cm="1">
        <f t="array" ref="E34:E52">_xlfn.DROP(_xlfn.TAKE(_xlfn.ANCHORARRAY($AC$4),,1),1)</f>
      </c>
      <c r="F34" s="10" cm="1">
        <f t="array" aca="1" ref="F34:F52" ca="1">PcaActual(PCA_Selected,PCA_Mode,PCA_TargetDate,_xlfn.CHOOSECOLS(_xlfn.ANCHORARRAY($CA$4),1,2))</f>
      </c>
      <c r="G34" s="10" cm="1">
        <f t="array" ref="G34:G52">_xlfn.DROP(_xlfn.CHOOSECOLS(_xlfn.ANCHORARRAY($AC$4),2),1)</f>
      </c>
      <c r="H34" s="10" cm="1">
        <f t="array" aca="1" ref="H34:H52" ca="1">_xlfn.LET(_xlpm.m,_xlfn.ANCHORARRAY(G34),_xlpm.s,_xlfn.DROP(_xlfn.CHOOSECOLS(_xlfn.ANCHORARRAY($AC$4),3),1),_xlpm.x,_xlfn.ANCHORARRAY(F34),_xlpm.V,_xlfn.TAKE(_xlfn.DROP(_xlfn.ANCHORARRAY($AC$4),1,4),,PCA_k),_xlpm.m+_xlpm.s*MMULT(_xlpm.V,MMULT(TRANSPOSE(_xlpm.V),(_xlpm.x-_xlpm.m)/_xlpm.s)))</f>
      </c>
      <c r="I34" s="11" cm="1">
        <f t="array" aca="1" ref="I34:I52" ca="1">(_xlfn.ANCHORARRAY(F34)-_xlfn.ANCHORARRAY(H34))*100</f>
      </c>
      <c r="J34" s="11" cm="1">
        <f t="array" aca="1" ref="J34:J52" ca="1">(_xlfn.ANCHORARRAY(F34)-_xlfn.ANCHORARRAY(G34))*100</f>
      </c>
      <c r="L34" cm="1">
        <f t="array" ref="L34:L52">_xlfn.DROP(_xlfn.TAKE(_xlfn.ANCHORARRAY($Z$17),,1),1)</f>
      </c>
      <c r="M34" s="11" cm="1">
        <f t="array" ref="M34:M52">_xlfn.DROP(_xlfn.CHOOSECOLS(_xlfn.ANCHORARRAY($Z$17),2),1)</f>
      </c>
      <c r="N34" s="12" cm="1">
        <f t="array" ref="N34:N52">_xlfn.ANCHORARRAY(M34)/SUM(_xlfn.ANCHORARRAY(M34))</f>
      </c>
      <c r="O34" s="12" cm="1">
        <f t="array" ref="O34:O52">_xlfn.SCAN(0,_xlfn.ANCHORARRAY(N34),_xlfn.LAMBDA(_xlpm.a,_xlpm.b,_xlpm.a+_xlpm.b))</f>
      </c>
      <c r="P34" s="11" cm="1">
        <f t="array" aca="1" ref="P34:P52" ca="1">MMULT(TRANSPOSE(_xlfn.DROP(_xlfn.ANCHORARRAY($AC$4),1,4)),(_xlfn.ANCHORARRAY(F34)-_xlfn.ANCHORARRAY(G34))/_xlfn.DROP(_xlfn.CHOOSECOLS(_xlfn.ANCHORARRAY($AC$4),3),1))*IF(PCA_Standardize="Yes",1,100)</f>
      </c>
      <c r="Q34" cm="1">
        <f t="array" ref="Q34:Q52">IF(_xlfn.SEQUENCE(ROWS(_xlfn.ANCHORARRAY(L34)))&lt;=PCA_k,"Yes","")</f>
      </c>
      <c r="S34" cm="1">
        <f t="array" ref="S34:S52">_xlfn.ANCHORARRAY(E34)</f>
      </c>
      <c r="T34" s="13" cm="1">
        <f t="array" ref="T34:T52">_xlfn.LET(_xlpm.V,_xlfn.DROP(_xlfn.ANCHORARRAY($AC$4),1,4),IF(1&lt;=COLUMNS(_xlpm.V),_xlfn.CHOOSECOLS(_xlpm.V,MIN(1,COLUMNS(_xlpm.V))),IF(_xlfn.SEQUENCE(ROWS(_xlpm.V)),NA())))</f>
      </c>
      <c r="U34" s="13" cm="1">
        <f t="array" ref="U34:U52">_xlfn.LET(_xlpm.V,_xlfn.DROP(_xlfn.ANCHORARRAY($AC$4),1,4),IF(2&lt;=COLUMNS(_xlpm.V),_xlfn.CHOOSECOLS(_xlpm.V,MIN(2,COLUMNS(_xlpm.V))),IF(_xlfn.SEQUENCE(ROWS(_xlpm.V)),NA())))</f>
      </c>
      <c r="V34" s="13" cm="1">
        <f t="array" ref="V34:V52">_xlfn.LET(_xlpm.V,_xlfn.DROP(_xlfn.ANCHORARRAY($AC$4),1,4),IF(3&lt;=COLUMNS(_xlpm.V),_xlfn.CHOOSECOLS(_xlpm.V,MIN(3,COLUMNS(_xlpm.V))),IF(_xlfn.SEQUENCE(ROWS(_xlpm.V)),NA())))</f>
      </c>
      <c r="W34" s="13" cm="1">
        <f t="array" ref="W34:W52">_xlfn.LET(_xlpm.V,_xlfn.DROP(_xlfn.ANCHORARRAY($AC$4),1,4),IF(4&lt;=COLUMNS(_xlpm.V),_xlfn.CHOOSECOLS(_xlpm.V,MIN(4,COLUMNS(_xlpm.V))),IF(_xlfn.SEQUENCE(ROWS(_xlpm.V)),NA())))</f>
      </c>
      <c r="X34" s="13" cm="1">
        <f t="array" ref="X34:X52">_xlfn.LET(_xlpm.V,_xlfn.DROP(_xlfn.ANCHORARRAY($AC$4),1,4),IF(5&lt;=COLUMNS(_xlpm.V),_xlfn.CHOOSECOLS(_xlpm.V,MIN(5,COLUMNS(_xlpm.V))),IF(_xlfn.SEQUENCE(ROWS(_xlpm.V)),NA())))</f>
      </c>
      <c r="CA34">
        <f ca="1"/>
      </c>
      <c r="CB34">
        <f ca="1"/>
      </c>
      <c r="CC34">
        <f ca="1"/>
      </c>
      <c r="CD34">
        <f ca="1"/>
      </c>
    </row>
    <row r="35" spans="1:82" x14ac:dyDescent="0.55000000000000004">
      <c r="A35" t="s">
        <v>19</v>
      </c>
      <c r="B35" s="6" t="s">
        <v>42</v>
      </c>
      <c r="F35" s="10">
        <f ca="1"/>
      </c>
      <c r="G35" s="10"/>
      <c r="H35" s="10">
        <f ca="1"/>
      </c>
      <c r="I35" s="11">
        <f ca="1"/>
      </c>
      <c r="J35" s="11">
        <f ca="1"/>
      </c>
      <c r="M35" s="11"/>
      <c r="N35" s="12"/>
      <c r="O35" s="12"/>
      <c r="P35" s="11">
        <f ca="1"/>
      </c>
      <c r="T35" s="13"/>
      <c r="U35" s="13"/>
      <c r="V35" s="13"/>
      <c r="W35" s="13"/>
      <c r="X35" s="13"/>
      <c r="CA35">
        <f ca="1"/>
      </c>
      <c r="CB35">
        <f ca="1"/>
      </c>
      <c r="CC35">
        <f ca="1"/>
      </c>
      <c r="CD35">
        <f ca="1"/>
      </c>
    </row>
    <row r="36" spans="1:82" x14ac:dyDescent="0.55000000000000004">
      <c r="A36" t="s">
        <v>20</v>
      </c>
      <c r="B36" s="6" t="s">
        <v>42</v>
      </c>
      <c r="F36" s="10">
        <f ca="1"/>
      </c>
      <c r="G36" s="10"/>
      <c r="H36" s="10">
        <f ca="1"/>
      </c>
      <c r="I36" s="11">
        <f ca="1"/>
      </c>
      <c r="J36" s="11">
        <f ca="1"/>
      </c>
      <c r="M36" s="11"/>
      <c r="N36" s="12"/>
      <c r="O36" s="12"/>
      <c r="P36" s="11">
        <f ca="1"/>
      </c>
      <c r="T36" s="13"/>
      <c r="U36" s="13"/>
      <c r="V36" s="13"/>
      <c r="W36" s="13"/>
      <c r="X36" s="13"/>
      <c r="CA36">
        <f ca="1"/>
      </c>
      <c r="CB36">
        <f ca="1"/>
      </c>
      <c r="CC36">
        <f ca="1"/>
      </c>
      <c r="CD36">
        <f ca="1"/>
      </c>
    </row>
    <row r="37" spans="1:82" x14ac:dyDescent="0.55000000000000004">
      <c r="A37" t="s">
        <v>21</v>
      </c>
      <c r="B37" s="6" t="s">
        <v>42</v>
      </c>
      <c r="F37" s="10">
        <f ca="1"/>
      </c>
      <c r="G37" s="10"/>
      <c r="H37" s="10">
        <f ca="1"/>
      </c>
      <c r="I37" s="11">
        <f ca="1"/>
      </c>
      <c r="J37" s="11">
        <f ca="1"/>
      </c>
      <c r="M37" s="11"/>
      <c r="N37" s="12"/>
      <c r="O37" s="12"/>
      <c r="P37" s="11">
        <f ca="1"/>
      </c>
      <c r="T37" s="13"/>
      <c r="U37" s="13"/>
      <c r="V37" s="13"/>
      <c r="W37" s="13"/>
      <c r="X37" s="13"/>
      <c r="CA37">
        <f ca="1"/>
      </c>
      <c r="CB37">
        <f ca="1"/>
      </c>
      <c r="CC37">
        <f ca="1"/>
      </c>
      <c r="CD37">
        <f ca="1"/>
      </c>
    </row>
    <row r="38" spans="1:82" x14ac:dyDescent="0.55000000000000004">
      <c r="A38" t="s">
        <v>22</v>
      </c>
      <c r="B38" s="6" t="s">
        <v>42</v>
      </c>
      <c r="F38" s="10">
        <f ca="1"/>
      </c>
      <c r="G38" s="10"/>
      <c r="H38" s="10">
        <f ca="1"/>
      </c>
      <c r="I38" s="11">
        <f ca="1"/>
      </c>
      <c r="J38" s="11">
        <f ca="1"/>
      </c>
      <c r="M38" s="11"/>
      <c r="N38" s="12"/>
      <c r="O38" s="12"/>
      <c r="P38" s="11">
        <f ca="1"/>
      </c>
      <c r="T38" s="13"/>
      <c r="U38" s="13"/>
      <c r="V38" s="13"/>
      <c r="W38" s="13"/>
      <c r="X38" s="13"/>
      <c r="CA38">
        <f ca="1"/>
      </c>
      <c r="CB38">
        <f ca="1"/>
      </c>
      <c r="CC38">
        <f ca="1"/>
      </c>
      <c r="CD38">
        <f ca="1"/>
      </c>
    </row>
    <row r="39" spans="1:82" x14ac:dyDescent="0.55000000000000004">
      <c r="A39" t="s">
        <v>23</v>
      </c>
      <c r="B39" s="6" t="s">
        <v>42</v>
      </c>
      <c r="F39" s="10">
        <f ca="1"/>
      </c>
      <c r="G39" s="10"/>
      <c r="H39" s="10">
        <f ca="1"/>
      </c>
      <c r="I39" s="11">
        <f ca="1"/>
      </c>
      <c r="J39" s="11">
        <f ca="1"/>
      </c>
      <c r="M39" s="11"/>
      <c r="N39" s="12"/>
      <c r="O39" s="12"/>
      <c r="P39" s="11">
        <f ca="1"/>
      </c>
      <c r="T39" s="13"/>
      <c r="U39" s="13"/>
      <c r="V39" s="13"/>
      <c r="W39" s="13"/>
      <c r="X39" s="13"/>
      <c r="CA39">
        <f ca="1"/>
      </c>
      <c r="CB39">
        <f ca="1"/>
      </c>
      <c r="CC39">
        <f ca="1"/>
      </c>
      <c r="CD39">
        <f ca="1"/>
      </c>
    </row>
    <row r="40" spans="1:82" x14ac:dyDescent="0.55000000000000004">
      <c r="A40" t="s">
        <v>24</v>
      </c>
      <c r="B40" s="6" t="s">
        <v>42</v>
      </c>
      <c r="F40" s="10">
        <f ca="1"/>
      </c>
      <c r="G40" s="10"/>
      <c r="H40" s="10">
        <f ca="1"/>
      </c>
      <c r="I40" s="11">
        <f ca="1"/>
      </c>
      <c r="J40" s="11">
        <f ca="1"/>
      </c>
      <c r="M40" s="11"/>
      <c r="N40" s="12"/>
      <c r="O40" s="12"/>
      <c r="P40" s="11">
        <f ca="1"/>
      </c>
      <c r="T40" s="13"/>
      <c r="U40" s="13"/>
      <c r="V40" s="13"/>
      <c r="W40" s="13"/>
      <c r="X40" s="13"/>
      <c r="CA40">
        <f ca="1"/>
      </c>
      <c r="CB40">
        <f ca="1"/>
      </c>
      <c r="CC40">
        <f ca="1"/>
      </c>
      <c r="CD40">
        <f ca="1"/>
      </c>
    </row>
    <row r="41" spans="1:82" x14ac:dyDescent="0.55000000000000004">
      <c r="A41" t="s">
        <v>25</v>
      </c>
      <c r="B41" s="6" t="s">
        <v>42</v>
      </c>
      <c r="F41" s="10">
        <f ca="1"/>
      </c>
      <c r="G41" s="10"/>
      <c r="H41" s="10">
        <f ca="1"/>
      </c>
      <c r="I41" s="11">
        <f ca="1"/>
      </c>
      <c r="J41" s="11">
        <f ca="1"/>
      </c>
      <c r="M41" s="11"/>
      <c r="N41" s="12"/>
      <c r="O41" s="12"/>
      <c r="P41" s="11">
        <f ca="1"/>
      </c>
      <c r="T41" s="13"/>
      <c r="U41" s="13"/>
      <c r="V41" s="13"/>
      <c r="W41" s="13"/>
      <c r="X41" s="13"/>
      <c r="CA41">
        <f ca="1"/>
      </c>
      <c r="CB41">
        <f ca="1"/>
      </c>
      <c r="CC41">
        <f ca="1"/>
      </c>
      <c r="CD41">
        <f ca="1"/>
      </c>
    </row>
    <row r="42" spans="1:82" x14ac:dyDescent="0.55000000000000004">
      <c r="A42" t="s">
        <v>26</v>
      </c>
      <c r="B42" s="6" t="s">
        <v>42</v>
      </c>
      <c r="F42" s="10">
        <f ca="1"/>
      </c>
      <c r="G42" s="10"/>
      <c r="H42" s="10">
        <f ca="1"/>
      </c>
      <c r="I42" s="11">
        <f ca="1"/>
      </c>
      <c r="J42" s="11">
        <f ca="1"/>
      </c>
      <c r="M42" s="11"/>
      <c r="N42" s="12"/>
      <c r="O42" s="12"/>
      <c r="P42" s="11">
        <f ca="1"/>
      </c>
      <c r="T42" s="13"/>
      <c r="U42" s="13"/>
      <c r="V42" s="13"/>
      <c r="W42" s="13"/>
      <c r="X42" s="13"/>
      <c r="CA42">
        <f ca="1"/>
      </c>
      <c r="CB42">
        <f ca="1"/>
      </c>
      <c r="CC42">
        <f ca="1"/>
      </c>
      <c r="CD42">
        <f ca="1"/>
      </c>
    </row>
    <row r="43" spans="1:82" x14ac:dyDescent="0.55000000000000004">
      <c r="A43" t="s">
        <v>27</v>
      </c>
      <c r="B43" s="6" t="s">
        <v>42</v>
      </c>
      <c r="F43" s="10">
        <f ca="1"/>
      </c>
      <c r="G43" s="10"/>
      <c r="H43" s="10">
        <f ca="1"/>
      </c>
      <c r="I43" s="11">
        <f ca="1"/>
      </c>
      <c r="J43" s="11">
        <f ca="1"/>
      </c>
      <c r="M43" s="11"/>
      <c r="N43" s="12"/>
      <c r="O43" s="12"/>
      <c r="P43" s="11">
        <f ca="1"/>
      </c>
      <c r="T43" s="13"/>
      <c r="U43" s="13"/>
      <c r="V43" s="13"/>
      <c r="W43" s="13"/>
      <c r="X43" s="13"/>
      <c r="CA43">
        <f ca="1"/>
      </c>
      <c r="CB43">
        <f ca="1"/>
      </c>
      <c r="CC43">
        <f ca="1"/>
      </c>
      <c r="CD43">
        <f ca="1"/>
      </c>
    </row>
    <row r="44" spans="1:82" x14ac:dyDescent="0.55000000000000004">
      <c r="A44" t="s">
        <v>28</v>
      </c>
      <c r="B44" s="6" t="s">
        <v>42</v>
      </c>
      <c r="F44" s="10">
        <f ca="1"/>
      </c>
      <c r="G44" s="10"/>
      <c r="H44" s="10">
        <f ca="1"/>
      </c>
      <c r="I44" s="11">
        <f ca="1"/>
      </c>
      <c r="J44" s="11">
        <f ca="1"/>
      </c>
      <c r="M44" s="11"/>
      <c r="N44" s="12"/>
      <c r="O44" s="12"/>
      <c r="P44" s="11">
        <f ca="1"/>
      </c>
      <c r="T44" s="13"/>
      <c r="U44" s="13"/>
      <c r="V44" s="13"/>
      <c r="W44" s="13"/>
      <c r="X44" s="13"/>
      <c r="CA44">
        <f ca="1"/>
      </c>
      <c r="CB44">
        <f ca="1"/>
      </c>
      <c r="CC44">
        <f ca="1"/>
      </c>
      <c r="CD44">
        <f ca="1"/>
      </c>
    </row>
    <row r="45" spans="1:82" x14ac:dyDescent="0.55000000000000004">
      <c r="A45" t="s">
        <v>29</v>
      </c>
      <c r="B45" s="6" t="s">
        <v>42</v>
      </c>
      <c r="F45" s="10">
        <f ca="1"/>
      </c>
      <c r="G45" s="10"/>
      <c r="H45" s="10">
        <f ca="1"/>
      </c>
      <c r="I45" s="11">
        <f ca="1"/>
      </c>
      <c r="J45" s="11">
        <f ca="1"/>
      </c>
      <c r="M45" s="11"/>
      <c r="N45" s="12"/>
      <c r="O45" s="12"/>
      <c r="P45" s="11">
        <f ca="1"/>
      </c>
      <c r="T45" s="13"/>
      <c r="U45" s="13"/>
      <c r="V45" s="13"/>
      <c r="W45" s="13"/>
      <c r="X45" s="13"/>
      <c r="CA45">
        <f ca="1"/>
      </c>
      <c r="CB45">
        <f ca="1"/>
      </c>
      <c r="CC45">
        <f ca="1"/>
      </c>
      <c r="CD45">
        <f ca="1"/>
      </c>
    </row>
    <row r="46" spans="1:82" x14ac:dyDescent="0.55000000000000004">
      <c r="A46" t="s">
        <v>30</v>
      </c>
      <c r="B46" s="6" t="s">
        <v>42</v>
      </c>
      <c r="F46" s="10">
        <f ca="1"/>
      </c>
      <c r="G46" s="10"/>
      <c r="H46" s="10">
        <f ca="1"/>
      </c>
      <c r="I46" s="11">
        <f ca="1"/>
      </c>
      <c r="J46" s="11">
        <f ca="1"/>
      </c>
      <c r="M46" s="11"/>
      <c r="N46" s="12"/>
      <c r="O46" s="12"/>
      <c r="P46" s="11">
        <f ca="1"/>
      </c>
      <c r="T46" s="13"/>
      <c r="U46" s="13"/>
      <c r="V46" s="13"/>
      <c r="W46" s="13"/>
      <c r="X46" s="13"/>
      <c r="CA46">
        <f ca="1"/>
      </c>
      <c r="CB46">
        <f ca="1"/>
      </c>
      <c r="CC46">
        <f ca="1"/>
      </c>
      <c r="CD46">
        <f ca="1"/>
      </c>
    </row>
    <row r="47" spans="1:82" x14ac:dyDescent="0.55000000000000004">
      <c r="A47" t="s">
        <v>31</v>
      </c>
      <c r="B47" s="6" t="s">
        <v>43</v>
      </c>
      <c r="F47" s="10">
        <f ca="1"/>
      </c>
      <c r="G47" s="10"/>
      <c r="H47" s="10">
        <f ca="1"/>
      </c>
      <c r="I47" s="11">
        <f ca="1"/>
      </c>
      <c r="J47" s="11">
        <f ca="1"/>
      </c>
      <c r="M47" s="11"/>
      <c r="N47" s="12"/>
      <c r="O47" s="12"/>
      <c r="P47" s="11">
        <f ca="1"/>
      </c>
      <c r="T47" s="13"/>
      <c r="U47" s="13"/>
      <c r="V47" s="13"/>
      <c r="W47" s="13"/>
      <c r="X47" s="13"/>
      <c r="CA47">
        <f ca="1"/>
      </c>
      <c r="CB47">
        <f ca="1"/>
      </c>
      <c r="CC47">
        <f ca="1"/>
      </c>
      <c r="CD47">
        <f ca="1"/>
      </c>
    </row>
    <row r="48" spans="1:82" x14ac:dyDescent="0.55000000000000004">
      <c r="A48" t="s">
        <v>32</v>
      </c>
      <c r="B48" s="6" t="s">
        <v>42</v>
      </c>
      <c r="F48" s="10">
        <f ca="1"/>
      </c>
      <c r="G48" s="10"/>
      <c r="H48" s="10">
        <f ca="1"/>
      </c>
      <c r="I48" s="11">
        <f ca="1"/>
      </c>
      <c r="J48" s="11">
        <f ca="1"/>
      </c>
      <c r="M48" s="11"/>
      <c r="N48" s="12"/>
      <c r="O48" s="12"/>
      <c r="P48" s="11">
        <f ca="1"/>
      </c>
      <c r="T48" s="13"/>
      <c r="U48" s="13"/>
      <c r="V48" s="13"/>
      <c r="W48" s="13"/>
      <c r="X48" s="13"/>
    </row>
    <row r="49" spans="1:24" x14ac:dyDescent="0.55000000000000004">
      <c r="A49" t="s">
        <v>33</v>
      </c>
      <c r="B49" s="6" t="s">
        <v>43</v>
      </c>
      <c r="F49" s="10">
        <f ca="1"/>
      </c>
      <c r="G49" s="10"/>
      <c r="H49" s="10">
        <f ca="1"/>
      </c>
      <c r="I49" s="11">
        <f ca="1"/>
      </c>
      <c r="J49" s="11">
        <f ca="1"/>
      </c>
      <c r="M49" s="11"/>
      <c r="N49" s="12"/>
      <c r="O49" s="12"/>
      <c r="P49" s="11">
        <f ca="1"/>
      </c>
      <c r="T49" s="13"/>
      <c r="U49" s="13"/>
      <c r="V49" s="13"/>
      <c r="W49" s="13"/>
      <c r="X49" s="13"/>
    </row>
    <row r="50" spans="1:24" x14ac:dyDescent="0.55000000000000004">
      <c r="A50" t="s">
        <v>34</v>
      </c>
      <c r="B50" s="6" t="s">
        <v>43</v>
      </c>
      <c r="F50" s="10">
        <f ca="1"/>
      </c>
      <c r="G50" s="10"/>
      <c r="H50" s="10">
        <f ca="1"/>
      </c>
      <c r="I50" s="11">
        <f ca="1"/>
      </c>
      <c r="J50" s="11">
        <f ca="1"/>
      </c>
      <c r="M50" s="11"/>
      <c r="N50" s="12"/>
      <c r="O50" s="12"/>
      <c r="P50" s="11">
        <f ca="1"/>
      </c>
      <c r="T50" s="13"/>
      <c r="U50" s="13"/>
      <c r="V50" s="13"/>
      <c r="W50" s="13"/>
      <c r="X50" s="13"/>
    </row>
    <row r="51" spans="1:24" x14ac:dyDescent="0.55000000000000004">
      <c r="A51" t="s">
        <v>35</v>
      </c>
      <c r="B51" s="6" t="s">
        <v>43</v>
      </c>
      <c r="F51" s="10">
        <f ca="1"/>
      </c>
      <c r="G51" s="10"/>
      <c r="H51" s="10">
        <f ca="1"/>
      </c>
      <c r="I51" s="11">
        <f ca="1"/>
      </c>
      <c r="J51" s="11">
        <f ca="1"/>
      </c>
      <c r="M51" s="11"/>
      <c r="N51" s="12"/>
      <c r="O51" s="12"/>
      <c r="P51" s="11">
        <f ca="1"/>
      </c>
      <c r="T51" s="13"/>
      <c r="U51" s="13"/>
      <c r="V51" s="13"/>
      <c r="W51" s="13"/>
      <c r="X51" s="13"/>
    </row>
    <row r="52" spans="1:24" x14ac:dyDescent="0.55000000000000004">
      <c r="A52" t="s">
        <v>36</v>
      </c>
      <c r="B52" s="6" t="s">
        <v>43</v>
      </c>
      <c r="F52" s="10">
        <f ca="1"/>
      </c>
      <c r="G52" s="10"/>
      <c r="H52" s="10">
        <f ca="1"/>
      </c>
      <c r="I52" s="11">
        <f ca="1"/>
      </c>
      <c r="J52" s="11">
        <f ca="1"/>
      </c>
      <c r="M52" s="11"/>
      <c r="N52" s="12"/>
      <c r="O52" s="12"/>
      <c r="P52" s="11">
        <f ca="1"/>
      </c>
      <c r="T52" s="13"/>
      <c r="U52" s="13"/>
      <c r="V52" s="13"/>
      <c r="W52" s="13"/>
      <c r="X52" s="13"/>
    </row>
    <row r="53" spans="1:24" x14ac:dyDescent="0.55000000000000004">
      <c r="A53" t="s">
        <v>37</v>
      </c>
      <c r="B53" s="6" t="s">
        <v>43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43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43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43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9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windowの最終日。空欄=比較日より前の直近(当日は推定に使わない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空欄=今日(RealTimeのライブの値)。日付=DBのその日の引け値。推定基準日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12" xr:uid="{2DABE3C6-97E9-49DD-A69B-6CB38C74BDC9}">
      <formula1>2</formula1>
    </dataValidation>
    <dataValidation type="list" allowBlank="1" showInputMessage="1" showErrorMessage="1" prompt="Level=水準のPCA / Change=前営業日からの変化のPCA" sqref="B6" xr:uid="{7A9C506C-D4E7-495B-B407-C31A5086EAAC}">
      <formula1>"Level,Change"</formula1>
    </dataValidation>
    <dataValidation type="list" allowBlank="1" showInputMessage="1" showErrorMessage="1" prompt="No=分散共分散(bp)のPCA / Yes=z-score(相関行列)のPCA" sqref="B7" xr:uid="{783E346F-FF77-4E3E-AE70-A2853C851D4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17AA-24F1-4FEE-9D3A-F26BC0CC8878}">
  <sheetPr codeName="Sheet4"/>
  <dimension ref="A1:IA496"/>
  <sheetViews>
    <sheetView tabSelected="1" zoomScale="44" workbookViewId="0">
      <pane xSplit="4" ySplit="9" topLeftCell="H57" activePane="bottomRight" state="frozenSplit"/>
      <selection pane="topRight" activeCell="E1" sqref="E1"/>
      <selection pane="bottomLeft" activeCell="A10" sqref="A10"/>
      <selection pane="bottomRight" activeCell="N2" sqref="N2"/>
    </sheetView>
  </sheetViews>
  <sheetFormatPr defaultRowHeight="18.5" outlineLevelCol="1" x14ac:dyDescent="0.55000000000000004"/>
  <cols>
    <col min="1" max="1" width="10.58203125" customWidth="1"/>
    <col min="2" max="2" width="7.58203125" customWidth="1"/>
    <col min="3" max="3" width="3.08203125" customWidth="1"/>
    <col min="4" max="4" width="12.58203125" customWidth="1"/>
    <col min="5" max="5" width="11.08203125" customWidth="1"/>
    <col min="6" max="11" width="10.08203125" customWidth="1"/>
    <col min="12" max="12" width="11.08203125" customWidth="1"/>
    <col min="13" max="18" width="10.08203125" customWidth="1"/>
    <col min="19" max="19" width="11.08203125" customWidth="1"/>
    <col min="20" max="25" width="10.08203125" customWidth="1"/>
    <col min="26" max="26" width="11.08203125" customWidth="1"/>
    <col min="27" max="32" width="10.08203125" customWidth="1"/>
    <col min="33" max="33" width="11.08203125" customWidth="1"/>
    <col min="34" max="39" width="10.08203125" customWidth="1"/>
    <col min="40" max="40" width="11.08203125" customWidth="1"/>
    <col min="41" max="46" width="10.08203125" customWidth="1"/>
    <col min="47" max="47" width="11.08203125" customWidth="1"/>
    <col min="48" max="53" width="10.08203125" customWidth="1"/>
    <col min="54" max="54" width="11.08203125" customWidth="1"/>
    <col min="55" max="60" width="10.08203125" customWidth="1"/>
    <col min="61" max="61" width="11.08203125" customWidth="1"/>
    <col min="62" max="67" width="10.08203125" customWidth="1"/>
    <col min="68" max="68" width="11.08203125" customWidth="1"/>
    <col min="69" max="74" width="10.08203125" customWidth="1"/>
    <col min="79" max="217" width="8.6640625" hidden="1" customWidth="1" outlineLevel="1"/>
    <col min="218" max="234" width="0" hidden="1" customWidth="1" outlineLevel="1"/>
    <col min="235" max="235" width="8.6640625" collapsed="1"/>
  </cols>
  <sheetData>
    <row r="1" spans="1:233" x14ac:dyDescent="0.55000000000000004">
      <c r="A1" s="15" t="s">
        <v>58</v>
      </c>
      <c r="B1" s="18" t="s">
        <v>53</v>
      </c>
      <c r="C1" s="15" t="s">
        <v>59</v>
      </c>
      <c r="D1" s="16" cm="1">
        <f t="array" aca="1" ref="D1" ca="1">LiveInfo("swap",_xlfn.ANCHORARRAY($CD$4))</f>
      </c>
      <c r="E1" s="17" t="s">
        <v>111</v>
      </c>
    </row>
    <row r="2" spans="1:233" ht="22.5" x14ac:dyDescent="0.55000000000000004">
      <c r="A2" t="s">
        <v>139</v>
      </c>
      <c r="CA2" s="1" t="s">
        <v>163</v>
      </c>
    </row>
    <row r="3" spans="1:233" x14ac:dyDescent="0.55000000000000004">
      <c r="D3" t="s">
        <v>144</v>
      </c>
      <c r="E3" t="s">
        <v>151</v>
      </c>
      <c r="L3" t="s">
        <v>153</v>
      </c>
      <c r="S3" t="s">
        <v>154</v>
      </c>
      <c r="Z3" t="s">
        <v>156</v>
      </c>
      <c r="AG3" t="s">
        <v>157</v>
      </c>
      <c r="AN3" t="s">
        <v>158</v>
      </c>
      <c r="AU3" t="s">
        <v>159</v>
      </c>
      <c r="BB3" t="s">
        <v>160</v>
      </c>
      <c r="BI3" t="s">
        <v>161</v>
      </c>
      <c r="BP3" t="s">
        <v>162</v>
      </c>
      <c r="CB3" t="s">
        <v>140</v>
      </c>
      <c r="CD3" t="s">
        <v>116</v>
      </c>
      <c r="CI3" t="s">
        <v>166</v>
      </c>
      <c r="CJ3" t="s">
        <v>167</v>
      </c>
      <c r="CL3" t="s">
        <v>168</v>
      </c>
      <c r="CO3" t="s">
        <v>169</v>
      </c>
      <c r="HS3" t="s">
        <v>179</v>
      </c>
    </row>
    <row r="4" spans="1:233" x14ac:dyDescent="0.55000000000000004">
      <c r="D4" t="s">
        <v>145</v>
      </c>
      <c r="E4" s="3"/>
      <c r="L4" s="3"/>
      <c r="S4" s="3"/>
      <c r="Z4" s="3"/>
      <c r="AG4" s="3"/>
      <c r="AN4" s="3"/>
      <c r="AU4" s="3"/>
      <c r="BB4" s="3"/>
      <c r="BI4" s="3"/>
      <c r="BP4" s="3"/>
      <c r="CB4" cm="1">
        <f t="array" ref="CB4:CB21">_xlfn._xlws.FILTER($A$12:$A$53,$B$12:$B$53="○")</f>
      </c>
      <c r="CD4" cm="1">
        <f t="array" aca="1" ref="CD4:CG47" ca="1">IF($B$1="Fixed",LiveSnapshot("swap"),LiveQuotes("swap"))</f>
      </c>
      <c r="CE4">
        <f ca="1"/>
      </c>
      <c r="CF4">
        <f ca="1"/>
      </c>
      <c r="CG4">
        <f ca="1"/>
      </c>
      <c r="CI4" cm="1">
        <f t="array" aca="1" ref="CI4:CI21" ca="1">PcaActual(_xlfn.ANCHORARRAY($CB$4),"Level","",_xlfn.CHOOSECOLS(_xlfn.ANCHORARRAY($CD$4),1,2))</f>
      </c>
      <c r="CJ4" cm="1">
        <f t="array" aca="1" ref="CJ4:CJ21" ca="1">PcaActual(_xlfn.ANCHORARRAY($CB$4),"Change","",_xlfn.CHOOSECOLS(_xlfn.ANCHORARRAY($CD$4),1,2))</f>
      </c>
      <c r="CL4" cm="1">
        <f t="array" aca="1" ref="CL4:CM7" ca="1">PcaActualInfo(_xlfn.ANCHORARRAY($CB$4),"Change","",_xlfn.CHOOSECOLS(_xlfn.ANCHORARRAY($CD$4),1,2))</f>
      </c>
      <c r="CM4">
        <f ca="1"/>
      </c>
      <c r="CO4" cm="1">
        <f t="array" ref="CO4:DP184">PcaGrid(_xlfn.ANCHORARRAY($CB$4),_xlfn.LET(_xlpm.r,$E$4:$BP$7,_xlfn.CHOOSECOLS(IF(_xlpm.r="","",_xlpm.r),_xlfn.SEQUENCE(1,10,1,7))))</f>
      </c>
      <c r="EP4" t="s">
        <v>151</v>
      </c>
      <c r="EQ4" cm="1">
        <f t="array" ref="EQ4:FR21">_xlfn.LET(_xlpm.g,_xlfn.DROP(_xlfn.ANCHORARRAY($CO$4),1),_xlfn._xlws.FILTER(_xlpm.g,_xlfn.TAKE(_xlpm.g,,1)=1))</f>
      </c>
      <c r="GQ4" t="s">
        <v>170</v>
      </c>
      <c r="GR4" cm="1">
        <f t="array" aca="1" ref="GR4" ca="1">IFERROR(_xlfn.LET(_xlpm.R,_xlfn.ANCHORARRAY($GR$5),_xlpm.a,ABS(_xlpm.R),"k="&amp;$D$12&amp;"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" cm="1">
        <f t="array" aca="1" ref="GS4" ca="1">IFERROR(_xlfn.LET(_xlpm.R,_xlfn.ANCHORARRAY($GS$5),_xlpm.a,ABS(_xlpm.R),"k="&amp;$D$28&amp;"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" cm="1">
        <f t="array" aca="1" ref="GT4" ca="1">IFERROR(_xlfn.LET(_xlpm.R,_xlfn.ANCHORARRAY($GT$5),_xlpm.a,ABS(_xlpm.R),"k="&amp;$D$44&amp;"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" cm="1">
        <f t="array" aca="1" ref="GU4" ca="1">IFERROR(_xlfn.LET(_xlpm.R,_xlfn.ANCHORARRAY($GU$5),_xlpm.a,ABS(_xlpm.R),"k="&amp;$D$60&amp;"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" cm="1">
        <f t="array" aca="1" ref="GV4" ca="1">IFERROR(_xlfn.LET(_xlpm.R,_xlfn.ANCHORARRAY($GV$5),_xlpm.a,ABS(_xlpm.R),"k="&amp;$D$76&amp;"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" t="s">
        <v>44</v>
      </c>
      <c r="GY4" t="s">
        <v>45</v>
      </c>
      <c r="GZ4" t="s">
        <v>46</v>
      </c>
      <c r="HA4" t="s">
        <v>47</v>
      </c>
      <c r="HB4" t="s">
        <v>48</v>
      </c>
      <c r="HD4" t="s">
        <v>175</v>
      </c>
      <c r="HE4">
        <f>"Actual / Mean / Recon (k="&amp;$D$108&amp;")  dashed: Mean ±1σ"</f>
      </c>
      <c r="HF4" t="s">
        <v>176</v>
      </c>
      <c r="HG4" t="s">
        <v>177</v>
      </c>
      <c r="HH4" t="s">
        <v>180</v>
      </c>
      <c r="HI4" t="s">
        <v>181</v>
      </c>
      <c r="HJ4" t="s">
        <v>182</v>
      </c>
      <c r="HK4" t="s">
        <v>183</v>
      </c>
      <c r="HL4" t="s">
        <v>184</v>
      </c>
      <c r="HM4" t="s">
        <v>185</v>
      </c>
      <c r="HN4" t="s">
        <v>186</v>
      </c>
      <c r="HO4" t="s">
        <v>187</v>
      </c>
      <c r="HP4" t="s">
        <v>188</v>
      </c>
      <c r="HQ4" t="s">
        <v>189</v>
      </c>
      <c r="HR4" t="s">
        <v>190</v>
      </c>
      <c r="HS4" cm="1">
        <f t="array" ref="HS4:HY184">PcaGridResidStd(_xlfn.ANCHORARRAY($CB$4),_xlfn.LET(_xlpm.r,$E$4:$BP$7,_xlfn.CHOOSECOLS(IF(_xlpm.r="","",_xlpm.r),_xlfn.SEQUENCE(1,10,1,7))),_xlfn.VSTACK($D$12,$D$28,$D$44,$D$60,$D$76),$B$55)</f>
      </c>
    </row>
    <row r="5" spans="1:233" x14ac:dyDescent="0.55000000000000004">
      <c r="D5" t="s">
        <v>146</v>
      </c>
      <c r="E5" s="44">
        <v>100</v>
      </c>
      <c r="L5" s="44">
        <v>50</v>
      </c>
      <c r="S5" s="44">
        <v>250</v>
      </c>
      <c r="Z5" s="44">
        <v>250</v>
      </c>
      <c r="AG5" s="44">
        <v>60</v>
      </c>
      <c r="AN5" s="44">
        <v>60</v>
      </c>
      <c r="AU5" s="44">
        <v>60</v>
      </c>
      <c r="BB5" s="44">
        <v>60</v>
      </c>
      <c r="BI5" s="44">
        <v>120</v>
      </c>
      <c r="BP5" s="44">
        <v>120</v>
      </c>
      <c r="CD5">
        <f ca="1"/>
      </c>
      <c r="CE5">
        <f ca="1"/>
      </c>
      <c r="CF5">
        <f ca="1"/>
      </c>
      <c r="CG5">
        <f ca="1"/>
      </c>
      <c r="CI5">
        <f ca="1"/>
      </c>
      <c r="CJ5">
        <f ca="1"/>
      </c>
      <c r="CL5">
        <f ca="1"/>
      </c>
      <c r="CM5">
        <f ca="1"/>
      </c>
      <c r="GQ5" cm="1">
        <f t="array" aca="1" ref="GQ5:GQ22" ca="1">IF($E$6="Change",_xlfn.ANCHORARRAY($CJ$4),_xlfn.ANCHORARRAY($CI$4))</f>
      </c>
      <c r="GR5" s="11" cm="1">
        <f t="array" aca="1" ref="GR5:GR22" ca="1">_xlfn.LET(_xlpm.sl,_xlfn.ANCHORARRAY($EQ$4),_xlpm.mu,_xlfn.CHOOSECOLS(_xlpm.sl,8),_xlpm.sg,_xlfn.CHOOSECOLS(_xlpm.sl,9),_xlpm.x,_xlfn.ANCHORARRAY($GQ$5),_xlpm.V,_xlfn.TAKE(_xlfn.DROP(_xlpm.sl,,10),,$D$12),(_xlpm.x-(_xlpm.mu+_xlpm.sg*MMULT(_xlpm.V,MMULT(TRANSPOSE(_xlpm.V),(_xlpm.x-_xlpm.mu)/_xlpm.sg))))*100)</f>
      </c>
      <c r="GS5" s="11" cm="1">
        <f t="array" aca="1" ref="GS5:GS22" ca="1">_xlfn.LET(_xlpm.sl,_xlfn.ANCHORARRAY($EQ$4),_xlpm.mu,_xlfn.CHOOSECOLS(_xlpm.sl,8),_xlpm.sg,_xlfn.CHOOSECOLS(_xlpm.sl,9),_xlpm.x,_xlfn.ANCHORARRAY($GQ$5),_xlpm.V,_xlfn.TAKE(_xlfn.DROP(_xlpm.sl,,10),,$D$28),(_xlpm.x-(_xlpm.mu+_xlpm.sg*MMULT(_xlpm.V,MMULT(TRANSPOSE(_xlpm.V),(_xlpm.x-_xlpm.mu)/_xlpm.sg))))*100)</f>
      </c>
      <c r="GT5" s="11" cm="1">
        <f t="array" aca="1" ref="GT5:GT22" ca="1">_xlfn.LET(_xlpm.sl,_xlfn.ANCHORARRAY($EQ$4),_xlpm.mu,_xlfn.CHOOSECOLS(_xlpm.sl,8),_xlpm.sg,_xlfn.CHOOSECOLS(_xlpm.sl,9),_xlpm.x,_xlfn.ANCHORARRAY($GQ$5),_xlpm.V,_xlfn.TAKE(_xlfn.DROP(_xlpm.sl,,10),,$D$44),(_xlpm.x-(_xlpm.mu+_xlpm.sg*MMULT(_xlpm.V,MMULT(TRANSPOSE(_xlpm.V),(_xlpm.x-_xlpm.mu)/_xlpm.sg))))*100)</f>
      </c>
      <c r="GU5" s="11" cm="1">
        <f t="array" aca="1" ref="GU5:GU22" ca="1">_xlfn.LET(_xlpm.sl,_xlfn.ANCHORARRAY($EQ$4),_xlpm.mu,_xlfn.CHOOSECOLS(_xlpm.sl,8),_xlpm.sg,_xlfn.CHOOSECOLS(_xlpm.sl,9),_xlpm.x,_xlfn.ANCHORARRAY($GQ$5),_xlpm.V,_xlfn.TAKE(_xlfn.DROP(_xlpm.sl,,10),,$D$60),(_xlpm.x-(_xlpm.mu+_xlpm.sg*MMULT(_xlpm.V,MMULT(TRANSPOSE(_xlpm.V),(_xlpm.x-_xlpm.mu)/_xlpm.sg))))*100)</f>
      </c>
      <c r="GV5" s="11" cm="1">
        <f t="array" aca="1" ref="GV5:GV22" ca="1">_xlfn.LET(_xlpm.sl,_xlfn.ANCHORARRAY($EQ$4),_xlpm.mu,_xlfn.CHOOSECOLS(_xlpm.sl,8),_xlpm.sg,_xlfn.CHOOSECOLS(_xlpm.sl,9),_xlpm.x,_xlfn.ANCHORARRAY($GQ$5),_xlpm.V,_xlfn.TAKE(_xlfn.DROP(_xlpm.sl,,10),,$D$76),(_xlpm.x-(_xlpm.mu+_xlpm.sg*MMULT(_xlpm.V,MMULT(TRANSPOSE(_xlpm.V),(_xlpm.x-_xlpm.mu)/_xlpm.sg))))*100)</f>
      </c>
      <c r="GX5" cm="1">
        <f t="array" ref="GX5:GX22">_xlfn.LET(_xlpm.V,_xlfn.DROP(_xlfn.ANCHORARRAY($EQ$4),,10),IF(1&lt;=COLUMNS(_xlpm.V),_xlfn.CHOOSECOLS(_xlpm.V,1),IF(_xlfn.SEQUENCE(ROWS(_xlpm.V)),NA())))</f>
      </c>
      <c r="GY5" cm="1">
        <f t="array" ref="GY5:GY22">_xlfn.LET(_xlpm.V,_xlfn.DROP(_xlfn.ANCHORARRAY($EQ$4),,10),IF(2&lt;=COLUMNS(_xlpm.V),_xlfn.CHOOSECOLS(_xlpm.V,2),IF(_xlfn.SEQUENCE(ROWS(_xlpm.V)),NA())))</f>
      </c>
      <c r="GZ5" cm="1">
        <f t="array" ref="GZ5:GZ22">_xlfn.LET(_xlpm.V,_xlfn.DROP(_xlfn.ANCHORARRAY($EQ$4),,10),IF(3&lt;=COLUMNS(_xlpm.V),_xlfn.CHOOSECOLS(_xlpm.V,3),IF(_xlfn.SEQUENCE(ROWS(_xlpm.V)),NA())))</f>
      </c>
      <c r="HA5" cm="1">
        <f t="array" ref="HA5:HA22">_xlfn.LET(_xlpm.V,_xlfn.DROP(_xlfn.ANCHORARRAY($EQ$4),,10),IF(4&lt;=COLUMNS(_xlpm.V),_xlfn.CHOOSECOLS(_xlpm.V,4),IF(_xlfn.SEQUENCE(ROWS(_xlpm.V)),NA())))</f>
      </c>
      <c r="HB5" cm="1">
        <f t="array" ref="HB5:HB22">_xlfn.LET(_xlpm.V,_xlfn.DROP(_xlfn.ANCHORARRAY($EQ$4),,10),IF(5&lt;=COLUMNS(_xlpm.V),_xlfn.CHOOSECOLS(_xlpm.V,5),IF(_xlfn.SEQUENCE(ROWS(_xlpm.V)),NA())))</f>
      </c>
      <c r="HD5" cm="1">
        <f t="array" ref="HD5:HD22">_xlfn.CHOOSECOLS(_xlfn.ANCHORARRAY($EQ$4),8)</f>
      </c>
      <c r="HE5" cm="1">
        <f t="array" aca="1" ref="HE5:HE22" ca="1">_xlfn.LET(_xlpm.sl,_xlfn.ANCHORARRAY($EQ$4),_xlpm.mu,_xlfn.CHOOSECOLS(_xlpm.sl,8),_xlpm.sg,_xlfn.CHOOSECOLS(_xlpm.sl,9),_xlpm.x,_xlfn.ANCHORARRAY($GQ$5),_xlpm.V,_xlfn.TAKE(_xlfn.DROP(_xlpm.sl,,10),,$D$108),_xlpm.mu+_xlpm.sg*MMULT(_xlpm.V,MMULT(TRANSPOSE(_xlpm.V),(_xlpm.x-_xlpm.mu)/_xlpm.sg)))</f>
      </c>
      <c r="HF5" cm="1">
        <f t="array" ref="HF5:HF22">_xlfn.CHOOSECOLS(_xlfn.ANCHORARRAY($EQ$4),8)+_xlfn.CHOOSECOLS(_xlfn.ANCHORARRAY($EQ$4),10)</f>
      </c>
      <c r="HG5" cm="1">
        <f t="array" ref="HG5:HG22">_xlfn.CHOOSECOLS(_xlfn.ANCHORARRAY($EQ$4),8)-_xlfn.CHOOSECOLS(_xlfn.ANCHORARRAY($EQ$4),10)</f>
      </c>
      <c r="HH5" cm="1">
        <f t="array" ref="HH5:HH22">_xlfn.LET(_xlpm.v,_xlfn.CHOOSECOLS(_xlfn._xlws.FILTER(_xlfn.DROP(_xlfn.ANCHORARRAY($HS$4),1),_xlfn.TAKE(_xlfn.DROP(_xlfn.ANCHORARRAY($HS$4),1),,1)=1),3),IF(_xlpm.v="",NA(),_xlpm.v))</f>
      </c>
      <c r="HI5" cm="1">
        <f t="array" ref="HI5:HI22">-_xlfn.ANCHORARRAY($HH$5)</f>
      </c>
      <c r="HJ5" cm="1">
        <f t="array" ref="HJ5:HJ22">_xlfn.LET(_xlpm.v,_xlfn.CHOOSECOLS(_xlfn._xlws.FILTER(_xlfn.DROP(_xlfn.ANCHORARRAY($HS$4),1),_xlfn.TAKE(_xlfn.DROP(_xlfn.ANCHORARRAY($HS$4),1),,1)=1),4),IF(_xlpm.v="",NA(),_xlpm.v))</f>
      </c>
      <c r="HK5" cm="1">
        <f t="array" ref="HK5:HK22">-_xlfn.ANCHORARRAY($HJ$5)</f>
      </c>
      <c r="HL5" cm="1">
        <f t="array" ref="HL5:HL22">_xlfn.LET(_xlpm.v,_xlfn.CHOOSECOLS(_xlfn._xlws.FILTER(_xlfn.DROP(_xlfn.ANCHORARRAY($HS$4),1),_xlfn.TAKE(_xlfn.DROP(_xlfn.ANCHORARRAY($HS$4),1),,1)=1),5),IF(_xlpm.v="",NA(),_xlpm.v))</f>
      </c>
      <c r="HM5" cm="1">
        <f t="array" ref="HM5:HM22">-_xlfn.ANCHORARRAY($HL$5)</f>
      </c>
      <c r="HN5" cm="1">
        <f t="array" ref="HN5:HN22">_xlfn.LET(_xlpm.v,_xlfn.CHOOSECOLS(_xlfn._xlws.FILTER(_xlfn.DROP(_xlfn.ANCHORARRAY($HS$4),1),_xlfn.TAKE(_xlfn.DROP(_xlfn.ANCHORARRAY($HS$4),1),,1)=1),6),IF(_xlpm.v="",NA(),_xlpm.v))</f>
      </c>
      <c r="HO5" cm="1">
        <f t="array" ref="HO5:HO22">-_xlfn.ANCHORARRAY($HN$5)</f>
      </c>
      <c r="HP5" cm="1">
        <f t="array" ref="HP5:HP22">_xlfn.LET(_xlpm.v,_xlfn.CHOOSECOLS(_xlfn._xlws.FILTER(_xlfn.DROP(_xlfn.ANCHORARRAY($HS$4),1),_xlfn.TAKE(_xlfn.DROP(_xlfn.ANCHORARRAY($HS$4),1),,1)=1),7),IF(_xlpm.v="",NA(),_xlpm.v))</f>
      </c>
      <c r="HQ5" cm="1">
        <f t="array" ref="HQ5:HQ22">-_xlfn.ANCHORARRAY($HP$5)</f>
      </c>
      <c r="HR5" cm="1">
        <f t="array" ref="HR5">IFERROR(INDEX(_xlfn._xlws.FILTER(_xlfn.DROP(_xlfn.ANCHORARRAY($HS$4),1),_xlfn.TAKE(_xlfn.DROP(_xlfn.ANCHORARRAY($HS$4),1),,1)=1),1,2),"")</f>
      </c>
    </row>
    <row r="6" spans="1:233" x14ac:dyDescent="0.55000000000000004">
      <c r="D6" t="s">
        <v>147</v>
      </c>
      <c r="E6" s="44" t="s">
        <v>152</v>
      </c>
      <c r="L6" s="44" t="s">
        <v>152</v>
      </c>
      <c r="S6" s="44" t="s">
        <v>155</v>
      </c>
      <c r="Z6" s="44" t="s">
        <v>155</v>
      </c>
      <c r="AG6" s="44" t="s">
        <v>152</v>
      </c>
      <c r="AN6" s="44" t="s">
        <v>152</v>
      </c>
      <c r="AU6" s="44" t="s">
        <v>155</v>
      </c>
      <c r="BB6" s="44" t="s">
        <v>155</v>
      </c>
      <c r="BI6" s="44" t="s">
        <v>152</v>
      </c>
      <c r="BP6" s="44" t="s">
        <v>155</v>
      </c>
      <c r="CD6">
        <f ca="1"/>
      </c>
      <c r="CE6">
        <f ca="1"/>
      </c>
      <c r="CF6">
        <f ca="1"/>
      </c>
      <c r="CG6">
        <f ca="1"/>
      </c>
      <c r="CI6">
        <f ca="1"/>
      </c>
      <c r="CJ6">
        <f ca="1"/>
      </c>
      <c r="CL6">
        <f ca="1"/>
      </c>
      <c r="CM6">
        <f ca="1"/>
      </c>
      <c r="GQ6">
        <f ca="1"/>
      </c>
      <c r="GR6" s="11">
        <f ca="1"/>
      </c>
      <c r="GS6" s="11">
        <f ca="1"/>
      </c>
      <c r="GT6" s="11">
        <f ca="1"/>
      </c>
      <c r="GU6" s="11">
        <f ca="1"/>
      </c>
      <c r="GV6" s="11">
        <f ca="1"/>
      </c>
      <c r="HE6">
        <f ca="1"/>
      </c>
    </row>
    <row r="7" spans="1:233" x14ac:dyDescent="0.55000000000000004">
      <c r="D7" t="s">
        <v>148</v>
      </c>
      <c r="E7" s="44" t="s">
        <v>142</v>
      </c>
      <c r="L7" s="44" t="s">
        <v>143</v>
      </c>
      <c r="S7" s="44" t="s">
        <v>142</v>
      </c>
      <c r="Z7" s="44" t="s">
        <v>143</v>
      </c>
      <c r="AG7" s="44" t="s">
        <v>142</v>
      </c>
      <c r="AN7" s="44" t="s">
        <v>143</v>
      </c>
      <c r="AU7" s="44" t="s">
        <v>142</v>
      </c>
      <c r="BB7" s="44" t="s">
        <v>143</v>
      </c>
      <c r="BI7" s="44" t="s">
        <v>142</v>
      </c>
      <c r="BP7" s="44" t="s">
        <v>142</v>
      </c>
      <c r="CD7">
        <f ca="1"/>
      </c>
      <c r="CE7">
        <f ca="1"/>
      </c>
      <c r="CF7">
        <f ca="1"/>
      </c>
      <c r="CG7">
        <f ca="1"/>
      </c>
      <c r="CI7">
        <f ca="1"/>
      </c>
      <c r="CJ7">
        <f ca="1"/>
      </c>
      <c r="CL7">
        <f ca="1"/>
      </c>
      <c r="CM7">
        <f ca="1"/>
      </c>
      <c r="GQ7">
        <f ca="1"/>
      </c>
      <c r="GR7" s="11">
        <f ca="1"/>
      </c>
      <c r="GS7" s="11">
        <f ca="1"/>
      </c>
      <c r="GT7" s="11">
        <f ca="1"/>
      </c>
      <c r="GU7" s="11">
        <f ca="1"/>
      </c>
      <c r="GV7" s="11">
        <f ca="1"/>
      </c>
      <c r="HE7">
        <f ca="1"/>
      </c>
    </row>
    <row r="8" spans="1:233" x14ac:dyDescent="0.55000000000000004">
      <c r="D8" t="s">
        <v>149</v>
      </c>
      <c r="E8">
        <f>IFERROR(_xlfn.LET(_xlpm.sl,_xlfn.ANCHORARRAY($EQ$4),IF(ISNUMBER(INDEX(_xlpm.sl,1,2)),TEXT(INDEX(_xlpm.sl,1,2),"yyyy-mm-dd")&amp;" - "&amp;TEXT(INDEX(_xlpm.sl,1,3),"yyyy-mm-dd")&amp;"  (n="&amp;INDEX(_xlpm.sl,1,4)&amp;")","Error")),"Error")</f>
      </c>
      <c r="L8">
        <f>IFERROR(_xlfn.LET(_xlpm.sl,_xlfn.ANCHORARRAY($EQ$54),IF(ISNUMBER(INDEX(_xlpm.sl,1,2)),TEXT(INDEX(_xlpm.sl,1,2),"yyyy-mm-dd")&amp;" - "&amp;TEXT(INDEX(_xlpm.sl,1,3),"yyyy-mm-dd")&amp;"  (n="&amp;INDEX(_xlpm.sl,1,4)&amp;")","Error")),"Error")</f>
      </c>
      <c r="S8">
        <f>IFERROR(_xlfn.LET(_xlpm.sl,_xlfn.ANCHORARRAY($EQ$104),IF(ISNUMBER(INDEX(_xlpm.sl,1,2)),TEXT(INDEX(_xlpm.sl,1,2),"yyyy-mm-dd")&amp;" - "&amp;TEXT(INDEX(_xlpm.sl,1,3),"yyyy-mm-dd")&amp;"  (n="&amp;INDEX(_xlpm.sl,1,4)&amp;")","Error")),"Error")</f>
      </c>
      <c r="Z8">
        <f>IFERROR(_xlfn.LET(_xlpm.sl,_xlfn.ANCHORARRAY($EQ$154),IF(ISNUMBER(INDEX(_xlpm.sl,1,2)),TEXT(INDEX(_xlpm.sl,1,2),"yyyy-mm-dd")&amp;" - "&amp;TEXT(INDEX(_xlpm.sl,1,3),"yyyy-mm-dd")&amp;"  (n="&amp;INDEX(_xlpm.sl,1,4)&amp;")","Error")),"Error")</f>
      </c>
      <c r="AG8">
        <f>IFERROR(_xlfn.LET(_xlpm.sl,_xlfn.ANCHORARRAY($EQ$204),IF(ISNUMBER(INDEX(_xlpm.sl,1,2)),TEXT(INDEX(_xlpm.sl,1,2),"yyyy-mm-dd")&amp;" - "&amp;TEXT(INDEX(_xlpm.sl,1,3),"yyyy-mm-dd")&amp;"  (n="&amp;INDEX(_xlpm.sl,1,4)&amp;")","Error")),"Error")</f>
      </c>
      <c r="AN8">
        <f>IFERROR(_xlfn.LET(_xlpm.sl,_xlfn.ANCHORARRAY($EQ$254),IF(ISNUMBER(INDEX(_xlpm.sl,1,2)),TEXT(INDEX(_xlpm.sl,1,2),"yyyy-mm-dd")&amp;" - "&amp;TEXT(INDEX(_xlpm.sl,1,3),"yyyy-mm-dd")&amp;"  (n="&amp;INDEX(_xlpm.sl,1,4)&amp;")","Error")),"Error")</f>
      </c>
      <c r="AU8">
        <f>IFERROR(_xlfn.LET(_xlpm.sl,_xlfn.ANCHORARRAY($EQ$304),IF(ISNUMBER(INDEX(_xlpm.sl,1,2)),TEXT(INDEX(_xlpm.sl,1,2),"yyyy-mm-dd")&amp;" - "&amp;TEXT(INDEX(_xlpm.sl,1,3),"yyyy-mm-dd")&amp;"  (n="&amp;INDEX(_xlpm.sl,1,4)&amp;")","Error")),"Error")</f>
      </c>
      <c r="BB8">
        <f>IFERROR(_xlfn.LET(_xlpm.sl,_xlfn.ANCHORARRAY($EQ$354),IF(ISNUMBER(INDEX(_xlpm.sl,1,2)),TEXT(INDEX(_xlpm.sl,1,2),"yyyy-mm-dd")&amp;" - "&amp;TEXT(INDEX(_xlpm.sl,1,3),"yyyy-mm-dd")&amp;"  (n="&amp;INDEX(_xlpm.sl,1,4)&amp;")","Error")),"Error")</f>
      </c>
      <c r="BI8">
        <f>IFERROR(_xlfn.LET(_xlpm.sl,_xlfn.ANCHORARRAY($EQ$404),IF(ISNUMBER(INDEX(_xlpm.sl,1,2)),TEXT(INDEX(_xlpm.sl,1,2),"yyyy-mm-dd")&amp;" - "&amp;TEXT(INDEX(_xlpm.sl,1,3),"yyyy-mm-dd")&amp;"  (n="&amp;INDEX(_xlpm.sl,1,4)&amp;")","Error")),"Error")</f>
      </c>
      <c r="BP8">
        <f>IFERROR(_xlfn.LET(_xlpm.sl,_xlfn.ANCHORARRAY($EQ$454),IF(ISNUMBER(INDEX(_xlpm.sl,1,2)),TEXT(INDEX(_xlpm.sl,1,2),"yyyy-mm-dd")&amp;" - "&amp;TEXT(INDEX(_xlpm.sl,1,3),"yyyy-mm-dd")&amp;"  (n="&amp;INDEX(_xlpm.sl,1,4)&amp;")","Error")),"Error")</f>
      </c>
      <c r="CD8">
        <f ca="1"/>
      </c>
      <c r="CE8">
        <f ca="1"/>
      </c>
      <c r="CF8">
        <f ca="1"/>
      </c>
      <c r="CG8">
        <f ca="1"/>
      </c>
      <c r="CI8">
        <f ca="1"/>
      </c>
      <c r="CJ8">
        <f ca="1"/>
      </c>
      <c r="GQ8">
        <f ca="1"/>
      </c>
      <c r="GR8" s="11">
        <f ca="1"/>
      </c>
      <c r="GS8" s="11">
        <f ca="1"/>
      </c>
      <c r="GT8" s="11">
        <f ca="1"/>
      </c>
      <c r="GU8" s="11">
        <f ca="1"/>
      </c>
      <c r="GV8" s="11">
        <f ca="1"/>
      </c>
      <c r="HE8">
        <f ca="1"/>
      </c>
    </row>
    <row r="9" spans="1:233" x14ac:dyDescent="0.55000000000000004">
      <c r="D9" t="s">
        <v>150</v>
      </c>
      <c r="E9">
        <f>IFERROR(_xlfn.TEXTJOIN(" / ",TRUE,INDEX(_xlfn.ANCHORARRAY($EQ$4),1,6),IF($E$6="Change",INDEX(_xlfn.ANCHORARRAY($CL$4),4,2),""),$HR$5),"")</f>
      </c>
      <c r="L9">
        <f>IFERROR(_xlfn.TEXTJOIN(" / ",TRUE,INDEX(_xlfn.ANCHORARRAY($EQ$54),1,6),IF($L$6="Change",INDEX(_xlfn.ANCHORARRAY($CL$4),4,2),""),$HR$55),"")</f>
      </c>
      <c r="S9">
        <f ca="1">IFERROR(_xlfn.TEXTJOIN(" / ",TRUE,INDEX(_xlfn.ANCHORARRAY($EQ$104),1,6),IF($S$6="Change",INDEX(_xlfn.ANCHORARRAY($CL$4),4,2),""),$HR$105),"")</f>
      </c>
      <c r="Z9">
        <f ca="1">IFERROR(_xlfn.TEXTJOIN(" / ",TRUE,INDEX(_xlfn.ANCHORARRAY($EQ$154),1,6),IF($Z$6="Change",INDEX(_xlfn.ANCHORARRAY($CL$4),4,2),""),$HR$155),"")</f>
      </c>
      <c r="AG9">
        <f>IFERROR(_xlfn.TEXTJOIN(" / ",TRUE,INDEX(_xlfn.ANCHORARRAY($EQ$204),1,6),IF($AG$6="Change",INDEX(_xlfn.ANCHORARRAY($CL$4),4,2),""),$HR$205),"")</f>
      </c>
      <c r="AN9">
        <f>IFERROR(_xlfn.TEXTJOIN(" / ",TRUE,INDEX(_xlfn.ANCHORARRAY($EQ$254),1,6),IF($AN$6="Change",INDEX(_xlfn.ANCHORARRAY($CL$4),4,2),""),$HR$255),"")</f>
      </c>
      <c r="AU9">
        <f ca="1">IFERROR(_xlfn.TEXTJOIN(" / ",TRUE,INDEX(_xlfn.ANCHORARRAY($EQ$304),1,6),IF($AU$6="Change",INDEX(_xlfn.ANCHORARRAY($CL$4),4,2),""),$HR$305),"")</f>
      </c>
      <c r="BB9">
        <f ca="1">IFERROR(_xlfn.TEXTJOIN(" / ",TRUE,INDEX(_xlfn.ANCHORARRAY($EQ$354),1,6),IF($BB$6="Change",INDEX(_xlfn.ANCHORARRAY($CL$4),4,2),""),$HR$355),"")</f>
      </c>
      <c r="BI9">
        <f>IFERROR(_xlfn.TEXTJOIN(" / ",TRUE,INDEX(_xlfn.ANCHORARRAY($EQ$404),1,6),IF($BI$6="Change",INDEX(_xlfn.ANCHORARRAY($CL$4),4,2),""),$HR$405),"")</f>
      </c>
      <c r="BP9">
        <f ca="1">IFERROR(_xlfn.TEXTJOIN(" / ",TRUE,INDEX(_xlfn.ANCHORARRAY($EQ$454),1,6),IF($BP$6="Change",INDEX(_xlfn.ANCHORARRAY($CL$4),4,2),""),$HR$455),"")</f>
      </c>
      <c r="CD9">
        <f ca="1"/>
      </c>
      <c r="CE9">
        <f ca="1"/>
      </c>
      <c r="CF9">
        <f ca="1"/>
      </c>
      <c r="CG9">
        <f ca="1"/>
      </c>
      <c r="CI9">
        <f ca="1"/>
      </c>
      <c r="CJ9">
        <f ca="1"/>
      </c>
      <c r="GQ9">
        <f ca="1"/>
      </c>
      <c r="GR9" s="11">
        <f ca="1"/>
      </c>
      <c r="GS9" s="11">
        <f ca="1"/>
      </c>
      <c r="GT9" s="11">
        <f ca="1"/>
      </c>
      <c r="GU9" s="11">
        <f ca="1"/>
      </c>
      <c r="GV9" s="11">
        <f ca="1"/>
      </c>
      <c r="HE9">
        <f ca="1"/>
      </c>
    </row>
    <row r="10" spans="1:233" x14ac:dyDescent="0.55000000000000004">
      <c r="A10" s="4" t="s">
        <v>140</v>
      </c>
      <c r="CD10">
        <f ca="1"/>
      </c>
      <c r="CE10">
        <f ca="1"/>
      </c>
      <c r="CF10">
        <f ca="1"/>
      </c>
      <c r="CG10">
        <f ca="1"/>
      </c>
      <c r="CI10">
        <f ca="1"/>
      </c>
      <c r="CJ10">
        <f ca="1"/>
      </c>
      <c r="GQ10">
        <f ca="1"/>
      </c>
      <c r="GR10" s="11">
        <f ca="1"/>
      </c>
      <c r="GS10" s="11">
        <f ca="1"/>
      </c>
      <c r="GT10" s="11">
        <f ca="1"/>
      </c>
      <c r="GU10" s="11">
        <f ca="1"/>
      </c>
      <c r="GV10" s="11">
        <f ca="1"/>
      </c>
      <c r="HE10">
        <f ca="1"/>
      </c>
    </row>
    <row r="11" spans="1:233" x14ac:dyDescent="0.55000000000000004">
      <c r="A11" s="5" t="s">
        <v>135</v>
      </c>
      <c r="B11" s="5" t="s">
        <v>141</v>
      </c>
      <c r="D11" t="s">
        <v>164</v>
      </c>
      <c r="CD11">
        <f ca="1"/>
      </c>
      <c r="CE11">
        <f ca="1"/>
      </c>
      <c r="CF11">
        <f ca="1"/>
      </c>
      <c r="CG11">
        <f ca="1"/>
      </c>
      <c r="CI11">
        <f ca="1"/>
      </c>
      <c r="CJ11">
        <f ca="1"/>
      </c>
      <c r="GQ11">
        <f ca="1"/>
      </c>
      <c r="GR11" s="11">
        <f ca="1"/>
      </c>
      <c r="GS11" s="11">
        <f ca="1"/>
      </c>
      <c r="GT11" s="11">
        <f ca="1"/>
      </c>
      <c r="GU11" s="11">
        <f ca="1"/>
      </c>
      <c r="GV11" s="11">
        <f ca="1"/>
      </c>
      <c r="HE11">
        <f ca="1"/>
      </c>
    </row>
    <row r="12" spans="1:233" x14ac:dyDescent="0.55000000000000004">
      <c r="A12" t="s">
        <v>0</v>
      </c>
      <c r="B12" s="6" t="s">
        <v>43</v>
      </c>
      <c r="D12" s="2">
        <v>1</v>
      </c>
      <c r="CD12">
        <f ca="1"/>
      </c>
      <c r="CE12">
        <f ca="1"/>
      </c>
      <c r="CF12">
        <f ca="1"/>
      </c>
      <c r="CG12">
        <f ca="1"/>
      </c>
      <c r="CI12">
        <f ca="1"/>
      </c>
      <c r="CJ12">
        <f ca="1"/>
      </c>
      <c r="GQ12">
        <f ca="1"/>
      </c>
      <c r="GR12" s="11">
        <f ca="1"/>
      </c>
      <c r="GS12" s="11">
        <f ca="1"/>
      </c>
      <c r="GT12" s="11">
        <f ca="1"/>
      </c>
      <c r="GU12" s="11">
        <f ca="1"/>
      </c>
      <c r="GV12" s="11">
        <f ca="1"/>
      </c>
      <c r="HE12">
        <f ca="1"/>
      </c>
    </row>
    <row r="13" spans="1:233" x14ac:dyDescent="0.55000000000000004">
      <c r="A13" t="s">
        <v>1</v>
      </c>
      <c r="B13" s="6" t="s">
        <v>43</v>
      </c>
      <c r="CD13">
        <f ca="1"/>
      </c>
      <c r="CE13">
        <f ca="1"/>
      </c>
      <c r="CF13">
        <f ca="1"/>
      </c>
      <c r="CG13">
        <f ca="1"/>
      </c>
      <c r="CI13">
        <f ca="1"/>
      </c>
      <c r="CJ13">
        <f ca="1"/>
      </c>
      <c r="GQ13">
        <f ca="1"/>
      </c>
      <c r="GR13" s="11">
        <f ca="1"/>
      </c>
      <c r="GS13" s="11">
        <f ca="1"/>
      </c>
      <c r="GT13" s="11">
        <f ca="1"/>
      </c>
      <c r="GU13" s="11">
        <f ca="1"/>
      </c>
      <c r="GV13" s="11">
        <f ca="1"/>
      </c>
      <c r="HE13">
        <f ca="1"/>
      </c>
    </row>
    <row r="14" spans="1:233" x14ac:dyDescent="0.55000000000000004">
      <c r="A14" t="s">
        <v>2</v>
      </c>
      <c r="B14" s="6" t="s">
        <v>43</v>
      </c>
      <c r="CD14">
        <f ca="1"/>
      </c>
      <c r="CE14">
        <f ca="1"/>
      </c>
      <c r="CF14">
        <f ca="1"/>
      </c>
      <c r="CG14">
        <f ca="1"/>
      </c>
      <c r="CI14">
        <f ca="1"/>
      </c>
      <c r="CJ14">
        <f ca="1"/>
      </c>
      <c r="GQ14">
        <f ca="1"/>
      </c>
      <c r="GR14" s="11">
        <f ca="1"/>
      </c>
      <c r="GS14" s="11">
        <f ca="1"/>
      </c>
      <c r="GT14" s="11">
        <f ca="1"/>
      </c>
      <c r="GU14" s="11">
        <f ca="1"/>
      </c>
      <c r="GV14" s="11">
        <f ca="1"/>
      </c>
      <c r="HE14">
        <f ca="1"/>
      </c>
    </row>
    <row r="15" spans="1:233" x14ac:dyDescent="0.55000000000000004">
      <c r="A15" t="s">
        <v>3</v>
      </c>
      <c r="B15" s="6" t="s">
        <v>43</v>
      </c>
      <c r="CD15">
        <f ca="1"/>
      </c>
      <c r="CE15">
        <f ca="1"/>
      </c>
      <c r="CF15">
        <f ca="1"/>
      </c>
      <c r="CG15">
        <f ca="1"/>
      </c>
      <c r="CI15">
        <f ca="1"/>
      </c>
      <c r="CJ15">
        <f ca="1"/>
      </c>
      <c r="GQ15">
        <f ca="1"/>
      </c>
      <c r="GR15" s="11">
        <f ca="1"/>
      </c>
      <c r="GS15" s="11">
        <f ca="1"/>
      </c>
      <c r="GT15" s="11">
        <f ca="1"/>
      </c>
      <c r="GU15" s="11">
        <f ca="1"/>
      </c>
      <c r="GV15" s="11">
        <f ca="1"/>
      </c>
      <c r="HE15">
        <f ca="1"/>
      </c>
    </row>
    <row r="16" spans="1:233" x14ac:dyDescent="0.55000000000000004">
      <c r="A16" t="s">
        <v>4</v>
      </c>
      <c r="B16" s="6" t="s">
        <v>43</v>
      </c>
      <c r="CD16">
        <f ca="1"/>
      </c>
      <c r="CE16">
        <f ca="1"/>
      </c>
      <c r="CF16">
        <f ca="1"/>
      </c>
      <c r="CG16">
        <f ca="1"/>
      </c>
      <c r="CI16">
        <f ca="1"/>
      </c>
      <c r="CJ16">
        <f ca="1"/>
      </c>
      <c r="GQ16">
        <f ca="1"/>
      </c>
      <c r="GR16" s="11">
        <f ca="1"/>
      </c>
      <c r="GS16" s="11">
        <f ca="1"/>
      </c>
      <c r="GT16" s="11">
        <f ca="1"/>
      </c>
      <c r="GU16" s="11">
        <f ca="1"/>
      </c>
      <c r="GV16" s="11">
        <f ca="1"/>
      </c>
      <c r="HE16">
        <f ca="1"/>
      </c>
    </row>
    <row r="17" spans="1:233" x14ac:dyDescent="0.55000000000000004">
      <c r="A17" t="s">
        <v>5</v>
      </c>
      <c r="B17" s="6" t="s">
        <v>43</v>
      </c>
      <c r="CD17">
        <f ca="1"/>
      </c>
      <c r="CE17">
        <f ca="1"/>
      </c>
      <c r="CF17">
        <f ca="1"/>
      </c>
      <c r="CG17">
        <f ca="1"/>
      </c>
      <c r="CI17">
        <f ca="1"/>
      </c>
      <c r="CJ17">
        <f ca="1"/>
      </c>
      <c r="GQ17">
        <f ca="1"/>
      </c>
      <c r="GR17" s="11">
        <f ca="1"/>
      </c>
      <c r="GS17" s="11">
        <f ca="1"/>
      </c>
      <c r="GT17" s="11">
        <f ca="1"/>
      </c>
      <c r="GU17" s="11">
        <f ca="1"/>
      </c>
      <c r="GV17" s="11">
        <f ca="1"/>
      </c>
      <c r="HE17">
        <f ca="1"/>
      </c>
    </row>
    <row r="18" spans="1:233" x14ac:dyDescent="0.55000000000000004">
      <c r="A18" t="s">
        <v>6</v>
      </c>
      <c r="B18" s="6" t="s">
        <v>43</v>
      </c>
      <c r="CD18">
        <f ca="1"/>
      </c>
      <c r="CE18">
        <f ca="1"/>
      </c>
      <c r="CF18">
        <f ca="1"/>
      </c>
      <c r="CG18">
        <f ca="1"/>
      </c>
      <c r="CI18">
        <f ca="1"/>
      </c>
      <c r="CJ18">
        <f ca="1"/>
      </c>
      <c r="GQ18">
        <f ca="1"/>
      </c>
      <c r="GR18" s="11">
        <f ca="1"/>
      </c>
      <c r="GS18" s="11">
        <f ca="1"/>
      </c>
      <c r="GT18" s="11">
        <f ca="1"/>
      </c>
      <c r="GU18" s="11">
        <f ca="1"/>
      </c>
      <c r="GV18" s="11">
        <f ca="1"/>
      </c>
      <c r="HE18">
        <f ca="1"/>
      </c>
    </row>
    <row r="19" spans="1:233" x14ac:dyDescent="0.55000000000000004">
      <c r="A19" t="s">
        <v>7</v>
      </c>
      <c r="B19" s="6" t="s">
        <v>42</v>
      </c>
      <c r="CD19">
        <f ca="1"/>
      </c>
      <c r="CE19">
        <f ca="1"/>
      </c>
      <c r="CF19">
        <f ca="1"/>
      </c>
      <c r="CG19">
        <f ca="1"/>
      </c>
      <c r="CI19">
        <f ca="1"/>
      </c>
      <c r="CJ19">
        <f ca="1"/>
      </c>
      <c r="GQ19">
        <f ca="1"/>
      </c>
      <c r="GR19" s="11">
        <f ca="1"/>
      </c>
      <c r="GS19" s="11">
        <f ca="1"/>
      </c>
      <c r="GT19" s="11">
        <f ca="1"/>
      </c>
      <c r="GU19" s="11">
        <f ca="1"/>
      </c>
      <c r="GV19" s="11">
        <f ca="1"/>
      </c>
      <c r="HE19">
        <f ca="1"/>
      </c>
    </row>
    <row r="20" spans="1:233" x14ac:dyDescent="0.55000000000000004">
      <c r="A20" t="s">
        <v>8</v>
      </c>
      <c r="B20" s="6" t="s">
        <v>43</v>
      </c>
      <c r="CD20">
        <f ca="1"/>
      </c>
      <c r="CE20">
        <f ca="1"/>
      </c>
      <c r="CF20">
        <f ca="1"/>
      </c>
      <c r="CG20">
        <f ca="1"/>
      </c>
      <c r="CI20">
        <f ca="1"/>
      </c>
      <c r="CJ20">
        <f ca="1"/>
      </c>
      <c r="GQ20">
        <f ca="1"/>
      </c>
      <c r="GR20" s="11">
        <f ca="1"/>
      </c>
      <c r="GS20" s="11">
        <f ca="1"/>
      </c>
      <c r="GT20" s="11">
        <f ca="1"/>
      </c>
      <c r="GU20" s="11">
        <f ca="1"/>
      </c>
      <c r="GV20" s="11">
        <f ca="1"/>
      </c>
      <c r="HE20">
        <f ca="1"/>
      </c>
    </row>
    <row r="21" spans="1:233" x14ac:dyDescent="0.55000000000000004">
      <c r="A21" t="s">
        <v>9</v>
      </c>
      <c r="B21" s="6" t="s">
        <v>43</v>
      </c>
      <c r="CD21">
        <f ca="1"/>
      </c>
      <c r="CE21">
        <f ca="1"/>
      </c>
      <c r="CF21">
        <f ca="1"/>
      </c>
      <c r="CG21">
        <f ca="1"/>
      </c>
      <c r="CI21">
        <f ca="1"/>
      </c>
      <c r="CJ21">
        <f ca="1"/>
      </c>
      <c r="GQ21">
        <f ca="1"/>
      </c>
      <c r="GR21" s="11">
        <f ca="1"/>
      </c>
      <c r="GS21" s="11">
        <f ca="1"/>
      </c>
      <c r="GT21" s="11">
        <f ca="1"/>
      </c>
      <c r="GU21" s="11">
        <f ca="1"/>
      </c>
      <c r="GV21" s="11">
        <f ca="1"/>
      </c>
      <c r="HE21">
        <f ca="1"/>
      </c>
    </row>
    <row r="22" spans="1:233" x14ac:dyDescent="0.55000000000000004">
      <c r="A22" t="s">
        <v>10</v>
      </c>
      <c r="B22" s="6" t="s">
        <v>43</v>
      </c>
      <c r="CD22">
        <f ca="1"/>
      </c>
      <c r="CE22">
        <f ca="1"/>
      </c>
      <c r="CF22">
        <f ca="1"/>
      </c>
      <c r="CG22">
        <f ca="1"/>
      </c>
      <c r="GQ22">
        <f ca="1"/>
      </c>
      <c r="GR22" s="11">
        <f ca="1"/>
      </c>
      <c r="GS22" s="11">
        <f ca="1"/>
      </c>
      <c r="GT22" s="11">
        <f ca="1"/>
      </c>
      <c r="GU22" s="11">
        <f ca="1"/>
      </c>
      <c r="GV22" s="11">
        <f ca="1"/>
      </c>
      <c r="HE22">
        <f ca="1"/>
      </c>
    </row>
    <row r="23" spans="1:233" x14ac:dyDescent="0.55000000000000004">
      <c r="A23" t="s">
        <v>11</v>
      </c>
      <c r="B23" s="6" t="s">
        <v>43</v>
      </c>
      <c r="CD23">
        <f ca="1"/>
      </c>
      <c r="CE23">
        <f ca="1"/>
      </c>
      <c r="CF23">
        <f ca="1"/>
      </c>
      <c r="CG23">
        <f ca="1"/>
      </c>
      <c r="GR23" s="11"/>
      <c r="GS23" s="11"/>
      <c r="GT23" s="11"/>
      <c r="GU23" s="11"/>
      <c r="GV23" s="11"/>
    </row>
    <row r="24" spans="1:233" x14ac:dyDescent="0.55000000000000004">
      <c r="A24" t="s">
        <v>12</v>
      </c>
      <c r="B24" s="6" t="s">
        <v>43</v>
      </c>
      <c r="CD24">
        <f ca="1"/>
      </c>
      <c r="CE24">
        <f ca="1"/>
      </c>
      <c r="CF24">
        <f ca="1"/>
      </c>
      <c r="CG24">
        <f ca="1"/>
      </c>
      <c r="GR24" s="11"/>
      <c r="GS24" s="11"/>
      <c r="GT24" s="11"/>
      <c r="GU24" s="11"/>
      <c r="GV24" s="11"/>
    </row>
    <row r="25" spans="1:233" x14ac:dyDescent="0.55000000000000004">
      <c r="A25" t="s">
        <v>41</v>
      </c>
      <c r="B25" s="6" t="s">
        <v>42</v>
      </c>
      <c r="CD25">
        <f ca="1"/>
      </c>
      <c r="CE25">
        <f ca="1"/>
      </c>
      <c r="CF25">
        <f ca="1"/>
      </c>
      <c r="CG25">
        <f ca="1"/>
      </c>
      <c r="GR25" s="11"/>
      <c r="GS25" s="11"/>
      <c r="GT25" s="11"/>
      <c r="GU25" s="11"/>
      <c r="GV25" s="11"/>
    </row>
    <row r="26" spans="1:233" x14ac:dyDescent="0.55000000000000004">
      <c r="A26" t="s">
        <v>13</v>
      </c>
      <c r="B26" s="6" t="s">
        <v>43</v>
      </c>
      <c r="CD26">
        <f ca="1"/>
      </c>
      <c r="CE26">
        <f ca="1"/>
      </c>
      <c r="CF26">
        <f ca="1"/>
      </c>
      <c r="CG26">
        <f ca="1"/>
      </c>
      <c r="GR26" s="11"/>
      <c r="GS26" s="11"/>
      <c r="GT26" s="11"/>
      <c r="GU26" s="11"/>
      <c r="GV26" s="11"/>
    </row>
    <row r="27" spans="1:233" x14ac:dyDescent="0.55000000000000004">
      <c r="A27" t="s">
        <v>14</v>
      </c>
      <c r="B27" s="6" t="s">
        <v>42</v>
      </c>
      <c r="D27" t="s">
        <v>164</v>
      </c>
      <c r="CD27">
        <f ca="1"/>
      </c>
      <c r="CE27">
        <f ca="1"/>
      </c>
      <c r="CF27">
        <f ca="1"/>
      </c>
      <c r="CG27">
        <f ca="1"/>
      </c>
      <c r="GR27" s="11"/>
      <c r="GS27" s="11"/>
      <c r="GT27" s="11"/>
      <c r="GU27" s="11"/>
      <c r="GV27" s="11"/>
    </row>
    <row r="28" spans="1:233" x14ac:dyDescent="0.55000000000000004">
      <c r="A28" t="s">
        <v>15</v>
      </c>
      <c r="B28" s="6" t="s">
        <v>43</v>
      </c>
      <c r="D28" s="2">
        <v>2</v>
      </c>
      <c r="CD28">
        <f ca="1"/>
      </c>
      <c r="CE28">
        <f ca="1"/>
      </c>
      <c r="CF28">
        <f ca="1"/>
      </c>
      <c r="CG28">
        <f ca="1"/>
      </c>
      <c r="GR28" s="11"/>
      <c r="GS28" s="11"/>
      <c r="GT28" s="11"/>
      <c r="GU28" s="11"/>
      <c r="GV28" s="11"/>
    </row>
    <row r="29" spans="1:233" x14ac:dyDescent="0.55000000000000004">
      <c r="A29" t="s">
        <v>16</v>
      </c>
      <c r="B29" s="6" t="s">
        <v>42</v>
      </c>
      <c r="CD29">
        <f ca="1"/>
      </c>
      <c r="CE29">
        <f ca="1"/>
      </c>
      <c r="CF29">
        <f ca="1"/>
      </c>
      <c r="CG29">
        <f ca="1"/>
      </c>
      <c r="GR29" s="11"/>
      <c r="GS29" s="11"/>
      <c r="GT29" s="11"/>
      <c r="GU29" s="11"/>
      <c r="GV29" s="11"/>
    </row>
    <row r="30" spans="1:233" x14ac:dyDescent="0.55000000000000004">
      <c r="A30" t="s">
        <v>17</v>
      </c>
      <c r="B30" s="6" t="s">
        <v>42</v>
      </c>
      <c r="CD30">
        <f ca="1"/>
      </c>
      <c r="CE30">
        <f ca="1"/>
      </c>
      <c r="CF30">
        <f ca="1"/>
      </c>
      <c r="CG30">
        <f ca="1"/>
      </c>
      <c r="GR30" s="11"/>
      <c r="GS30" s="11"/>
      <c r="GT30" s="11"/>
      <c r="GU30" s="11"/>
      <c r="GV30" s="11"/>
    </row>
    <row r="31" spans="1:233" x14ac:dyDescent="0.55000000000000004">
      <c r="A31" t="s">
        <v>18</v>
      </c>
      <c r="B31" s="6" t="s">
        <v>42</v>
      </c>
      <c r="CD31">
        <f ca="1"/>
      </c>
      <c r="CE31">
        <f ca="1"/>
      </c>
      <c r="CF31">
        <f ca="1"/>
      </c>
      <c r="CG31">
        <f ca="1"/>
      </c>
      <c r="GR31" s="11"/>
      <c r="GS31" s="11"/>
      <c r="GT31" s="11"/>
      <c r="GU31" s="11"/>
      <c r="GV31" s="11"/>
    </row>
    <row r="32" spans="1:233" x14ac:dyDescent="0.55000000000000004">
      <c r="A32" t="s">
        <v>19</v>
      </c>
      <c r="B32" s="6" t="s">
        <v>42</v>
      </c>
      <c r="CD32">
        <f ca="1"/>
      </c>
      <c r="CE32">
        <f ca="1"/>
      </c>
      <c r="CF32">
        <f ca="1"/>
      </c>
      <c r="CG32">
        <f ca="1"/>
      </c>
      <c r="GR32" s="11"/>
      <c r="GS32" s="11"/>
      <c r="GT32" s="11"/>
      <c r="GU32" s="11"/>
      <c r="GV32" s="11"/>
    </row>
    <row r="33" spans="1:233" x14ac:dyDescent="0.55000000000000004">
      <c r="A33" t="s">
        <v>20</v>
      </c>
      <c r="B33" s="6" t="s">
        <v>42</v>
      </c>
      <c r="CD33">
        <f ca="1"/>
      </c>
      <c r="CE33">
        <f ca="1"/>
      </c>
      <c r="CF33">
        <f ca="1"/>
      </c>
      <c r="CG33">
        <f ca="1"/>
      </c>
      <c r="GR33" s="11"/>
      <c r="GS33" s="11"/>
      <c r="GT33" s="11"/>
      <c r="GU33" s="11"/>
      <c r="GV33" s="11"/>
    </row>
    <row r="34" spans="1:233" x14ac:dyDescent="0.55000000000000004">
      <c r="A34" t="s">
        <v>21</v>
      </c>
      <c r="B34" s="6" t="s">
        <v>42</v>
      </c>
      <c r="CD34">
        <f ca="1"/>
      </c>
      <c r="CE34">
        <f ca="1"/>
      </c>
      <c r="CF34">
        <f ca="1"/>
      </c>
      <c r="CG34">
        <f ca="1"/>
      </c>
      <c r="GR34" s="11"/>
      <c r="GS34" s="11"/>
      <c r="GT34" s="11"/>
      <c r="GU34" s="11"/>
      <c r="GV34" s="11"/>
    </row>
    <row r="35" spans="1:233" x14ac:dyDescent="0.55000000000000004">
      <c r="A35" t="s">
        <v>22</v>
      </c>
      <c r="B35" s="6" t="s">
        <v>42</v>
      </c>
      <c r="CD35">
        <f ca="1"/>
      </c>
      <c r="CE35">
        <f ca="1"/>
      </c>
      <c r="CF35">
        <f ca="1"/>
      </c>
      <c r="CG35">
        <f ca="1"/>
      </c>
      <c r="GR35" s="11"/>
      <c r="GS35" s="11"/>
      <c r="GT35" s="11"/>
      <c r="GU35" s="11"/>
      <c r="GV35" s="11"/>
    </row>
    <row r="36" spans="1:233" x14ac:dyDescent="0.55000000000000004">
      <c r="A36" t="s">
        <v>23</v>
      </c>
      <c r="B36" s="6" t="s">
        <v>42</v>
      </c>
      <c r="CD36">
        <f ca="1"/>
      </c>
      <c r="CE36">
        <f ca="1"/>
      </c>
      <c r="CF36">
        <f ca="1"/>
      </c>
      <c r="CG36">
        <f ca="1"/>
      </c>
      <c r="GR36" s="11"/>
      <c r="GS36" s="11"/>
      <c r="GT36" s="11"/>
      <c r="GU36" s="11"/>
      <c r="GV36" s="11"/>
    </row>
    <row r="37" spans="1:233" x14ac:dyDescent="0.55000000000000004">
      <c r="A37" t="s">
        <v>24</v>
      </c>
      <c r="B37" s="6" t="s">
        <v>42</v>
      </c>
      <c r="CD37">
        <f ca="1"/>
      </c>
      <c r="CE37">
        <f ca="1"/>
      </c>
      <c r="CF37">
        <f ca="1"/>
      </c>
      <c r="CG37">
        <f ca="1"/>
      </c>
      <c r="GR37" s="11"/>
      <c r="GS37" s="11"/>
      <c r="GT37" s="11"/>
      <c r="GU37" s="11"/>
      <c r="GV37" s="11"/>
    </row>
    <row r="38" spans="1:233" x14ac:dyDescent="0.55000000000000004">
      <c r="A38" t="s">
        <v>25</v>
      </c>
      <c r="B38" s="6" t="s">
        <v>43</v>
      </c>
      <c r="CD38">
        <f ca="1"/>
      </c>
      <c r="CE38">
        <f ca="1"/>
      </c>
      <c r="CF38">
        <f ca="1"/>
      </c>
      <c r="CG38">
        <f ca="1"/>
      </c>
      <c r="GR38" s="11"/>
      <c r="GS38" s="11"/>
      <c r="GT38" s="11"/>
      <c r="GU38" s="11"/>
      <c r="GV38" s="11"/>
    </row>
    <row r="39" spans="1:233" x14ac:dyDescent="0.55000000000000004">
      <c r="A39" t="s">
        <v>26</v>
      </c>
      <c r="B39" s="6" t="s">
        <v>42</v>
      </c>
      <c r="CD39">
        <f ca="1"/>
      </c>
      <c r="CE39">
        <f ca="1"/>
      </c>
      <c r="CF39">
        <f ca="1"/>
      </c>
      <c r="CG39">
        <f ca="1"/>
      </c>
      <c r="GR39" s="11"/>
      <c r="GS39" s="11"/>
      <c r="GT39" s="11"/>
      <c r="GU39" s="11"/>
      <c r="GV39" s="11"/>
    </row>
    <row r="40" spans="1:233" x14ac:dyDescent="0.55000000000000004">
      <c r="A40" t="s">
        <v>27</v>
      </c>
      <c r="B40" s="6" t="s">
        <v>42</v>
      </c>
      <c r="CD40">
        <f ca="1"/>
      </c>
      <c r="CE40">
        <f ca="1"/>
      </c>
      <c r="CF40">
        <f ca="1"/>
      </c>
      <c r="CG40">
        <f ca="1"/>
      </c>
      <c r="GR40" s="11"/>
      <c r="GS40" s="11"/>
      <c r="GT40" s="11"/>
      <c r="GU40" s="11"/>
      <c r="GV40" s="11"/>
    </row>
    <row r="41" spans="1:233" x14ac:dyDescent="0.55000000000000004">
      <c r="A41" t="s">
        <v>28</v>
      </c>
      <c r="B41" s="6" t="s">
        <v>42</v>
      </c>
      <c r="CD41">
        <f ca="1"/>
      </c>
      <c r="CE41">
        <f ca="1"/>
      </c>
      <c r="CF41">
        <f ca="1"/>
      </c>
      <c r="CG41">
        <f ca="1"/>
      </c>
      <c r="GR41" s="11"/>
      <c r="GS41" s="11"/>
      <c r="GT41" s="11"/>
      <c r="GU41" s="11"/>
      <c r="GV41" s="11"/>
    </row>
    <row r="42" spans="1:233" x14ac:dyDescent="0.55000000000000004">
      <c r="A42" t="s">
        <v>29</v>
      </c>
      <c r="B42" s="6" t="s">
        <v>42</v>
      </c>
      <c r="CD42">
        <f ca="1"/>
      </c>
      <c r="CE42">
        <f ca="1"/>
      </c>
      <c r="CF42">
        <f ca="1"/>
      </c>
      <c r="CG42">
        <f ca="1"/>
      </c>
      <c r="GR42" s="11"/>
      <c r="GS42" s="11"/>
      <c r="GT42" s="11"/>
      <c r="GU42" s="11"/>
      <c r="GV42" s="11"/>
    </row>
    <row r="43" spans="1:233" x14ac:dyDescent="0.55000000000000004">
      <c r="A43" t="s">
        <v>30</v>
      </c>
      <c r="B43" s="6" t="s">
        <v>42</v>
      </c>
      <c r="D43" t="s">
        <v>164</v>
      </c>
      <c r="CD43">
        <f ca="1"/>
      </c>
      <c r="CE43">
        <f ca="1"/>
      </c>
      <c r="CF43">
        <f ca="1"/>
      </c>
      <c r="CG43">
        <f ca="1"/>
      </c>
      <c r="GR43" s="11"/>
      <c r="GS43" s="11"/>
      <c r="GT43" s="11"/>
      <c r="GU43" s="11"/>
      <c r="GV43" s="11"/>
    </row>
    <row r="44" spans="1:233" x14ac:dyDescent="0.55000000000000004">
      <c r="A44" t="s">
        <v>31</v>
      </c>
      <c r="B44" s="6" t="s">
        <v>43</v>
      </c>
      <c r="D44" s="2">
        <v>3</v>
      </c>
      <c r="CD44">
        <f ca="1"/>
      </c>
      <c r="CE44">
        <f ca="1"/>
      </c>
      <c r="CF44">
        <f ca="1"/>
      </c>
      <c r="CG44">
        <f ca="1"/>
      </c>
      <c r="GR44" s="11"/>
      <c r="GS44" s="11"/>
      <c r="GT44" s="11"/>
      <c r="GU44" s="11"/>
      <c r="GV44" s="11"/>
    </row>
    <row r="45" spans="1:233" x14ac:dyDescent="0.55000000000000004">
      <c r="A45" t="s">
        <v>32</v>
      </c>
      <c r="B45" s="6" t="s">
        <v>42</v>
      </c>
      <c r="CD45">
        <f ca="1"/>
      </c>
      <c r="CE45">
        <f ca="1"/>
      </c>
      <c r="CF45">
        <f ca="1"/>
      </c>
      <c r="CG45">
        <f ca="1"/>
      </c>
      <c r="GR45" s="11"/>
      <c r="GS45" s="11"/>
      <c r="GT45" s="11"/>
      <c r="GU45" s="11"/>
      <c r="GV45" s="11"/>
    </row>
    <row r="46" spans="1:233" x14ac:dyDescent="0.55000000000000004">
      <c r="A46" t="s">
        <v>33</v>
      </c>
      <c r="B46" s="6" t="s">
        <v>43</v>
      </c>
      <c r="CD46">
        <f ca="1"/>
      </c>
      <c r="CE46">
        <f ca="1"/>
      </c>
      <c r="CF46">
        <f ca="1"/>
      </c>
      <c r="CG46">
        <f ca="1"/>
      </c>
      <c r="GR46" s="11"/>
      <c r="GS46" s="11"/>
      <c r="GT46" s="11"/>
      <c r="GU46" s="11"/>
      <c r="GV46" s="11"/>
    </row>
    <row r="47" spans="1:233" x14ac:dyDescent="0.55000000000000004">
      <c r="A47" t="s">
        <v>34</v>
      </c>
      <c r="B47" s="6" t="s">
        <v>43</v>
      </c>
      <c r="CD47">
        <f ca="1"/>
      </c>
      <c r="CE47">
        <f ca="1"/>
      </c>
      <c r="CF47">
        <f ca="1"/>
      </c>
      <c r="CG47">
        <f ca="1"/>
      </c>
    </row>
    <row r="48" spans="1:233" x14ac:dyDescent="0.55000000000000004">
      <c r="A48" t="s">
        <v>35</v>
      </c>
      <c r="B48" s="6" t="s">
        <v>43</v>
      </c>
    </row>
    <row r="49" spans="1:233" x14ac:dyDescent="0.55000000000000004">
      <c r="A49" t="s">
        <v>36</v>
      </c>
      <c r="B49" s="6" t="s">
        <v>43</v>
      </c>
    </row>
    <row r="50" spans="1:233" x14ac:dyDescent="0.55000000000000004">
      <c r="A50" t="s">
        <v>37</v>
      </c>
      <c r="B50" s="6" t="s">
        <v>43</v>
      </c>
    </row>
    <row r="51" spans="1:233" x14ac:dyDescent="0.55000000000000004">
      <c r="A51" t="s">
        <v>38</v>
      </c>
      <c r="B51" s="6" t="s">
        <v>43</v>
      </c>
    </row>
    <row r="52" spans="1:233" x14ac:dyDescent="0.55000000000000004">
      <c r="A52" t="s">
        <v>39</v>
      </c>
      <c r="B52" s="6" t="s">
        <v>43</v>
      </c>
    </row>
    <row r="53" spans="1:233" x14ac:dyDescent="0.55000000000000004">
      <c r="A53" t="s">
        <v>40</v>
      </c>
      <c r="B53" s="6" t="s">
        <v>43</v>
      </c>
    </row>
    <row r="54" spans="1:233" x14ac:dyDescent="0.55000000000000004">
      <c r="EP54" t="s">
        <v>153</v>
      </c>
      <c r="EQ54" cm="1">
        <f t="array" ref="EQ54:FR71">_xlfn.LET(_xlpm.g,_xlfn.DROP(_xlfn.ANCHORARRAY($CO$4),1),_xlfn._xlws.FILTER(_xlpm.g,_xlfn.TAKE(_xlpm.g,,1)=2))</f>
      </c>
      <c r="GQ54" t="s">
        <v>170</v>
      </c>
      <c r="GR54" cm="1">
        <f t="array" aca="1" ref="GR54" ca="1">IFERROR(_xlfn.LET(_xlpm.R,_xlfn.ANCHORARRAY($GR$55),_xlpm.a,ABS(_xlpm.R),"k="&amp;$D$12&amp;"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54" cm="1">
        <f t="array" aca="1" ref="GS54" ca="1">IFERROR(_xlfn.LET(_xlpm.R,_xlfn.ANCHORARRAY($GS$55),_xlpm.a,ABS(_xlpm.R),"k="&amp;$D$28&amp;"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54" cm="1">
        <f t="array" aca="1" ref="GT54" ca="1">IFERROR(_xlfn.LET(_xlpm.R,_xlfn.ANCHORARRAY($GT$55),_xlpm.a,ABS(_xlpm.R),"k="&amp;$D$44&amp;"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54" cm="1">
        <f t="array" aca="1" ref="GU54" ca="1">IFERROR(_xlfn.LET(_xlpm.R,_xlfn.ANCHORARRAY($GU$55),_xlpm.a,ABS(_xlpm.R),"k="&amp;$D$60&amp;"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54" cm="1">
        <f t="array" aca="1" ref="GV54" ca="1">IFERROR(_xlfn.LET(_xlpm.R,_xlfn.ANCHORARRAY($GV$55),_xlpm.a,ABS(_xlpm.R),"k="&amp;$D$76&amp;"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54" t="s">
        <v>44</v>
      </c>
      <c r="GY54" t="s">
        <v>45</v>
      </c>
      <c r="GZ54" t="s">
        <v>46</v>
      </c>
      <c r="HA54" t="s">
        <v>47</v>
      </c>
      <c r="HB54" t="s">
        <v>48</v>
      </c>
      <c r="HD54" t="s">
        <v>175</v>
      </c>
      <c r="HE54">
        <f>"Actual / Mean / Recon (k="&amp;$D$108&amp;")  dashed: Mean ±1σ"</f>
      </c>
      <c r="HF54" t="s">
        <v>176</v>
      </c>
      <c r="HG54" t="s">
        <v>177</v>
      </c>
      <c r="HH54" t="s">
        <v>180</v>
      </c>
      <c r="HI54" t="s">
        <v>181</v>
      </c>
      <c r="HJ54" t="s">
        <v>182</v>
      </c>
      <c r="HK54" t="s">
        <v>183</v>
      </c>
      <c r="HL54" t="s">
        <v>184</v>
      </c>
      <c r="HM54" t="s">
        <v>185</v>
      </c>
      <c r="HN54" t="s">
        <v>186</v>
      </c>
      <c r="HO54" t="s">
        <v>187</v>
      </c>
      <c r="HP54" t="s">
        <v>188</v>
      </c>
      <c r="HQ54" t="s">
        <v>189</v>
      </c>
      <c r="HR54" t="s">
        <v>190</v>
      </c>
    </row>
    <row r="55" spans="1:233" x14ac:dyDescent="0.55000000000000004">
      <c r="A55" t="s">
        <v>178</v>
      </c>
      <c r="B55" s="3"/>
      <c r="GQ55" cm="1">
        <f t="array" aca="1" ref="GQ55:GQ72" ca="1">IF($L$6="Change",_xlfn.ANCHORARRAY($CJ$4),_xlfn.ANCHORARRAY($CI$4))</f>
      </c>
      <c r="GR55" s="11" cm="1">
        <f t="array" aca="1" ref="GR55:GR72" ca="1">_xlfn.LET(_xlpm.sl,_xlfn.ANCHORARRAY($EQ$54),_xlpm.mu,_xlfn.CHOOSECOLS(_xlpm.sl,8),_xlpm.sg,_xlfn.CHOOSECOLS(_xlpm.sl,9),_xlpm.x,_xlfn.ANCHORARRAY($GQ$55),_xlpm.V,_xlfn.TAKE(_xlfn.DROP(_xlpm.sl,,10),,$D$12),(_xlpm.x-(_xlpm.mu+_xlpm.sg*MMULT(_xlpm.V,MMULT(TRANSPOSE(_xlpm.V),(_xlpm.x-_xlpm.mu)/_xlpm.sg))))*100)</f>
      </c>
      <c r="GS55" s="11" cm="1">
        <f t="array" aca="1" ref="GS55:GS72" ca="1">_xlfn.LET(_xlpm.sl,_xlfn.ANCHORARRAY($EQ$54),_xlpm.mu,_xlfn.CHOOSECOLS(_xlpm.sl,8),_xlpm.sg,_xlfn.CHOOSECOLS(_xlpm.sl,9),_xlpm.x,_xlfn.ANCHORARRAY($GQ$55),_xlpm.V,_xlfn.TAKE(_xlfn.DROP(_xlpm.sl,,10),,$D$28),(_xlpm.x-(_xlpm.mu+_xlpm.sg*MMULT(_xlpm.V,MMULT(TRANSPOSE(_xlpm.V),(_xlpm.x-_xlpm.mu)/_xlpm.sg))))*100)</f>
      </c>
      <c r="GT55" s="11" cm="1">
        <f t="array" aca="1" ref="GT55:GT72" ca="1">_xlfn.LET(_xlpm.sl,_xlfn.ANCHORARRAY($EQ$54),_xlpm.mu,_xlfn.CHOOSECOLS(_xlpm.sl,8),_xlpm.sg,_xlfn.CHOOSECOLS(_xlpm.sl,9),_xlpm.x,_xlfn.ANCHORARRAY($GQ$55),_xlpm.V,_xlfn.TAKE(_xlfn.DROP(_xlpm.sl,,10),,$D$44),(_xlpm.x-(_xlpm.mu+_xlpm.sg*MMULT(_xlpm.V,MMULT(TRANSPOSE(_xlpm.V),(_xlpm.x-_xlpm.mu)/_xlpm.sg))))*100)</f>
      </c>
      <c r="GU55" s="11" cm="1">
        <f t="array" aca="1" ref="GU55:GU72" ca="1">_xlfn.LET(_xlpm.sl,_xlfn.ANCHORARRAY($EQ$54),_xlpm.mu,_xlfn.CHOOSECOLS(_xlpm.sl,8),_xlpm.sg,_xlfn.CHOOSECOLS(_xlpm.sl,9),_xlpm.x,_xlfn.ANCHORARRAY($GQ$55),_xlpm.V,_xlfn.TAKE(_xlfn.DROP(_xlpm.sl,,10),,$D$60),(_xlpm.x-(_xlpm.mu+_xlpm.sg*MMULT(_xlpm.V,MMULT(TRANSPOSE(_xlpm.V),(_xlpm.x-_xlpm.mu)/_xlpm.sg))))*100)</f>
      </c>
      <c r="GV55" s="11" cm="1">
        <f t="array" aca="1" ref="GV55:GV72" ca="1">_xlfn.LET(_xlpm.sl,_xlfn.ANCHORARRAY($EQ$54),_xlpm.mu,_xlfn.CHOOSECOLS(_xlpm.sl,8),_xlpm.sg,_xlfn.CHOOSECOLS(_xlpm.sl,9),_xlpm.x,_xlfn.ANCHORARRAY($GQ$55),_xlpm.V,_xlfn.TAKE(_xlfn.DROP(_xlpm.sl,,10),,$D$76),(_xlpm.x-(_xlpm.mu+_xlpm.sg*MMULT(_xlpm.V,MMULT(TRANSPOSE(_xlpm.V),(_xlpm.x-_xlpm.mu)/_xlpm.sg))))*100)</f>
      </c>
      <c r="GX55" cm="1">
        <f t="array" ref="GX55:GX72">_xlfn.LET(_xlpm.V,_xlfn.DROP(_xlfn.ANCHORARRAY($EQ$54),,10),IF(1&lt;=COLUMNS(_xlpm.V),_xlfn.CHOOSECOLS(_xlpm.V,1),IF(_xlfn.SEQUENCE(ROWS(_xlpm.V)),NA())))</f>
      </c>
      <c r="GY55" cm="1">
        <f t="array" ref="GY55:GY72">_xlfn.LET(_xlpm.V,_xlfn.DROP(_xlfn.ANCHORARRAY($EQ$54),,10),IF(2&lt;=COLUMNS(_xlpm.V),_xlfn.CHOOSECOLS(_xlpm.V,2),IF(_xlfn.SEQUENCE(ROWS(_xlpm.V)),NA())))</f>
      </c>
      <c r="GZ55" cm="1">
        <f t="array" ref="GZ55:GZ72">_xlfn.LET(_xlpm.V,_xlfn.DROP(_xlfn.ANCHORARRAY($EQ$54),,10),IF(3&lt;=COLUMNS(_xlpm.V),_xlfn.CHOOSECOLS(_xlpm.V,3),IF(_xlfn.SEQUENCE(ROWS(_xlpm.V)),NA())))</f>
      </c>
      <c r="HA55" cm="1">
        <f t="array" ref="HA55:HA72">_xlfn.LET(_xlpm.V,_xlfn.DROP(_xlfn.ANCHORARRAY($EQ$54),,10),IF(4&lt;=COLUMNS(_xlpm.V),_xlfn.CHOOSECOLS(_xlpm.V,4),IF(_xlfn.SEQUENCE(ROWS(_xlpm.V)),NA())))</f>
      </c>
      <c r="HB55" cm="1">
        <f t="array" ref="HB55:HB72">_xlfn.LET(_xlpm.V,_xlfn.DROP(_xlfn.ANCHORARRAY($EQ$54),,10),IF(5&lt;=COLUMNS(_xlpm.V),_xlfn.CHOOSECOLS(_xlpm.V,5),IF(_xlfn.SEQUENCE(ROWS(_xlpm.V)),NA())))</f>
      </c>
      <c r="HD55" cm="1">
        <f t="array" ref="HD55:HD72">_xlfn.CHOOSECOLS(_xlfn.ANCHORARRAY($EQ$54),8)</f>
      </c>
      <c r="HE55" cm="1">
        <f t="array" aca="1" ref="HE55:HE72" ca="1">_xlfn.LET(_xlpm.sl,_xlfn.ANCHORARRAY($EQ$54),_xlpm.mu,_xlfn.CHOOSECOLS(_xlpm.sl,8),_xlpm.sg,_xlfn.CHOOSECOLS(_xlpm.sl,9),_xlpm.x,_xlfn.ANCHORARRAY($GQ$55),_xlpm.V,_xlfn.TAKE(_xlfn.DROP(_xlpm.sl,,10),,$D$108),_xlpm.mu+_xlpm.sg*MMULT(_xlpm.V,MMULT(TRANSPOSE(_xlpm.V),(_xlpm.x-_xlpm.mu)/_xlpm.sg)))</f>
      </c>
      <c r="HF55" cm="1">
        <f t="array" ref="HF55:HF72">_xlfn.CHOOSECOLS(_xlfn.ANCHORARRAY($EQ$54),8)+_xlfn.CHOOSECOLS(_xlfn.ANCHORARRAY($EQ$54),10)</f>
      </c>
      <c r="HG55" cm="1">
        <f t="array" ref="HG55:HG72">_xlfn.CHOOSECOLS(_xlfn.ANCHORARRAY($EQ$54),8)-_xlfn.CHOOSECOLS(_xlfn.ANCHORARRAY($EQ$54),10)</f>
      </c>
      <c r="HH55" cm="1">
        <f t="array" ref="HH55:HH72">_xlfn.LET(_xlpm.v,_xlfn.CHOOSECOLS(_xlfn._xlws.FILTER(_xlfn.DROP(_xlfn.ANCHORARRAY($HS$4),1),_xlfn.TAKE(_xlfn.DROP(_xlfn.ANCHORARRAY($HS$4),1),,1)=2),3),IF(_xlpm.v="",NA(),_xlpm.v))</f>
      </c>
      <c r="HI55" cm="1">
        <f t="array" ref="HI55:HI72">-_xlfn.ANCHORARRAY($HH$55)</f>
      </c>
      <c r="HJ55" cm="1">
        <f t="array" ref="HJ55:HJ72">_xlfn.LET(_xlpm.v,_xlfn.CHOOSECOLS(_xlfn._xlws.FILTER(_xlfn.DROP(_xlfn.ANCHORARRAY($HS$4),1),_xlfn.TAKE(_xlfn.DROP(_xlfn.ANCHORARRAY($HS$4),1),,1)=2),4),IF(_xlpm.v="",NA(),_xlpm.v))</f>
      </c>
      <c r="HK55" cm="1">
        <f t="array" ref="HK55:HK72">-_xlfn.ANCHORARRAY($HJ$55)</f>
      </c>
      <c r="HL55" cm="1">
        <f t="array" ref="HL55:HL72">_xlfn.LET(_xlpm.v,_xlfn.CHOOSECOLS(_xlfn._xlws.FILTER(_xlfn.DROP(_xlfn.ANCHORARRAY($HS$4),1),_xlfn.TAKE(_xlfn.DROP(_xlfn.ANCHORARRAY($HS$4),1),,1)=2),5),IF(_xlpm.v="",NA(),_xlpm.v))</f>
      </c>
      <c r="HM55" cm="1">
        <f t="array" ref="HM55:HM72">-_xlfn.ANCHORARRAY($HL$55)</f>
      </c>
      <c r="HN55" cm="1">
        <f t="array" ref="HN55:HN72">_xlfn.LET(_xlpm.v,_xlfn.CHOOSECOLS(_xlfn._xlws.FILTER(_xlfn.DROP(_xlfn.ANCHORARRAY($HS$4),1),_xlfn.TAKE(_xlfn.DROP(_xlfn.ANCHORARRAY($HS$4),1),,1)=2),6),IF(_xlpm.v="",NA(),_xlpm.v))</f>
      </c>
      <c r="HO55" cm="1">
        <f t="array" ref="HO55:HO72">-_xlfn.ANCHORARRAY($HN$55)</f>
      </c>
      <c r="HP55" cm="1">
        <f t="array" ref="HP55:HP72">_xlfn.LET(_xlpm.v,_xlfn.CHOOSECOLS(_xlfn._xlws.FILTER(_xlfn.DROP(_xlfn.ANCHORARRAY($HS$4),1),_xlfn.TAKE(_xlfn.DROP(_xlfn.ANCHORARRAY($HS$4),1),,1)=2),7),IF(_xlpm.v="",NA(),_xlpm.v))</f>
      </c>
      <c r="HQ55" cm="1">
        <f t="array" ref="HQ55:HQ72">-_xlfn.ANCHORARRAY($HP$55)</f>
      </c>
      <c r="HR55" cm="1">
        <f t="array" ref="HR55">IFERROR(INDEX(_xlfn._xlws.FILTER(_xlfn.DROP(_xlfn.ANCHORARRAY($HS$4),1),_xlfn.TAKE(_xlfn.DROP(_xlfn.ANCHORARRAY($HS$4),1),,1)=2),1,2),"")</f>
      </c>
    </row>
    <row r="56" spans="1:233" x14ac:dyDescent="0.55000000000000004">
      <c r="GQ56">
        <f ca="1"/>
      </c>
      <c r="GR56" s="11">
        <f ca="1"/>
      </c>
      <c r="GS56" s="11">
        <f ca="1"/>
      </c>
      <c r="GT56" s="11">
        <f ca="1"/>
      </c>
      <c r="GU56" s="11">
        <f ca="1"/>
      </c>
      <c r="GV56" s="11">
        <f ca="1"/>
      </c>
      <c r="HE56">
        <f ca="1"/>
      </c>
    </row>
    <row r="57" spans="1:233" x14ac:dyDescent="0.55000000000000004">
      <c r="GQ57">
        <f ca="1"/>
      </c>
      <c r="GR57" s="11">
        <f ca="1"/>
      </c>
      <c r="GS57" s="11">
        <f ca="1"/>
      </c>
      <c r="GT57" s="11">
        <f ca="1"/>
      </c>
      <c r="GU57" s="11">
        <f ca="1"/>
      </c>
      <c r="GV57" s="11">
        <f ca="1"/>
      </c>
      <c r="HE57">
        <f ca="1"/>
      </c>
    </row>
    <row r="58" spans="1:233" x14ac:dyDescent="0.55000000000000004">
      <c r="GQ58">
        <f ca="1"/>
      </c>
      <c r="GR58" s="11">
        <f ca="1"/>
      </c>
      <c r="GS58" s="11">
        <f ca="1"/>
      </c>
      <c r="GT58" s="11">
        <f ca="1"/>
      </c>
      <c r="GU58" s="11">
        <f ca="1"/>
      </c>
      <c r="GV58" s="11">
        <f ca="1"/>
      </c>
      <c r="HE58">
        <f ca="1"/>
      </c>
    </row>
    <row r="59" spans="1:233" x14ac:dyDescent="0.55000000000000004">
      <c r="D59" t="s">
        <v>164</v>
      </c>
      <c r="GQ59">
        <f ca="1"/>
      </c>
      <c r="GR59" s="11">
        <f ca="1"/>
      </c>
      <c r="GS59" s="11">
        <f ca="1"/>
      </c>
      <c r="GT59" s="11">
        <f ca="1"/>
      </c>
      <c r="GU59" s="11">
        <f ca="1"/>
      </c>
      <c r="GV59" s="11">
        <f ca="1"/>
      </c>
      <c r="HE59">
        <f ca="1"/>
      </c>
    </row>
    <row r="60" spans="1:233" x14ac:dyDescent="0.55000000000000004">
      <c r="D60" s="2">
        <v>4</v>
      </c>
      <c r="GQ60">
        <f ca="1"/>
      </c>
      <c r="GR60" s="11">
        <f ca="1"/>
      </c>
      <c r="GS60" s="11">
        <f ca="1"/>
      </c>
      <c r="GT60" s="11">
        <f ca="1"/>
      </c>
      <c r="GU60" s="11">
        <f ca="1"/>
      </c>
      <c r="GV60" s="11">
        <f ca="1"/>
      </c>
      <c r="HE60">
        <f ca="1"/>
      </c>
    </row>
    <row r="61" spans="1:233" x14ac:dyDescent="0.55000000000000004">
      <c r="GQ61">
        <f ca="1"/>
      </c>
      <c r="GR61" s="11">
        <f ca="1"/>
      </c>
      <c r="GS61" s="11">
        <f ca="1"/>
      </c>
      <c r="GT61" s="11">
        <f ca="1"/>
      </c>
      <c r="GU61" s="11">
        <f ca="1"/>
      </c>
      <c r="GV61" s="11">
        <f ca="1"/>
      </c>
      <c r="HE61">
        <f ca="1"/>
      </c>
    </row>
    <row r="62" spans="1:233" x14ac:dyDescent="0.55000000000000004">
      <c r="GQ62">
        <f ca="1"/>
      </c>
      <c r="GR62" s="11">
        <f ca="1"/>
      </c>
      <c r="GS62" s="11">
        <f ca="1"/>
      </c>
      <c r="GT62" s="11">
        <f ca="1"/>
      </c>
      <c r="GU62" s="11">
        <f ca="1"/>
      </c>
      <c r="GV62" s="11">
        <f ca="1"/>
      </c>
      <c r="HE62">
        <f ca="1"/>
      </c>
    </row>
    <row r="63" spans="1:233" x14ac:dyDescent="0.55000000000000004">
      <c r="GQ63">
        <f ca="1"/>
      </c>
      <c r="GR63" s="11">
        <f ca="1"/>
      </c>
      <c r="GS63" s="11">
        <f ca="1"/>
      </c>
      <c r="GT63" s="11">
        <f ca="1"/>
      </c>
      <c r="GU63" s="11">
        <f ca="1"/>
      </c>
      <c r="GV63" s="11">
        <f ca="1"/>
      </c>
      <c r="HE63">
        <f ca="1"/>
      </c>
    </row>
    <row r="64" spans="1:233" x14ac:dyDescent="0.55000000000000004">
      <c r="GQ64">
        <f ca="1"/>
      </c>
      <c r="GR64" s="11">
        <f ca="1"/>
      </c>
      <c r="GS64" s="11">
        <f ca="1"/>
      </c>
      <c r="GT64" s="11">
        <f ca="1"/>
      </c>
      <c r="GU64" s="11">
        <f ca="1"/>
      </c>
      <c r="GV64" s="11">
        <f ca="1"/>
      </c>
      <c r="HE64">
        <f ca="1"/>
      </c>
    </row>
    <row r="65" spans="4:233" x14ac:dyDescent="0.55000000000000004">
      <c r="GQ65">
        <f ca="1"/>
      </c>
      <c r="GR65" s="11">
        <f ca="1"/>
      </c>
      <c r="GS65" s="11">
        <f ca="1"/>
      </c>
      <c r="GT65" s="11">
        <f ca="1"/>
      </c>
      <c r="GU65" s="11">
        <f ca="1"/>
      </c>
      <c r="GV65" s="11">
        <f ca="1"/>
      </c>
      <c r="HE65">
        <f ca="1"/>
      </c>
    </row>
    <row r="66" spans="4:233" x14ac:dyDescent="0.55000000000000004">
      <c r="GQ66">
        <f ca="1"/>
      </c>
      <c r="GR66" s="11">
        <f ca="1"/>
      </c>
      <c r="GS66" s="11">
        <f ca="1"/>
      </c>
      <c r="GT66" s="11">
        <f ca="1"/>
      </c>
      <c r="GU66" s="11">
        <f ca="1"/>
      </c>
      <c r="GV66" s="11">
        <f ca="1"/>
      </c>
      <c r="HE66">
        <f ca="1"/>
      </c>
    </row>
    <row r="67" spans="4:233" x14ac:dyDescent="0.55000000000000004">
      <c r="GQ67">
        <f ca="1"/>
      </c>
      <c r="GR67" s="11">
        <f ca="1"/>
      </c>
      <c r="GS67" s="11">
        <f ca="1"/>
      </c>
      <c r="GT67" s="11">
        <f ca="1"/>
      </c>
      <c r="GU67" s="11">
        <f ca="1"/>
      </c>
      <c r="GV67" s="11">
        <f ca="1"/>
      </c>
      <c r="HE67">
        <f ca="1"/>
      </c>
    </row>
    <row r="68" spans="4:233" x14ac:dyDescent="0.55000000000000004">
      <c r="GQ68">
        <f ca="1"/>
      </c>
      <c r="GR68" s="11">
        <f ca="1"/>
      </c>
      <c r="GS68" s="11">
        <f ca="1"/>
      </c>
      <c r="GT68" s="11">
        <f ca="1"/>
      </c>
      <c r="GU68" s="11">
        <f ca="1"/>
      </c>
      <c r="GV68" s="11">
        <f ca="1"/>
      </c>
      <c r="HE68">
        <f ca="1"/>
      </c>
    </row>
    <row r="69" spans="4:233" x14ac:dyDescent="0.55000000000000004">
      <c r="GQ69">
        <f ca="1"/>
      </c>
      <c r="GR69" s="11">
        <f ca="1"/>
      </c>
      <c r="GS69" s="11">
        <f ca="1"/>
      </c>
      <c r="GT69" s="11">
        <f ca="1"/>
      </c>
      <c r="GU69" s="11">
        <f ca="1"/>
      </c>
      <c r="GV69" s="11">
        <f ca="1"/>
      </c>
      <c r="HE69">
        <f ca="1"/>
      </c>
    </row>
    <row r="70" spans="4:233" x14ac:dyDescent="0.55000000000000004">
      <c r="GQ70">
        <f ca="1"/>
      </c>
      <c r="GR70" s="11">
        <f ca="1"/>
      </c>
      <c r="GS70" s="11">
        <f ca="1"/>
      </c>
      <c r="GT70" s="11">
        <f ca="1"/>
      </c>
      <c r="GU70" s="11">
        <f ca="1"/>
      </c>
      <c r="GV70" s="11">
        <f ca="1"/>
      </c>
      <c r="HE70">
        <f ca="1"/>
      </c>
    </row>
    <row r="71" spans="4:233" x14ac:dyDescent="0.55000000000000004">
      <c r="GQ71">
        <f ca="1"/>
      </c>
      <c r="GR71" s="11">
        <f ca="1"/>
      </c>
      <c r="GS71" s="11">
        <f ca="1"/>
      </c>
      <c r="GT71" s="11">
        <f ca="1"/>
      </c>
      <c r="GU71" s="11">
        <f ca="1"/>
      </c>
      <c r="GV71" s="11">
        <f ca="1"/>
      </c>
      <c r="HE71">
        <f ca="1"/>
      </c>
    </row>
    <row r="72" spans="4:233" x14ac:dyDescent="0.55000000000000004">
      <c r="GQ72">
        <f ca="1"/>
      </c>
      <c r="GR72" s="11">
        <f ca="1"/>
      </c>
      <c r="GS72" s="11">
        <f ca="1"/>
      </c>
      <c r="GT72" s="11">
        <f ca="1"/>
      </c>
      <c r="GU72" s="11">
        <f ca="1"/>
      </c>
      <c r="GV72" s="11">
        <f ca="1"/>
      </c>
      <c r="HE72">
        <f ca="1"/>
      </c>
    </row>
    <row r="73" spans="4:233" x14ac:dyDescent="0.55000000000000004">
      <c r="GR73" s="11"/>
      <c r="GS73" s="11"/>
      <c r="GT73" s="11"/>
      <c r="GU73" s="11"/>
      <c r="GV73" s="11"/>
    </row>
    <row r="74" spans="4:233" x14ac:dyDescent="0.55000000000000004">
      <c r="GR74" s="11"/>
      <c r="GS74" s="11"/>
      <c r="GT74" s="11"/>
      <c r="GU74" s="11"/>
      <c r="GV74" s="11"/>
    </row>
    <row r="75" spans="4:233" x14ac:dyDescent="0.55000000000000004">
      <c r="D75" t="s">
        <v>164</v>
      </c>
      <c r="GR75" s="11"/>
      <c r="GS75" s="11"/>
      <c r="GT75" s="11"/>
      <c r="GU75" s="11"/>
      <c r="GV75" s="11"/>
    </row>
    <row r="76" spans="4:233" x14ac:dyDescent="0.55000000000000004">
      <c r="D76" s="2">
        <v>5</v>
      </c>
      <c r="GR76" s="11"/>
      <c r="GS76" s="11"/>
      <c r="GT76" s="11"/>
      <c r="GU76" s="11"/>
      <c r="GV76" s="11"/>
    </row>
    <row r="77" spans="4:233" x14ac:dyDescent="0.55000000000000004">
      <c r="GR77" s="11"/>
      <c r="GS77" s="11"/>
      <c r="GT77" s="11"/>
      <c r="GU77" s="11"/>
      <c r="GV77" s="11"/>
    </row>
    <row r="78" spans="4:233" x14ac:dyDescent="0.55000000000000004">
      <c r="GR78" s="11"/>
      <c r="GS78" s="11"/>
      <c r="GT78" s="11"/>
      <c r="GU78" s="11"/>
      <c r="GV78" s="11"/>
    </row>
    <row r="79" spans="4:233" x14ac:dyDescent="0.55000000000000004">
      <c r="GR79" s="11"/>
      <c r="GS79" s="11"/>
      <c r="GT79" s="11"/>
      <c r="GU79" s="11"/>
      <c r="GV79" s="11"/>
    </row>
    <row r="80" spans="4:233" x14ac:dyDescent="0.55000000000000004">
      <c r="GR80" s="11"/>
      <c r="GS80" s="11"/>
      <c r="GT80" s="11"/>
      <c r="GU80" s="11"/>
      <c r="GV80" s="11"/>
    </row>
    <row r="81" spans="4:233" x14ac:dyDescent="0.55000000000000004">
      <c r="GR81" s="11"/>
      <c r="GS81" s="11"/>
      <c r="GT81" s="11"/>
      <c r="GU81" s="11"/>
      <c r="GV81" s="11"/>
    </row>
    <row r="82" spans="4:233" x14ac:dyDescent="0.55000000000000004">
      <c r="GR82" s="11"/>
      <c r="GS82" s="11"/>
      <c r="GT82" s="11"/>
      <c r="GU82" s="11"/>
      <c r="GV82" s="11"/>
    </row>
    <row r="83" spans="4:233" x14ac:dyDescent="0.55000000000000004">
      <c r="GR83" s="11"/>
      <c r="GS83" s="11"/>
      <c r="GT83" s="11"/>
      <c r="GU83" s="11"/>
      <c r="GV83" s="11"/>
    </row>
    <row r="84" spans="4:233" x14ac:dyDescent="0.55000000000000004">
      <c r="GR84" s="11"/>
      <c r="GS84" s="11"/>
      <c r="GT84" s="11"/>
      <c r="GU84" s="11"/>
      <c r="GV84" s="11"/>
    </row>
    <row r="85" spans="4:233" x14ac:dyDescent="0.55000000000000004">
      <c r="GR85" s="11"/>
      <c r="GS85" s="11"/>
      <c r="GT85" s="11"/>
      <c r="GU85" s="11"/>
      <c r="GV85" s="11"/>
    </row>
    <row r="86" spans="4:233" x14ac:dyDescent="0.55000000000000004">
      <c r="GR86" s="11"/>
      <c r="GS86" s="11"/>
      <c r="GT86" s="11"/>
      <c r="GU86" s="11"/>
      <c r="GV86" s="11"/>
    </row>
    <row r="87" spans="4:233" x14ac:dyDescent="0.55000000000000004">
      <c r="GR87" s="11"/>
      <c r="GS87" s="11"/>
      <c r="GT87" s="11"/>
      <c r="GU87" s="11"/>
      <c r="GV87" s="11"/>
    </row>
    <row r="88" spans="4:233" x14ac:dyDescent="0.55000000000000004">
      <c r="GR88" s="11"/>
      <c r="GS88" s="11"/>
      <c r="GT88" s="11"/>
      <c r="GU88" s="11"/>
      <c r="GV88" s="11"/>
    </row>
    <row r="89" spans="4:233" x14ac:dyDescent="0.55000000000000004">
      <c r="GR89" s="11"/>
      <c r="GS89" s="11"/>
      <c r="GT89" s="11"/>
      <c r="GU89" s="11"/>
      <c r="GV89" s="11"/>
    </row>
    <row r="90" spans="4:233" x14ac:dyDescent="0.55000000000000004">
      <c r="GR90" s="11"/>
      <c r="GS90" s="11"/>
      <c r="GT90" s="11"/>
      <c r="GU90" s="11"/>
      <c r="GV90" s="11"/>
    </row>
    <row r="91" spans="4:233" x14ac:dyDescent="0.55000000000000004">
      <c r="D91" t="s">
        <v>165</v>
      </c>
      <c r="GR91" s="11"/>
      <c r="GS91" s="11"/>
      <c r="GT91" s="11"/>
      <c r="GU91" s="11"/>
      <c r="GV91" s="11"/>
    </row>
    <row r="92" spans="4:233" x14ac:dyDescent="0.55000000000000004">
      <c r="GR92" s="11"/>
      <c r="GS92" s="11"/>
      <c r="GT92" s="11"/>
      <c r="GU92" s="11"/>
      <c r="GV92" s="11"/>
    </row>
    <row r="93" spans="4:233" x14ac:dyDescent="0.55000000000000004">
      <c r="GR93" s="11"/>
      <c r="GS93" s="11"/>
      <c r="GT93" s="11"/>
      <c r="GU93" s="11"/>
      <c r="GV93" s="11"/>
    </row>
    <row r="94" spans="4:233" x14ac:dyDescent="0.55000000000000004">
      <c r="GR94" s="11"/>
      <c r="GS94" s="11"/>
      <c r="GT94" s="11"/>
      <c r="GU94" s="11"/>
      <c r="GV94" s="11"/>
    </row>
    <row r="95" spans="4:233" x14ac:dyDescent="0.55000000000000004">
      <c r="GR95" s="11"/>
      <c r="GS95" s="11"/>
      <c r="GT95" s="11"/>
      <c r="GU95" s="11"/>
      <c r="GV95" s="11"/>
    </row>
    <row r="96" spans="4:233" x14ac:dyDescent="0.55000000000000004">
      <c r="GR96" s="11"/>
      <c r="GS96" s="11"/>
      <c r="GT96" s="11"/>
      <c r="GU96" s="11"/>
      <c r="GV96" s="11"/>
    </row>
    <row r="97" spans="4:233" x14ac:dyDescent="0.55000000000000004"/>
    <row r="98" spans="4:233" x14ac:dyDescent="0.55000000000000004"/>
    <row r="99" spans="4:233" x14ac:dyDescent="0.55000000000000004"/>
    <row r="100" spans="4:233" x14ac:dyDescent="0.55000000000000004"/>
    <row r="101" spans="4:233" x14ac:dyDescent="0.55000000000000004"/>
    <row r="102" spans="4:233" x14ac:dyDescent="0.55000000000000004"/>
    <row r="103" spans="4:233" x14ac:dyDescent="0.55000000000000004"/>
    <row r="104" spans="4:233" x14ac:dyDescent="0.55000000000000004">
      <c r="EP104" t="s">
        <v>154</v>
      </c>
      <c r="EQ104" cm="1">
        <f t="array" ref="EQ104:FR121">_xlfn.LET(_xlpm.g,_xlfn.DROP(_xlfn.ANCHORARRAY($CO$4),1),_xlfn._xlws.FILTER(_xlpm.g,_xlfn.TAKE(_xlpm.g,,1)=3))</f>
      </c>
      <c r="GQ104" t="s">
        <v>170</v>
      </c>
      <c r="GR104" cm="1">
        <f t="array" aca="1" ref="GR104" ca="1">IFERROR(_xlfn.LET(_xlpm.R,_xlfn.ANCHORARRAY($GR$105),_xlpm.a,ABS(_xlpm.R),"k="&amp;$D$12&amp;"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04" cm="1">
        <f t="array" aca="1" ref="GS104" ca="1">IFERROR(_xlfn.LET(_xlpm.R,_xlfn.ANCHORARRAY($GS$105),_xlpm.a,ABS(_xlpm.R),"k="&amp;$D$28&amp;"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04" cm="1">
        <f t="array" aca="1" ref="GT104" ca="1">IFERROR(_xlfn.LET(_xlpm.R,_xlfn.ANCHORARRAY($GT$105),_xlpm.a,ABS(_xlpm.R),"k="&amp;$D$44&amp;"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04" cm="1">
        <f t="array" aca="1" ref="GU104" ca="1">IFERROR(_xlfn.LET(_xlpm.R,_xlfn.ANCHORARRAY($GU$105),_xlpm.a,ABS(_xlpm.R),"k="&amp;$D$60&amp;"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04" cm="1">
        <f t="array" aca="1" ref="GV104" ca="1">IFERROR(_xlfn.LET(_xlpm.R,_xlfn.ANCHORARRAY($GV$105),_xlpm.a,ABS(_xlpm.R),"k="&amp;$D$76&amp;"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04" t="s">
        <v>44</v>
      </c>
      <c r="GY104" t="s">
        <v>45</v>
      </c>
      <c r="GZ104" t="s">
        <v>46</v>
      </c>
      <c r="HA104" t="s">
        <v>47</v>
      </c>
      <c r="HB104" t="s">
        <v>48</v>
      </c>
      <c r="HD104" t="s">
        <v>175</v>
      </c>
      <c r="HE104">
        <f>"Actual / Mean / Recon (k="&amp;$D$108&amp;")  dashed: Mean ±1σ"</f>
      </c>
      <c r="HF104" t="s">
        <v>176</v>
      </c>
      <c r="HG104" t="s">
        <v>177</v>
      </c>
      <c r="HH104" t="s">
        <v>180</v>
      </c>
      <c r="HI104" t="s">
        <v>181</v>
      </c>
      <c r="HJ104" t="s">
        <v>182</v>
      </c>
      <c r="HK104" t="s">
        <v>183</v>
      </c>
      <c r="HL104" t="s">
        <v>184</v>
      </c>
      <c r="HM104" t="s">
        <v>185</v>
      </c>
      <c r="HN104" t="s">
        <v>186</v>
      </c>
      <c r="HO104" t="s">
        <v>187</v>
      </c>
      <c r="HP104" t="s">
        <v>188</v>
      </c>
      <c r="HQ104" t="s">
        <v>189</v>
      </c>
      <c r="HR104" t="s">
        <v>190</v>
      </c>
    </row>
    <row r="105" spans="4:233" x14ac:dyDescent="0.55000000000000004">
      <c r="GQ105" cm="1">
        <f t="array" aca="1" ref="GQ105:GQ122" ca="1">IF($S$6="Change",_xlfn.ANCHORARRAY($CJ$4),_xlfn.ANCHORARRAY($CI$4))</f>
      </c>
      <c r="GR105" s="11" cm="1">
        <f t="array" aca="1" ref="GR105:GR122" ca="1">_xlfn.LET(_xlpm.sl,_xlfn.ANCHORARRAY($EQ$104),_xlpm.mu,_xlfn.CHOOSECOLS(_xlpm.sl,8),_xlpm.sg,_xlfn.CHOOSECOLS(_xlpm.sl,9),_xlpm.x,_xlfn.ANCHORARRAY($GQ$105),_xlpm.V,_xlfn.TAKE(_xlfn.DROP(_xlpm.sl,,10),,$D$12),(_xlpm.x-(_xlpm.mu+_xlpm.sg*MMULT(_xlpm.V,MMULT(TRANSPOSE(_xlpm.V),(_xlpm.x-_xlpm.mu)/_xlpm.sg))))*100)</f>
      </c>
      <c r="GS105" s="11" cm="1">
        <f t="array" aca="1" ref="GS105:GS122" ca="1">_xlfn.LET(_xlpm.sl,_xlfn.ANCHORARRAY($EQ$104),_xlpm.mu,_xlfn.CHOOSECOLS(_xlpm.sl,8),_xlpm.sg,_xlfn.CHOOSECOLS(_xlpm.sl,9),_xlpm.x,_xlfn.ANCHORARRAY($GQ$105),_xlpm.V,_xlfn.TAKE(_xlfn.DROP(_xlpm.sl,,10),,$D$28),(_xlpm.x-(_xlpm.mu+_xlpm.sg*MMULT(_xlpm.V,MMULT(TRANSPOSE(_xlpm.V),(_xlpm.x-_xlpm.mu)/_xlpm.sg))))*100)</f>
      </c>
      <c r="GT105" s="11" cm="1">
        <f t="array" aca="1" ref="GT105:GT122" ca="1">_xlfn.LET(_xlpm.sl,_xlfn.ANCHORARRAY($EQ$104),_xlpm.mu,_xlfn.CHOOSECOLS(_xlpm.sl,8),_xlpm.sg,_xlfn.CHOOSECOLS(_xlpm.sl,9),_xlpm.x,_xlfn.ANCHORARRAY($GQ$105),_xlpm.V,_xlfn.TAKE(_xlfn.DROP(_xlpm.sl,,10),,$D$44),(_xlpm.x-(_xlpm.mu+_xlpm.sg*MMULT(_xlpm.V,MMULT(TRANSPOSE(_xlpm.V),(_xlpm.x-_xlpm.mu)/_xlpm.sg))))*100)</f>
      </c>
      <c r="GU105" s="11" cm="1">
        <f t="array" aca="1" ref="GU105:GU122" ca="1">_xlfn.LET(_xlpm.sl,_xlfn.ANCHORARRAY($EQ$104),_xlpm.mu,_xlfn.CHOOSECOLS(_xlpm.sl,8),_xlpm.sg,_xlfn.CHOOSECOLS(_xlpm.sl,9),_xlpm.x,_xlfn.ANCHORARRAY($GQ$105),_xlpm.V,_xlfn.TAKE(_xlfn.DROP(_xlpm.sl,,10),,$D$60),(_xlpm.x-(_xlpm.mu+_xlpm.sg*MMULT(_xlpm.V,MMULT(TRANSPOSE(_xlpm.V),(_xlpm.x-_xlpm.mu)/_xlpm.sg))))*100)</f>
      </c>
      <c r="GV105" s="11" cm="1">
        <f t="array" aca="1" ref="GV105:GV122" ca="1">_xlfn.LET(_xlpm.sl,_xlfn.ANCHORARRAY($EQ$104),_xlpm.mu,_xlfn.CHOOSECOLS(_xlpm.sl,8),_xlpm.sg,_xlfn.CHOOSECOLS(_xlpm.sl,9),_xlpm.x,_xlfn.ANCHORARRAY($GQ$105),_xlpm.V,_xlfn.TAKE(_xlfn.DROP(_xlpm.sl,,10),,$D$76),(_xlpm.x-(_xlpm.mu+_xlpm.sg*MMULT(_xlpm.V,MMULT(TRANSPOSE(_xlpm.V),(_xlpm.x-_xlpm.mu)/_xlpm.sg))))*100)</f>
      </c>
      <c r="GX105" cm="1">
        <f t="array" ref="GX105:GX122">_xlfn.LET(_xlpm.V,_xlfn.DROP(_xlfn.ANCHORARRAY($EQ$104),,10),IF(1&lt;=COLUMNS(_xlpm.V),_xlfn.CHOOSECOLS(_xlpm.V,1),IF(_xlfn.SEQUENCE(ROWS(_xlpm.V)),NA())))</f>
      </c>
      <c r="GY105" cm="1">
        <f t="array" ref="GY105:GY122">_xlfn.LET(_xlpm.V,_xlfn.DROP(_xlfn.ANCHORARRAY($EQ$104),,10),IF(2&lt;=COLUMNS(_xlpm.V),_xlfn.CHOOSECOLS(_xlpm.V,2),IF(_xlfn.SEQUENCE(ROWS(_xlpm.V)),NA())))</f>
      </c>
      <c r="GZ105" cm="1">
        <f t="array" ref="GZ105:GZ122">_xlfn.LET(_xlpm.V,_xlfn.DROP(_xlfn.ANCHORARRAY($EQ$104),,10),IF(3&lt;=COLUMNS(_xlpm.V),_xlfn.CHOOSECOLS(_xlpm.V,3),IF(_xlfn.SEQUENCE(ROWS(_xlpm.V)),NA())))</f>
      </c>
      <c r="HA105" cm="1">
        <f t="array" ref="HA105:HA122">_xlfn.LET(_xlpm.V,_xlfn.DROP(_xlfn.ANCHORARRAY($EQ$104),,10),IF(4&lt;=COLUMNS(_xlpm.V),_xlfn.CHOOSECOLS(_xlpm.V,4),IF(_xlfn.SEQUENCE(ROWS(_xlpm.V)),NA())))</f>
      </c>
      <c r="HB105" cm="1">
        <f t="array" ref="HB105:HB122">_xlfn.LET(_xlpm.V,_xlfn.DROP(_xlfn.ANCHORARRAY($EQ$104),,10),IF(5&lt;=COLUMNS(_xlpm.V),_xlfn.CHOOSECOLS(_xlpm.V,5),IF(_xlfn.SEQUENCE(ROWS(_xlpm.V)),NA())))</f>
      </c>
      <c r="HD105" cm="1">
        <f t="array" ref="HD105:HD122">_xlfn.CHOOSECOLS(_xlfn.ANCHORARRAY($EQ$104),8)</f>
      </c>
      <c r="HE105" cm="1">
        <f t="array" aca="1" ref="HE105:HE122" ca="1">_xlfn.LET(_xlpm.sl,_xlfn.ANCHORARRAY($EQ$104),_xlpm.mu,_xlfn.CHOOSECOLS(_xlpm.sl,8),_xlpm.sg,_xlfn.CHOOSECOLS(_xlpm.sl,9),_xlpm.x,_xlfn.ANCHORARRAY($GQ$105),_xlpm.V,_xlfn.TAKE(_xlfn.DROP(_xlpm.sl,,10),,$D$108),_xlpm.mu+_xlpm.sg*MMULT(_xlpm.V,MMULT(TRANSPOSE(_xlpm.V),(_xlpm.x-_xlpm.mu)/_xlpm.sg)))</f>
      </c>
      <c r="HF105" cm="1">
        <f t="array" ref="HF105:HF122">_xlfn.CHOOSECOLS(_xlfn.ANCHORARRAY($EQ$104),8)+_xlfn.CHOOSECOLS(_xlfn.ANCHORARRAY($EQ$104),10)</f>
      </c>
      <c r="HG105" cm="1">
        <f t="array" ref="HG105:HG122">_xlfn.CHOOSECOLS(_xlfn.ANCHORARRAY($EQ$104),8)-_xlfn.CHOOSECOLS(_xlfn.ANCHORARRAY($EQ$104),10)</f>
      </c>
      <c r="HH105" cm="1">
        <f t="array" ref="HH105:HH122">_xlfn.LET(_xlpm.v,_xlfn.CHOOSECOLS(_xlfn._xlws.FILTER(_xlfn.DROP(_xlfn.ANCHORARRAY($HS$4),1),_xlfn.TAKE(_xlfn.DROP(_xlfn.ANCHORARRAY($HS$4),1),,1)=3),3),IF(_xlpm.v="",NA(),_xlpm.v))</f>
      </c>
      <c r="HI105" cm="1">
        <f t="array" ref="HI105:HI122">-_xlfn.ANCHORARRAY($HH$105)</f>
      </c>
      <c r="HJ105" cm="1">
        <f t="array" ref="HJ105:HJ122">_xlfn.LET(_xlpm.v,_xlfn.CHOOSECOLS(_xlfn._xlws.FILTER(_xlfn.DROP(_xlfn.ANCHORARRAY($HS$4),1),_xlfn.TAKE(_xlfn.DROP(_xlfn.ANCHORARRAY($HS$4),1),,1)=3),4),IF(_xlpm.v="",NA(),_xlpm.v))</f>
      </c>
      <c r="HK105" cm="1">
        <f t="array" ref="HK105:HK122">-_xlfn.ANCHORARRAY($HJ$105)</f>
      </c>
      <c r="HL105" cm="1">
        <f t="array" ref="HL105:HL122">_xlfn.LET(_xlpm.v,_xlfn.CHOOSECOLS(_xlfn._xlws.FILTER(_xlfn.DROP(_xlfn.ANCHORARRAY($HS$4),1),_xlfn.TAKE(_xlfn.DROP(_xlfn.ANCHORARRAY($HS$4),1),,1)=3),5),IF(_xlpm.v="",NA(),_xlpm.v))</f>
      </c>
      <c r="HM105" cm="1">
        <f t="array" ref="HM105:HM122">-_xlfn.ANCHORARRAY($HL$105)</f>
      </c>
      <c r="HN105" cm="1">
        <f t="array" ref="HN105:HN122">_xlfn.LET(_xlpm.v,_xlfn.CHOOSECOLS(_xlfn._xlws.FILTER(_xlfn.DROP(_xlfn.ANCHORARRAY($HS$4),1),_xlfn.TAKE(_xlfn.DROP(_xlfn.ANCHORARRAY($HS$4),1),,1)=3),6),IF(_xlpm.v="",NA(),_xlpm.v))</f>
      </c>
      <c r="HO105" cm="1">
        <f t="array" ref="HO105:HO122">-_xlfn.ANCHORARRAY($HN$105)</f>
      </c>
      <c r="HP105" cm="1">
        <f t="array" ref="HP105:HP122">_xlfn.LET(_xlpm.v,_xlfn.CHOOSECOLS(_xlfn._xlws.FILTER(_xlfn.DROP(_xlfn.ANCHORARRAY($HS$4),1),_xlfn.TAKE(_xlfn.DROP(_xlfn.ANCHORARRAY($HS$4),1),,1)=3),7),IF(_xlpm.v="",NA(),_xlpm.v))</f>
      </c>
      <c r="HQ105" cm="1">
        <f t="array" ref="HQ105:HQ122">-_xlfn.ANCHORARRAY($HP$105)</f>
      </c>
      <c r="HR105" cm="1">
        <f t="array" ref="HR105">IFERROR(INDEX(_xlfn._xlws.FILTER(_xlfn.DROP(_xlfn.ANCHORARRAY($HS$4),1),_xlfn.TAKE(_xlfn.DROP(_xlfn.ANCHORARRAY($HS$4),1),,1)=3),1,2),"")</f>
      </c>
    </row>
    <row r="106" spans="4:233" x14ac:dyDescent="0.55000000000000004">
      <c r="GQ106">
        <f ca="1"/>
      </c>
      <c r="GR106" s="11">
        <f ca="1"/>
      </c>
      <c r="GS106" s="11">
        <f ca="1"/>
      </c>
      <c r="GT106" s="11">
        <f ca="1"/>
      </c>
      <c r="GU106" s="11">
        <f ca="1"/>
      </c>
      <c r="GV106" s="11">
        <f ca="1"/>
      </c>
      <c r="HE106">
        <f ca="1"/>
      </c>
    </row>
    <row r="107" spans="4:233" x14ac:dyDescent="0.55000000000000004">
      <c r="D107" t="s">
        <v>164</v>
      </c>
      <c r="GQ107">
        <f ca="1"/>
      </c>
      <c r="GR107" s="11">
        <f ca="1"/>
      </c>
      <c r="GS107" s="11">
        <f ca="1"/>
      </c>
      <c r="GT107" s="11">
        <f ca="1"/>
      </c>
      <c r="GU107" s="11">
        <f ca="1"/>
      </c>
      <c r="GV107" s="11">
        <f ca="1"/>
      </c>
      <c r="HE107">
        <f ca="1"/>
      </c>
    </row>
    <row r="108" spans="4:233" x14ac:dyDescent="0.55000000000000004">
      <c r="D108" s="2">
        <v>3</v>
      </c>
      <c r="GQ108">
        <f ca="1"/>
      </c>
      <c r="GR108" s="11">
        <f ca="1"/>
      </c>
      <c r="GS108" s="11">
        <f ca="1"/>
      </c>
      <c r="GT108" s="11">
        <f ca="1"/>
      </c>
      <c r="GU108" s="11">
        <f ca="1"/>
      </c>
      <c r="GV108" s="11">
        <f ca="1"/>
      </c>
      <c r="HE108">
        <f ca="1"/>
      </c>
    </row>
    <row r="109" spans="4:233" x14ac:dyDescent="0.55000000000000004">
      <c r="GQ109">
        <f ca="1"/>
      </c>
      <c r="GR109" s="11">
        <f ca="1"/>
      </c>
      <c r="GS109" s="11">
        <f ca="1"/>
      </c>
      <c r="GT109" s="11">
        <f ca="1"/>
      </c>
      <c r="GU109" s="11">
        <f ca="1"/>
      </c>
      <c r="GV109" s="11">
        <f ca="1"/>
      </c>
      <c r="HE109">
        <f ca="1"/>
      </c>
    </row>
    <row r="110" spans="4:233" x14ac:dyDescent="0.55000000000000004">
      <c r="GQ110">
        <f ca="1"/>
      </c>
      <c r="GR110" s="11">
        <f ca="1"/>
      </c>
      <c r="GS110" s="11">
        <f ca="1"/>
      </c>
      <c r="GT110" s="11">
        <f ca="1"/>
      </c>
      <c r="GU110" s="11">
        <f ca="1"/>
      </c>
      <c r="GV110" s="11">
        <f ca="1"/>
      </c>
      <c r="HE110">
        <f ca="1"/>
      </c>
    </row>
    <row r="111" spans="4:233" x14ac:dyDescent="0.55000000000000004">
      <c r="GQ111">
        <f ca="1"/>
      </c>
      <c r="GR111" s="11">
        <f ca="1"/>
      </c>
      <c r="GS111" s="11">
        <f ca="1"/>
      </c>
      <c r="GT111" s="11">
        <f ca="1"/>
      </c>
      <c r="GU111" s="11">
        <f ca="1"/>
      </c>
      <c r="GV111" s="11">
        <f ca="1"/>
      </c>
      <c r="HE111">
        <f ca="1"/>
      </c>
    </row>
    <row r="112" spans="4:233" x14ac:dyDescent="0.55000000000000004">
      <c r="GQ112">
        <f ca="1"/>
      </c>
      <c r="GR112" s="11">
        <f ca="1"/>
      </c>
      <c r="GS112" s="11">
        <f ca="1"/>
      </c>
      <c r="GT112" s="11">
        <f ca="1"/>
      </c>
      <c r="GU112" s="11">
        <f ca="1"/>
      </c>
      <c r="GV112" s="11">
        <f ca="1"/>
      </c>
      <c r="HE112">
        <f ca="1"/>
      </c>
    </row>
    <row r="113" spans="93:233" x14ac:dyDescent="0.55000000000000004">
      <c r="GQ113">
        <f ca="1"/>
      </c>
      <c r="GR113" s="11">
        <f ca="1"/>
      </c>
      <c r="GS113" s="11">
        <f ca="1"/>
      </c>
      <c r="GT113" s="11">
        <f ca="1"/>
      </c>
      <c r="GU113" s="11">
        <f ca="1"/>
      </c>
      <c r="GV113" s="11">
        <f ca="1"/>
      </c>
      <c r="HE113">
        <f ca="1"/>
      </c>
    </row>
    <row r="114" spans="93:233" x14ac:dyDescent="0.55000000000000004">
      <c r="GQ114">
        <f ca="1"/>
      </c>
      <c r="GR114" s="11">
        <f ca="1"/>
      </c>
      <c r="GS114" s="11">
        <f ca="1"/>
      </c>
      <c r="GT114" s="11">
        <f ca="1"/>
      </c>
      <c r="GU114" s="11">
        <f ca="1"/>
      </c>
      <c r="GV114" s="11">
        <f ca="1"/>
      </c>
      <c r="HE114">
        <f ca="1"/>
      </c>
    </row>
    <row r="115" spans="93:233" x14ac:dyDescent="0.55000000000000004">
      <c r="GQ115">
        <f ca="1"/>
      </c>
      <c r="GR115" s="11">
        <f ca="1"/>
      </c>
      <c r="GS115" s="11">
        <f ca="1"/>
      </c>
      <c r="GT115" s="11">
        <f ca="1"/>
      </c>
      <c r="GU115" s="11">
        <f ca="1"/>
      </c>
      <c r="GV115" s="11">
        <f ca="1"/>
      </c>
      <c r="HE115">
        <f ca="1"/>
      </c>
    </row>
    <row r="116" spans="93:233" x14ac:dyDescent="0.55000000000000004">
      <c r="GQ116">
        <f ca="1"/>
      </c>
      <c r="GR116" s="11">
        <f ca="1"/>
      </c>
      <c r="GS116" s="11">
        <f ca="1"/>
      </c>
      <c r="GT116" s="11">
        <f ca="1"/>
      </c>
      <c r="GU116" s="11">
        <f ca="1"/>
      </c>
      <c r="GV116" s="11">
        <f ca="1"/>
      </c>
      <c r="HE116">
        <f ca="1"/>
      </c>
    </row>
    <row r="117" spans="93:233" x14ac:dyDescent="0.55000000000000004">
      <c r="GQ117">
        <f ca="1"/>
      </c>
      <c r="GR117" s="11">
        <f ca="1"/>
      </c>
      <c r="GS117" s="11">
        <f ca="1"/>
      </c>
      <c r="GT117" s="11">
        <f ca="1"/>
      </c>
      <c r="GU117" s="11">
        <f ca="1"/>
      </c>
      <c r="GV117" s="11">
        <f ca="1"/>
      </c>
      <c r="HE117">
        <f ca="1"/>
      </c>
    </row>
    <row r="118" spans="93:233" x14ac:dyDescent="0.55000000000000004">
      <c r="GQ118">
        <f ca="1"/>
      </c>
      <c r="GR118" s="11">
        <f ca="1"/>
      </c>
      <c r="GS118" s="11">
        <f ca="1"/>
      </c>
      <c r="GT118" s="11">
        <f ca="1"/>
      </c>
      <c r="GU118" s="11">
        <f ca="1"/>
      </c>
      <c r="GV118" s="11">
        <f ca="1"/>
      </c>
      <c r="HE118">
        <f ca="1"/>
      </c>
    </row>
    <row r="119" spans="93:233" x14ac:dyDescent="0.55000000000000004">
      <c r="GQ119">
        <f ca="1"/>
      </c>
      <c r="GR119" s="11">
        <f ca="1"/>
      </c>
      <c r="GS119" s="11">
        <f ca="1"/>
      </c>
      <c r="GT119" s="11">
        <f ca="1"/>
      </c>
      <c r="GU119" s="11">
        <f ca="1"/>
      </c>
      <c r="GV119" s="11">
        <f ca="1"/>
      </c>
      <c r="HE119">
        <f ca="1"/>
      </c>
    </row>
    <row r="120" spans="93:233" x14ac:dyDescent="0.55000000000000004">
      <c r="GQ120">
        <f ca="1"/>
      </c>
      <c r="GR120" s="11">
        <f ca="1"/>
      </c>
      <c r="GS120" s="11">
        <f ca="1"/>
      </c>
      <c r="GT120" s="11">
        <f ca="1"/>
      </c>
      <c r="GU120" s="11">
        <f ca="1"/>
      </c>
      <c r="GV120" s="11">
        <f ca="1"/>
      </c>
      <c r="HE120">
        <f ca="1"/>
      </c>
    </row>
    <row r="121" spans="93:233" x14ac:dyDescent="0.55000000000000004">
      <c r="GQ121">
        <f ca="1"/>
      </c>
      <c r="GR121" s="11">
        <f ca="1"/>
      </c>
      <c r="GS121" s="11">
        <f ca="1"/>
      </c>
      <c r="GT121" s="11">
        <f ca="1"/>
      </c>
      <c r="GU121" s="11">
        <f ca="1"/>
      </c>
      <c r="GV121" s="11">
        <f ca="1"/>
      </c>
      <c r="HE121">
        <f ca="1"/>
      </c>
    </row>
    <row r="122" spans="93:233" x14ac:dyDescent="0.55000000000000004">
      <c r="GQ122">
        <f ca="1"/>
      </c>
      <c r="GR122" s="11">
        <f ca="1"/>
      </c>
      <c r="GS122" s="11">
        <f ca="1"/>
      </c>
      <c r="GT122" s="11">
        <f ca="1"/>
      </c>
      <c r="GU122" s="11">
        <f ca="1"/>
      </c>
      <c r="GV122" s="11">
        <f ca="1"/>
      </c>
      <c r="HE122">
        <f ca="1"/>
      </c>
    </row>
    <row r="123" spans="93:233" x14ac:dyDescent="0.55000000000000004">
      <c r="GR123" s="11"/>
      <c r="GS123" s="11"/>
      <c r="GT123" s="11"/>
      <c r="GU123" s="11"/>
      <c r="GV123" s="11"/>
    </row>
    <row r="124" spans="93:233" x14ac:dyDescent="0.55000000000000004">
      <c r="GR124" s="11"/>
      <c r="GS124" s="11"/>
      <c r="GT124" s="11"/>
      <c r="GU124" s="11"/>
      <c r="GV124" s="11"/>
    </row>
    <row r="125" spans="93:233" x14ac:dyDescent="0.55000000000000004">
      <c r="GR125" s="11"/>
      <c r="GS125" s="11"/>
      <c r="GT125" s="11"/>
      <c r="GU125" s="11"/>
      <c r="GV125" s="11"/>
    </row>
    <row r="126" spans="93:233" x14ac:dyDescent="0.55000000000000004">
      <c r="GR126" s="11"/>
      <c r="GS126" s="11"/>
      <c r="GT126" s="11"/>
      <c r="GU126" s="11"/>
      <c r="GV126" s="11"/>
    </row>
    <row r="127" spans="93:233" x14ac:dyDescent="0.55000000000000004">
      <c r="GR127" s="11"/>
      <c r="GS127" s="11"/>
      <c r="GT127" s="11"/>
      <c r="GU127" s="11"/>
      <c r="GV127" s="11"/>
    </row>
    <row r="128" spans="93:233" x14ac:dyDescent="0.55000000000000004">
      <c r="GR128" s="11"/>
      <c r="GS128" s="11"/>
      <c r="GT128" s="11"/>
      <c r="GU128" s="11"/>
      <c r="GV128" s="11"/>
    </row>
    <row r="129" spans="93:233" x14ac:dyDescent="0.55000000000000004">
      <c r="GR129" s="11"/>
      <c r="GS129" s="11"/>
      <c r="GT129" s="11"/>
      <c r="GU129" s="11"/>
      <c r="GV129" s="11"/>
    </row>
    <row r="130" spans="93:233" x14ac:dyDescent="0.55000000000000004">
      <c r="GR130" s="11"/>
      <c r="GS130" s="11"/>
      <c r="GT130" s="11"/>
      <c r="GU130" s="11"/>
      <c r="GV130" s="11"/>
    </row>
    <row r="131" spans="93:233" x14ac:dyDescent="0.55000000000000004">
      <c r="GR131" s="11"/>
      <c r="GS131" s="11"/>
      <c r="GT131" s="11"/>
      <c r="GU131" s="11"/>
      <c r="GV131" s="11"/>
    </row>
    <row r="132" spans="93:233" x14ac:dyDescent="0.55000000000000004">
      <c r="GR132" s="11"/>
      <c r="GS132" s="11"/>
      <c r="GT132" s="11"/>
      <c r="GU132" s="11"/>
      <c r="GV132" s="11"/>
    </row>
    <row r="133" spans="93:233" x14ac:dyDescent="0.55000000000000004">
      <c r="GR133" s="11"/>
      <c r="GS133" s="11"/>
      <c r="GT133" s="11"/>
      <c r="GU133" s="11"/>
      <c r="GV133" s="11"/>
    </row>
    <row r="134" spans="93:233" x14ac:dyDescent="0.55000000000000004">
      <c r="GR134" s="11"/>
      <c r="GS134" s="11"/>
      <c r="GT134" s="11"/>
      <c r="GU134" s="11"/>
      <c r="GV134" s="11"/>
    </row>
    <row r="135" spans="93:233" x14ac:dyDescent="0.55000000000000004">
      <c r="GR135" s="11"/>
      <c r="GS135" s="11"/>
      <c r="GT135" s="11"/>
      <c r="GU135" s="11"/>
      <c r="GV135" s="11"/>
    </row>
    <row r="136" spans="93:233" x14ac:dyDescent="0.55000000000000004">
      <c r="GR136" s="11"/>
      <c r="GS136" s="11"/>
      <c r="GT136" s="11"/>
      <c r="GU136" s="11"/>
      <c r="GV136" s="11"/>
    </row>
    <row r="137" spans="93:233" x14ac:dyDescent="0.55000000000000004">
      <c r="GR137" s="11"/>
      <c r="GS137" s="11"/>
      <c r="GT137" s="11"/>
      <c r="GU137" s="11"/>
      <c r="GV137" s="11"/>
    </row>
    <row r="138" spans="93:233" x14ac:dyDescent="0.55000000000000004">
      <c r="GR138" s="11"/>
      <c r="GS138" s="11"/>
      <c r="GT138" s="11"/>
      <c r="GU138" s="11"/>
      <c r="GV138" s="11"/>
    </row>
    <row r="139" spans="93:233" x14ac:dyDescent="0.55000000000000004">
      <c r="GR139" s="11"/>
      <c r="GS139" s="11"/>
      <c r="GT139" s="11"/>
      <c r="GU139" s="11"/>
      <c r="GV139" s="11"/>
    </row>
    <row r="140" spans="93:233" x14ac:dyDescent="0.55000000000000004">
      <c r="GR140" s="11"/>
      <c r="GS140" s="11"/>
      <c r="GT140" s="11"/>
      <c r="GU140" s="11"/>
      <c r="GV140" s="11"/>
    </row>
    <row r="141" spans="93:233" x14ac:dyDescent="0.55000000000000004">
      <c r="GR141" s="11"/>
      <c r="GS141" s="11"/>
      <c r="GT141" s="11"/>
      <c r="GU141" s="11"/>
      <c r="GV141" s="11"/>
    </row>
    <row r="142" spans="93:233" x14ac:dyDescent="0.55000000000000004">
      <c r="GR142" s="11"/>
      <c r="GS142" s="11"/>
      <c r="GT142" s="11"/>
      <c r="GU142" s="11"/>
      <c r="GV142" s="11"/>
    </row>
    <row r="143" spans="93:233" x14ac:dyDescent="0.55000000000000004">
      <c r="GR143" s="11"/>
      <c r="GS143" s="11"/>
      <c r="GT143" s="11"/>
      <c r="GU143" s="11"/>
      <c r="GV143" s="11"/>
    </row>
    <row r="144" spans="93:233" x14ac:dyDescent="0.55000000000000004">
      <c r="GR144" s="11"/>
      <c r="GS144" s="11"/>
      <c r="GT144" s="11"/>
      <c r="GU144" s="11"/>
      <c r="GV144" s="11"/>
    </row>
    <row r="145" spans="93:233" x14ac:dyDescent="0.55000000000000004">
      <c r="GR145" s="11"/>
      <c r="GS145" s="11"/>
      <c r="GT145" s="11"/>
      <c r="GU145" s="11"/>
      <c r="GV145" s="11"/>
    </row>
    <row r="146" spans="93:233" x14ac:dyDescent="0.55000000000000004">
      <c r="GR146" s="11"/>
      <c r="GS146" s="11"/>
      <c r="GT146" s="11"/>
      <c r="GU146" s="11"/>
      <c r="GV146" s="11"/>
    </row>
    <row r="147" spans="93:233" x14ac:dyDescent="0.55000000000000004"/>
    <row r="148" spans="93:233" x14ac:dyDescent="0.55000000000000004"/>
    <row r="149" spans="93:233" x14ac:dyDescent="0.55000000000000004"/>
    <row r="150" spans="93:233" x14ac:dyDescent="0.55000000000000004"/>
    <row r="151" spans="93:233" x14ac:dyDescent="0.55000000000000004"/>
    <row r="152" spans="93:233" x14ac:dyDescent="0.55000000000000004"/>
    <row r="153" spans="93:233" x14ac:dyDescent="0.55000000000000004"/>
    <row r="154" spans="93:233" x14ac:dyDescent="0.55000000000000004">
      <c r="EP154" t="s">
        <v>156</v>
      </c>
      <c r="EQ154" cm="1">
        <f t="array" ref="EQ154:FR171">_xlfn.LET(_xlpm.g,_xlfn.DROP(_xlfn.ANCHORARRAY($CO$4),1),_xlfn._xlws.FILTER(_xlpm.g,_xlfn.TAKE(_xlpm.g,,1)=4))</f>
      </c>
      <c r="GQ154" t="s">
        <v>170</v>
      </c>
      <c r="GR154" cm="1">
        <f t="array" aca="1" ref="GR154" ca="1">IFERROR(_xlfn.LET(_xlpm.R,_xlfn.ANCHORARRAY($GR$155),_xlpm.a,ABS(_xlpm.R),"k="&amp;$D$12&amp;"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54" cm="1">
        <f t="array" aca="1" ref="GS154" ca="1">IFERROR(_xlfn.LET(_xlpm.R,_xlfn.ANCHORARRAY($GS$155),_xlpm.a,ABS(_xlpm.R),"k="&amp;$D$28&amp;"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54" cm="1">
        <f t="array" aca="1" ref="GT154" ca="1">IFERROR(_xlfn.LET(_xlpm.R,_xlfn.ANCHORARRAY($GT$155),_xlpm.a,ABS(_xlpm.R),"k="&amp;$D$44&amp;"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54" cm="1">
        <f t="array" aca="1" ref="GU154" ca="1">IFERROR(_xlfn.LET(_xlpm.R,_xlfn.ANCHORARRAY($GU$155),_xlpm.a,ABS(_xlpm.R),"k="&amp;$D$60&amp;"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54" cm="1">
        <f t="array" aca="1" ref="GV154" ca="1">IFERROR(_xlfn.LET(_xlpm.R,_xlfn.ANCHORARRAY($GV$155),_xlpm.a,ABS(_xlpm.R),"k="&amp;$D$76&amp;"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54" t="s">
        <v>44</v>
      </c>
      <c r="GY154" t="s">
        <v>45</v>
      </c>
      <c r="GZ154" t="s">
        <v>46</v>
      </c>
      <c r="HA154" t="s">
        <v>47</v>
      </c>
      <c r="HB154" t="s">
        <v>48</v>
      </c>
      <c r="HD154" t="s">
        <v>175</v>
      </c>
      <c r="HE154">
        <f>"Actual / Mean / Recon (k="&amp;$D$108&amp;")  dashed: Mean ±1σ"</f>
      </c>
      <c r="HF154" t="s">
        <v>176</v>
      </c>
      <c r="HG154" t="s">
        <v>177</v>
      </c>
      <c r="HH154" t="s">
        <v>180</v>
      </c>
      <c r="HI154" t="s">
        <v>181</v>
      </c>
      <c r="HJ154" t="s">
        <v>182</v>
      </c>
      <c r="HK154" t="s">
        <v>183</v>
      </c>
      <c r="HL154" t="s">
        <v>184</v>
      </c>
      <c r="HM154" t="s">
        <v>185</v>
      </c>
      <c r="HN154" t="s">
        <v>186</v>
      </c>
      <c r="HO154" t="s">
        <v>187</v>
      </c>
      <c r="HP154" t="s">
        <v>188</v>
      </c>
      <c r="HQ154" t="s">
        <v>189</v>
      </c>
      <c r="HR154" t="s">
        <v>190</v>
      </c>
    </row>
    <row r="155" spans="93:233" x14ac:dyDescent="0.55000000000000004">
      <c r="GQ155" cm="1">
        <f t="array" aca="1" ref="GQ155:GQ172" ca="1">IF($Z$6="Change",_xlfn.ANCHORARRAY($CJ$4),_xlfn.ANCHORARRAY($CI$4))</f>
      </c>
      <c r="GR155" s="11" cm="1">
        <f t="array" aca="1" ref="GR155:GR172" ca="1">_xlfn.LET(_xlpm.sl,_xlfn.ANCHORARRAY($EQ$154),_xlpm.mu,_xlfn.CHOOSECOLS(_xlpm.sl,8),_xlpm.sg,_xlfn.CHOOSECOLS(_xlpm.sl,9),_xlpm.x,_xlfn.ANCHORARRAY($GQ$155),_xlpm.V,_xlfn.TAKE(_xlfn.DROP(_xlpm.sl,,10),,$D$12),(_xlpm.x-(_xlpm.mu+_xlpm.sg*MMULT(_xlpm.V,MMULT(TRANSPOSE(_xlpm.V),(_xlpm.x-_xlpm.mu)/_xlpm.sg))))*100)</f>
      </c>
      <c r="GS155" s="11" cm="1">
        <f t="array" aca="1" ref="GS155:GS172" ca="1">_xlfn.LET(_xlpm.sl,_xlfn.ANCHORARRAY($EQ$154),_xlpm.mu,_xlfn.CHOOSECOLS(_xlpm.sl,8),_xlpm.sg,_xlfn.CHOOSECOLS(_xlpm.sl,9),_xlpm.x,_xlfn.ANCHORARRAY($GQ$155),_xlpm.V,_xlfn.TAKE(_xlfn.DROP(_xlpm.sl,,10),,$D$28),(_xlpm.x-(_xlpm.mu+_xlpm.sg*MMULT(_xlpm.V,MMULT(TRANSPOSE(_xlpm.V),(_xlpm.x-_xlpm.mu)/_xlpm.sg))))*100)</f>
      </c>
      <c r="GT155" s="11" cm="1">
        <f t="array" aca="1" ref="GT155:GT172" ca="1">_xlfn.LET(_xlpm.sl,_xlfn.ANCHORARRAY($EQ$154),_xlpm.mu,_xlfn.CHOOSECOLS(_xlpm.sl,8),_xlpm.sg,_xlfn.CHOOSECOLS(_xlpm.sl,9),_xlpm.x,_xlfn.ANCHORARRAY($GQ$155),_xlpm.V,_xlfn.TAKE(_xlfn.DROP(_xlpm.sl,,10),,$D$44),(_xlpm.x-(_xlpm.mu+_xlpm.sg*MMULT(_xlpm.V,MMULT(TRANSPOSE(_xlpm.V),(_xlpm.x-_xlpm.mu)/_xlpm.sg))))*100)</f>
      </c>
      <c r="GU155" s="11" cm="1">
        <f t="array" aca="1" ref="GU155:GU172" ca="1">_xlfn.LET(_xlpm.sl,_xlfn.ANCHORARRAY($EQ$154),_xlpm.mu,_xlfn.CHOOSECOLS(_xlpm.sl,8),_xlpm.sg,_xlfn.CHOOSECOLS(_xlpm.sl,9),_xlpm.x,_xlfn.ANCHORARRAY($GQ$155),_xlpm.V,_xlfn.TAKE(_xlfn.DROP(_xlpm.sl,,10),,$D$60),(_xlpm.x-(_xlpm.mu+_xlpm.sg*MMULT(_xlpm.V,MMULT(TRANSPOSE(_xlpm.V),(_xlpm.x-_xlpm.mu)/_xlpm.sg))))*100)</f>
      </c>
      <c r="GV155" s="11" cm="1">
        <f t="array" aca="1" ref="GV155:GV172" ca="1">_xlfn.LET(_xlpm.sl,_xlfn.ANCHORARRAY($EQ$154),_xlpm.mu,_xlfn.CHOOSECOLS(_xlpm.sl,8),_xlpm.sg,_xlfn.CHOOSECOLS(_xlpm.sl,9),_xlpm.x,_xlfn.ANCHORARRAY($GQ$155),_xlpm.V,_xlfn.TAKE(_xlfn.DROP(_xlpm.sl,,10),,$D$76),(_xlpm.x-(_xlpm.mu+_xlpm.sg*MMULT(_xlpm.V,MMULT(TRANSPOSE(_xlpm.V),(_xlpm.x-_xlpm.mu)/_xlpm.sg))))*100)</f>
      </c>
      <c r="GX155" cm="1">
        <f t="array" ref="GX155:GX172">_xlfn.LET(_xlpm.V,_xlfn.DROP(_xlfn.ANCHORARRAY($EQ$154),,10),IF(1&lt;=COLUMNS(_xlpm.V),_xlfn.CHOOSECOLS(_xlpm.V,1),IF(_xlfn.SEQUENCE(ROWS(_xlpm.V)),NA())))</f>
      </c>
      <c r="GY155" cm="1">
        <f t="array" ref="GY155:GY172">_xlfn.LET(_xlpm.V,_xlfn.DROP(_xlfn.ANCHORARRAY($EQ$154),,10),IF(2&lt;=COLUMNS(_xlpm.V),_xlfn.CHOOSECOLS(_xlpm.V,2),IF(_xlfn.SEQUENCE(ROWS(_xlpm.V)),NA())))</f>
      </c>
      <c r="GZ155" cm="1">
        <f t="array" ref="GZ155:GZ172">_xlfn.LET(_xlpm.V,_xlfn.DROP(_xlfn.ANCHORARRAY($EQ$154),,10),IF(3&lt;=COLUMNS(_xlpm.V),_xlfn.CHOOSECOLS(_xlpm.V,3),IF(_xlfn.SEQUENCE(ROWS(_xlpm.V)),NA())))</f>
      </c>
      <c r="HA155" cm="1">
        <f t="array" ref="HA155:HA172">_xlfn.LET(_xlpm.V,_xlfn.DROP(_xlfn.ANCHORARRAY($EQ$154),,10),IF(4&lt;=COLUMNS(_xlpm.V),_xlfn.CHOOSECOLS(_xlpm.V,4),IF(_xlfn.SEQUENCE(ROWS(_xlpm.V)),NA())))</f>
      </c>
      <c r="HB155" cm="1">
        <f t="array" ref="HB155:HB172">_xlfn.LET(_xlpm.V,_xlfn.DROP(_xlfn.ANCHORARRAY($EQ$154),,10),IF(5&lt;=COLUMNS(_xlpm.V),_xlfn.CHOOSECOLS(_xlpm.V,5),IF(_xlfn.SEQUENCE(ROWS(_xlpm.V)),NA())))</f>
      </c>
      <c r="HD155" cm="1">
        <f t="array" ref="HD155:HD172">_xlfn.CHOOSECOLS(_xlfn.ANCHORARRAY($EQ$154),8)</f>
      </c>
      <c r="HE155" cm="1">
        <f t="array" aca="1" ref="HE155:HE172" ca="1">_xlfn.LET(_xlpm.sl,_xlfn.ANCHORARRAY($EQ$154),_xlpm.mu,_xlfn.CHOOSECOLS(_xlpm.sl,8),_xlpm.sg,_xlfn.CHOOSECOLS(_xlpm.sl,9),_xlpm.x,_xlfn.ANCHORARRAY($GQ$155),_xlpm.V,_xlfn.TAKE(_xlfn.DROP(_xlpm.sl,,10),,$D$108),_xlpm.mu+_xlpm.sg*MMULT(_xlpm.V,MMULT(TRANSPOSE(_xlpm.V),(_xlpm.x-_xlpm.mu)/_xlpm.sg)))</f>
      </c>
      <c r="HF155" cm="1">
        <f t="array" ref="HF155:HF172">_xlfn.CHOOSECOLS(_xlfn.ANCHORARRAY($EQ$154),8)+_xlfn.CHOOSECOLS(_xlfn.ANCHORARRAY($EQ$154),10)</f>
      </c>
      <c r="HG155" cm="1">
        <f t="array" ref="HG155:HG172">_xlfn.CHOOSECOLS(_xlfn.ANCHORARRAY($EQ$154),8)-_xlfn.CHOOSECOLS(_xlfn.ANCHORARRAY($EQ$154),10)</f>
      </c>
      <c r="HH155" cm="1">
        <f t="array" ref="HH155:HH172">_xlfn.LET(_xlpm.v,_xlfn.CHOOSECOLS(_xlfn._xlws.FILTER(_xlfn.DROP(_xlfn.ANCHORARRAY($HS$4),1),_xlfn.TAKE(_xlfn.DROP(_xlfn.ANCHORARRAY($HS$4),1),,1)=4),3),IF(_xlpm.v="",NA(),_xlpm.v))</f>
      </c>
      <c r="HI155" cm="1">
        <f t="array" ref="HI155:HI172">-_xlfn.ANCHORARRAY($HH$155)</f>
      </c>
      <c r="HJ155" cm="1">
        <f t="array" ref="HJ155:HJ172">_xlfn.LET(_xlpm.v,_xlfn.CHOOSECOLS(_xlfn._xlws.FILTER(_xlfn.DROP(_xlfn.ANCHORARRAY($HS$4),1),_xlfn.TAKE(_xlfn.DROP(_xlfn.ANCHORARRAY($HS$4),1),,1)=4),4),IF(_xlpm.v="",NA(),_xlpm.v))</f>
      </c>
      <c r="HK155" cm="1">
        <f t="array" ref="HK155:HK172">-_xlfn.ANCHORARRAY($HJ$155)</f>
      </c>
      <c r="HL155" cm="1">
        <f t="array" ref="HL155:HL172">_xlfn.LET(_xlpm.v,_xlfn.CHOOSECOLS(_xlfn._xlws.FILTER(_xlfn.DROP(_xlfn.ANCHORARRAY($HS$4),1),_xlfn.TAKE(_xlfn.DROP(_xlfn.ANCHORARRAY($HS$4),1),,1)=4),5),IF(_xlpm.v="",NA(),_xlpm.v))</f>
      </c>
      <c r="HM155" cm="1">
        <f t="array" ref="HM155:HM172">-_xlfn.ANCHORARRAY($HL$155)</f>
      </c>
      <c r="HN155" cm="1">
        <f t="array" ref="HN155:HN172">_xlfn.LET(_xlpm.v,_xlfn.CHOOSECOLS(_xlfn._xlws.FILTER(_xlfn.DROP(_xlfn.ANCHORARRAY($HS$4),1),_xlfn.TAKE(_xlfn.DROP(_xlfn.ANCHORARRAY($HS$4),1),,1)=4),6),IF(_xlpm.v="",NA(),_xlpm.v))</f>
      </c>
      <c r="HO155" cm="1">
        <f t="array" ref="HO155:HO172">-_xlfn.ANCHORARRAY($HN$155)</f>
      </c>
      <c r="HP155" cm="1">
        <f t="array" ref="HP155:HP172">_xlfn.LET(_xlpm.v,_xlfn.CHOOSECOLS(_xlfn._xlws.FILTER(_xlfn.DROP(_xlfn.ANCHORARRAY($HS$4),1),_xlfn.TAKE(_xlfn.DROP(_xlfn.ANCHORARRAY($HS$4),1),,1)=4),7),IF(_xlpm.v="",NA(),_xlpm.v))</f>
      </c>
      <c r="HQ155" cm="1">
        <f t="array" ref="HQ155:HQ172">-_xlfn.ANCHORARRAY($HP$155)</f>
      </c>
      <c r="HR155" cm="1">
        <f t="array" ref="HR155">IFERROR(INDEX(_xlfn._xlws.FILTER(_xlfn.DROP(_xlfn.ANCHORARRAY($HS$4),1),_xlfn.TAKE(_xlfn.DROP(_xlfn.ANCHORARRAY($HS$4),1),,1)=4),1,2),"")</f>
      </c>
    </row>
    <row r="156" spans="93:233" x14ac:dyDescent="0.55000000000000004">
      <c r="GQ156">
        <f ca="1"/>
      </c>
      <c r="GR156" s="11">
        <f ca="1"/>
      </c>
      <c r="GS156" s="11">
        <f ca="1"/>
      </c>
      <c r="GT156" s="11">
        <f ca="1"/>
      </c>
      <c r="GU156" s="11">
        <f ca="1"/>
      </c>
      <c r="GV156" s="11">
        <f ca="1"/>
      </c>
      <c r="HE156">
        <f ca="1"/>
      </c>
    </row>
    <row r="157" spans="93:233" x14ac:dyDescent="0.55000000000000004">
      <c r="GQ157">
        <f ca="1"/>
      </c>
      <c r="GR157" s="11">
        <f ca="1"/>
      </c>
      <c r="GS157" s="11">
        <f ca="1"/>
      </c>
      <c r="GT157" s="11">
        <f ca="1"/>
      </c>
      <c r="GU157" s="11">
        <f ca="1"/>
      </c>
      <c r="GV157" s="11">
        <f ca="1"/>
      </c>
      <c r="HE157">
        <f ca="1"/>
      </c>
    </row>
    <row r="158" spans="93:233" x14ac:dyDescent="0.55000000000000004">
      <c r="GQ158">
        <f ca="1"/>
      </c>
      <c r="GR158" s="11">
        <f ca="1"/>
      </c>
      <c r="GS158" s="11">
        <f ca="1"/>
      </c>
      <c r="GT158" s="11">
        <f ca="1"/>
      </c>
      <c r="GU158" s="11">
        <f ca="1"/>
      </c>
      <c r="GV158" s="11">
        <f ca="1"/>
      </c>
      <c r="HE158">
        <f ca="1"/>
      </c>
    </row>
    <row r="159" spans="93:233" x14ac:dyDescent="0.55000000000000004">
      <c r="GQ159">
        <f ca="1"/>
      </c>
      <c r="GR159" s="11">
        <f ca="1"/>
      </c>
      <c r="GS159" s="11">
        <f ca="1"/>
      </c>
      <c r="GT159" s="11">
        <f ca="1"/>
      </c>
      <c r="GU159" s="11">
        <f ca="1"/>
      </c>
      <c r="GV159" s="11">
        <f ca="1"/>
      </c>
      <c r="HE159">
        <f ca="1"/>
      </c>
    </row>
    <row r="160" spans="93:233" x14ac:dyDescent="0.55000000000000004">
      <c r="GQ160">
        <f ca="1"/>
      </c>
      <c r="GR160" s="11">
        <f ca="1"/>
      </c>
      <c r="GS160" s="11">
        <f ca="1"/>
      </c>
      <c r="GT160" s="11">
        <f ca="1"/>
      </c>
      <c r="GU160" s="11">
        <f ca="1"/>
      </c>
      <c r="GV160" s="11">
        <f ca="1"/>
      </c>
      <c r="HE160">
        <f ca="1"/>
      </c>
    </row>
    <row r="161" spans="93:233" x14ac:dyDescent="0.55000000000000004">
      <c r="GQ161">
        <f ca="1"/>
      </c>
      <c r="GR161" s="11">
        <f ca="1"/>
      </c>
      <c r="GS161" s="11">
        <f ca="1"/>
      </c>
      <c r="GT161" s="11">
        <f ca="1"/>
      </c>
      <c r="GU161" s="11">
        <f ca="1"/>
      </c>
      <c r="GV161" s="11">
        <f ca="1"/>
      </c>
      <c r="HE161">
        <f ca="1"/>
      </c>
    </row>
    <row r="162" spans="93:233" x14ac:dyDescent="0.55000000000000004">
      <c r="GQ162">
        <f ca="1"/>
      </c>
      <c r="GR162" s="11">
        <f ca="1"/>
      </c>
      <c r="GS162" s="11">
        <f ca="1"/>
      </c>
      <c r="GT162" s="11">
        <f ca="1"/>
      </c>
      <c r="GU162" s="11">
        <f ca="1"/>
      </c>
      <c r="GV162" s="11">
        <f ca="1"/>
      </c>
      <c r="HE162">
        <f ca="1"/>
      </c>
    </row>
    <row r="163" spans="93:233" x14ac:dyDescent="0.55000000000000004">
      <c r="GQ163">
        <f ca="1"/>
      </c>
      <c r="GR163" s="11">
        <f ca="1"/>
      </c>
      <c r="GS163" s="11">
        <f ca="1"/>
      </c>
      <c r="GT163" s="11">
        <f ca="1"/>
      </c>
      <c r="GU163" s="11">
        <f ca="1"/>
      </c>
      <c r="GV163" s="11">
        <f ca="1"/>
      </c>
      <c r="HE163">
        <f ca="1"/>
      </c>
    </row>
    <row r="164" spans="93:233" x14ac:dyDescent="0.55000000000000004">
      <c r="GQ164">
        <f ca="1"/>
      </c>
      <c r="GR164" s="11">
        <f ca="1"/>
      </c>
      <c r="GS164" s="11">
        <f ca="1"/>
      </c>
      <c r="GT164" s="11">
        <f ca="1"/>
      </c>
      <c r="GU164" s="11">
        <f ca="1"/>
      </c>
      <c r="GV164" s="11">
        <f ca="1"/>
      </c>
      <c r="HE164">
        <f ca="1"/>
      </c>
    </row>
    <row r="165" spans="93:233" x14ac:dyDescent="0.55000000000000004">
      <c r="GQ165">
        <f ca="1"/>
      </c>
      <c r="GR165" s="11">
        <f ca="1"/>
      </c>
      <c r="GS165" s="11">
        <f ca="1"/>
      </c>
      <c r="GT165" s="11">
        <f ca="1"/>
      </c>
      <c r="GU165" s="11">
        <f ca="1"/>
      </c>
      <c r="GV165" s="11">
        <f ca="1"/>
      </c>
      <c r="HE165">
        <f ca="1"/>
      </c>
    </row>
    <row r="166" spans="93:233" x14ac:dyDescent="0.55000000000000004">
      <c r="GQ166">
        <f ca="1"/>
      </c>
      <c r="GR166" s="11">
        <f ca="1"/>
      </c>
      <c r="GS166" s="11">
        <f ca="1"/>
      </c>
      <c r="GT166" s="11">
        <f ca="1"/>
      </c>
      <c r="GU166" s="11">
        <f ca="1"/>
      </c>
      <c r="GV166" s="11">
        <f ca="1"/>
      </c>
      <c r="HE166">
        <f ca="1"/>
      </c>
    </row>
    <row r="167" spans="93:233" x14ac:dyDescent="0.55000000000000004">
      <c r="GQ167">
        <f ca="1"/>
      </c>
      <c r="GR167" s="11">
        <f ca="1"/>
      </c>
      <c r="GS167" s="11">
        <f ca="1"/>
      </c>
      <c r="GT167" s="11">
        <f ca="1"/>
      </c>
      <c r="GU167" s="11">
        <f ca="1"/>
      </c>
      <c r="GV167" s="11">
        <f ca="1"/>
      </c>
      <c r="HE167">
        <f ca="1"/>
      </c>
    </row>
    <row r="168" spans="93:233" x14ac:dyDescent="0.55000000000000004">
      <c r="GQ168">
        <f ca="1"/>
      </c>
      <c r="GR168" s="11">
        <f ca="1"/>
      </c>
      <c r="GS168" s="11">
        <f ca="1"/>
      </c>
      <c r="GT168" s="11">
        <f ca="1"/>
      </c>
      <c r="GU168" s="11">
        <f ca="1"/>
      </c>
      <c r="GV168" s="11">
        <f ca="1"/>
      </c>
      <c r="HE168">
        <f ca="1"/>
      </c>
    </row>
    <row r="169" spans="93:233" x14ac:dyDescent="0.55000000000000004">
      <c r="GQ169">
        <f ca="1"/>
      </c>
      <c r="GR169" s="11">
        <f ca="1"/>
      </c>
      <c r="GS169" s="11">
        <f ca="1"/>
      </c>
      <c r="GT169" s="11">
        <f ca="1"/>
      </c>
      <c r="GU169" s="11">
        <f ca="1"/>
      </c>
      <c r="GV169" s="11">
        <f ca="1"/>
      </c>
      <c r="HE169">
        <f ca="1"/>
      </c>
    </row>
    <row r="170" spans="93:233" x14ac:dyDescent="0.55000000000000004">
      <c r="GQ170">
        <f ca="1"/>
      </c>
      <c r="GR170" s="11">
        <f ca="1"/>
      </c>
      <c r="GS170" s="11">
        <f ca="1"/>
      </c>
      <c r="GT170" s="11">
        <f ca="1"/>
      </c>
      <c r="GU170" s="11">
        <f ca="1"/>
      </c>
      <c r="GV170" s="11">
        <f ca="1"/>
      </c>
      <c r="HE170">
        <f ca="1"/>
      </c>
    </row>
    <row r="171" spans="93:233" x14ac:dyDescent="0.55000000000000004">
      <c r="GQ171">
        <f ca="1"/>
      </c>
      <c r="GR171" s="11">
        <f ca="1"/>
      </c>
      <c r="GS171" s="11">
        <f ca="1"/>
      </c>
      <c r="GT171" s="11">
        <f ca="1"/>
      </c>
      <c r="GU171" s="11">
        <f ca="1"/>
      </c>
      <c r="GV171" s="11">
        <f ca="1"/>
      </c>
      <c r="HE171">
        <f ca="1"/>
      </c>
    </row>
    <row r="172" spans="93:233" x14ac:dyDescent="0.55000000000000004">
      <c r="GQ172">
        <f ca="1"/>
      </c>
      <c r="GR172" s="11">
        <f ca="1"/>
      </c>
      <c r="GS172" s="11">
        <f ca="1"/>
      </c>
      <c r="GT172" s="11">
        <f ca="1"/>
      </c>
      <c r="GU172" s="11">
        <f ca="1"/>
      </c>
      <c r="GV172" s="11">
        <f ca="1"/>
      </c>
      <c r="HE172">
        <f ca="1"/>
      </c>
    </row>
    <row r="173" spans="93:233" x14ac:dyDescent="0.55000000000000004">
      <c r="GR173" s="11"/>
      <c r="GS173" s="11"/>
      <c r="GT173" s="11"/>
      <c r="GU173" s="11"/>
      <c r="GV173" s="11"/>
    </row>
    <row r="174" spans="93:233" x14ac:dyDescent="0.55000000000000004">
      <c r="GR174" s="11"/>
      <c r="GS174" s="11"/>
      <c r="GT174" s="11"/>
      <c r="GU174" s="11"/>
      <c r="GV174" s="11"/>
    </row>
    <row r="175" spans="93:233" x14ac:dyDescent="0.55000000000000004">
      <c r="GR175" s="11"/>
      <c r="GS175" s="11"/>
      <c r="GT175" s="11"/>
      <c r="GU175" s="11"/>
      <c r="GV175" s="11"/>
    </row>
    <row r="176" spans="93:233" x14ac:dyDescent="0.55000000000000004">
      <c r="GR176" s="11"/>
      <c r="GS176" s="11"/>
      <c r="GT176" s="11"/>
      <c r="GU176" s="11"/>
      <c r="GV176" s="11"/>
    </row>
    <row r="177" spans="93:233" x14ac:dyDescent="0.55000000000000004">
      <c r="GR177" s="11"/>
      <c r="GS177" s="11"/>
      <c r="GT177" s="11"/>
      <c r="GU177" s="11"/>
      <c r="GV177" s="11"/>
    </row>
    <row r="178" spans="93:233" x14ac:dyDescent="0.55000000000000004">
      <c r="GR178" s="11"/>
      <c r="GS178" s="11"/>
      <c r="GT178" s="11"/>
      <c r="GU178" s="11"/>
      <c r="GV178" s="11"/>
    </row>
    <row r="179" spans="93:233" x14ac:dyDescent="0.55000000000000004">
      <c r="GR179" s="11"/>
      <c r="GS179" s="11"/>
      <c r="GT179" s="11"/>
      <c r="GU179" s="11"/>
      <c r="GV179" s="11"/>
    </row>
    <row r="180" spans="93:233" x14ac:dyDescent="0.55000000000000004">
      <c r="GR180" s="11"/>
      <c r="GS180" s="11"/>
      <c r="GT180" s="11"/>
      <c r="GU180" s="11"/>
      <c r="GV180" s="11"/>
    </row>
    <row r="181" spans="93:233" x14ac:dyDescent="0.55000000000000004">
      <c r="GR181" s="11"/>
      <c r="GS181" s="11"/>
      <c r="GT181" s="11"/>
      <c r="GU181" s="11"/>
      <c r="GV181" s="11"/>
    </row>
    <row r="182" spans="93:233" x14ac:dyDescent="0.55000000000000004">
      <c r="GR182" s="11"/>
      <c r="GS182" s="11"/>
      <c r="GT182" s="11"/>
      <c r="GU182" s="11"/>
      <c r="GV182" s="11"/>
    </row>
    <row r="183" spans="93:233" x14ac:dyDescent="0.55000000000000004">
      <c r="GR183" s="11"/>
      <c r="GS183" s="11"/>
      <c r="GT183" s="11"/>
      <c r="GU183" s="11"/>
      <c r="GV183" s="11"/>
    </row>
    <row r="184" spans="93:233" x14ac:dyDescent="0.55000000000000004">
      <c r="GR184" s="11"/>
      <c r="GS184" s="11"/>
      <c r="GT184" s="11"/>
      <c r="GU184" s="11"/>
      <c r="GV184" s="11"/>
    </row>
    <row r="185" spans="93:233" x14ac:dyDescent="0.55000000000000004">
      <c r="GR185" s="11"/>
      <c r="GS185" s="11"/>
      <c r="GT185" s="11"/>
      <c r="GU185" s="11"/>
      <c r="GV185" s="11"/>
    </row>
    <row r="186" spans="93:233" x14ac:dyDescent="0.55000000000000004">
      <c r="GR186" s="11"/>
      <c r="GS186" s="11"/>
      <c r="GT186" s="11"/>
      <c r="GU186" s="11"/>
      <c r="GV186" s="11"/>
    </row>
    <row r="187" spans="93:233" x14ac:dyDescent="0.55000000000000004">
      <c r="GR187" s="11"/>
      <c r="GS187" s="11"/>
      <c r="GT187" s="11"/>
      <c r="GU187" s="11"/>
      <c r="GV187" s="11"/>
    </row>
    <row r="188" spans="93:233" x14ac:dyDescent="0.55000000000000004">
      <c r="GR188" s="11"/>
      <c r="GS188" s="11"/>
      <c r="GT188" s="11"/>
      <c r="GU188" s="11"/>
      <c r="GV188" s="11"/>
    </row>
    <row r="189" spans="93:233" x14ac:dyDescent="0.55000000000000004">
      <c r="GR189" s="11"/>
      <c r="GS189" s="11"/>
      <c r="GT189" s="11"/>
      <c r="GU189" s="11"/>
      <c r="GV189" s="11"/>
    </row>
    <row r="190" spans="93:233" x14ac:dyDescent="0.55000000000000004">
      <c r="GR190" s="11"/>
      <c r="GS190" s="11"/>
      <c r="GT190" s="11"/>
      <c r="GU190" s="11"/>
      <c r="GV190" s="11"/>
    </row>
    <row r="191" spans="93:233" x14ac:dyDescent="0.55000000000000004">
      <c r="GR191" s="11"/>
      <c r="GS191" s="11"/>
      <c r="GT191" s="11"/>
      <c r="GU191" s="11"/>
      <c r="GV191" s="11"/>
    </row>
    <row r="192" spans="93:233" x14ac:dyDescent="0.55000000000000004">
      <c r="GR192" s="11"/>
      <c r="GS192" s="11"/>
      <c r="GT192" s="11"/>
      <c r="GU192" s="11"/>
      <c r="GV192" s="11"/>
    </row>
    <row r="193" spans="146:226" x14ac:dyDescent="0.55000000000000004">
      <c r="GR193" s="11"/>
      <c r="GS193" s="11"/>
      <c r="GT193" s="11"/>
      <c r="GU193" s="11"/>
      <c r="GV193" s="11"/>
    </row>
    <row r="194" spans="146:226" x14ac:dyDescent="0.55000000000000004">
      <c r="GR194" s="11"/>
      <c r="GS194" s="11"/>
      <c r="GT194" s="11"/>
      <c r="GU194" s="11"/>
      <c r="GV194" s="11"/>
    </row>
    <row r="195" spans="146:226" x14ac:dyDescent="0.55000000000000004">
      <c r="GR195" s="11"/>
      <c r="GS195" s="11"/>
      <c r="GT195" s="11"/>
      <c r="GU195" s="11"/>
      <c r="GV195" s="11"/>
    </row>
    <row r="196" spans="146:226" x14ac:dyDescent="0.55000000000000004">
      <c r="GR196" s="11"/>
      <c r="GS196" s="11"/>
      <c r="GT196" s="11"/>
      <c r="GU196" s="11"/>
      <c r="GV196" s="11"/>
    </row>
    <row r="204" spans="146:226" x14ac:dyDescent="0.55000000000000004">
      <c r="EP204" t="s">
        <v>157</v>
      </c>
      <c r="EQ204" cm="1">
        <f t="array" ref="EQ204:FR221">_xlfn.LET(_xlpm.g,_xlfn.DROP(_xlfn.ANCHORARRAY($CO$4),1),_xlfn._xlws.FILTER(_xlpm.g,_xlfn.TAKE(_xlpm.g,,1)=5))</f>
      </c>
      <c r="GQ204" t="s">
        <v>170</v>
      </c>
      <c r="GR204" cm="1">
        <f t="array" aca="1" ref="GR204" ca="1">IFERROR(_xlfn.LET(_xlpm.R,_xlfn.ANCHORARRAY($GR$205),_xlpm.a,ABS(_xlpm.R),"k="&amp;$D$12&amp;"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04" cm="1">
        <f t="array" aca="1" ref="GS204" ca="1">IFERROR(_xlfn.LET(_xlpm.R,_xlfn.ANCHORARRAY($GS$205),_xlpm.a,ABS(_xlpm.R),"k="&amp;$D$28&amp;"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04" cm="1">
        <f t="array" aca="1" ref="GT204" ca="1">IFERROR(_xlfn.LET(_xlpm.R,_xlfn.ANCHORARRAY($GT$205),_xlpm.a,ABS(_xlpm.R),"k="&amp;$D$44&amp;"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04" cm="1">
        <f t="array" aca="1" ref="GU204" ca="1">IFERROR(_xlfn.LET(_xlpm.R,_xlfn.ANCHORARRAY($GU$205),_xlpm.a,ABS(_xlpm.R),"k="&amp;$D$60&amp;"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04" cm="1">
        <f t="array" aca="1" ref="GV204" ca="1">IFERROR(_xlfn.LET(_xlpm.R,_xlfn.ANCHORARRAY($GV$205),_xlpm.a,ABS(_xlpm.R),"k="&amp;$D$76&amp;"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04" t="s">
        <v>44</v>
      </c>
      <c r="GY204" t="s">
        <v>45</v>
      </c>
      <c r="GZ204" t="s">
        <v>46</v>
      </c>
      <c r="HA204" t="s">
        <v>47</v>
      </c>
      <c r="HB204" t="s">
        <v>48</v>
      </c>
      <c r="HD204" t="s">
        <v>175</v>
      </c>
      <c r="HE204">
        <f>"Actual / Mean / Recon (k="&amp;$D$108&amp;")  dashed: Mean ±1σ"</f>
      </c>
      <c r="HF204" t="s">
        <v>176</v>
      </c>
      <c r="HG204" t="s">
        <v>177</v>
      </c>
      <c r="HH204" t="s">
        <v>180</v>
      </c>
      <c r="HI204" t="s">
        <v>181</v>
      </c>
      <c r="HJ204" t="s">
        <v>182</v>
      </c>
      <c r="HK204" t="s">
        <v>183</v>
      </c>
      <c r="HL204" t="s">
        <v>184</v>
      </c>
      <c r="HM204" t="s">
        <v>185</v>
      </c>
      <c r="HN204" t="s">
        <v>186</v>
      </c>
      <c r="HO204" t="s">
        <v>187</v>
      </c>
      <c r="HP204" t="s">
        <v>188</v>
      </c>
      <c r="HQ204" t="s">
        <v>189</v>
      </c>
      <c r="HR204" t="s">
        <v>190</v>
      </c>
    </row>
    <row r="205" spans="146:226" x14ac:dyDescent="0.55000000000000004">
      <c r="GQ205" cm="1">
        <f t="array" aca="1" ref="GQ205:GQ222" ca="1">IF($AG$6="Change",_xlfn.ANCHORARRAY($CJ$4),_xlfn.ANCHORARRAY($CI$4))</f>
      </c>
      <c r="GR205" s="11" cm="1">
        <f t="array" aca="1" ref="GR205:GR222" ca="1">_xlfn.LET(_xlpm.sl,_xlfn.ANCHORARRAY($EQ$204),_xlpm.mu,_xlfn.CHOOSECOLS(_xlpm.sl,8),_xlpm.sg,_xlfn.CHOOSECOLS(_xlpm.sl,9),_xlpm.x,_xlfn.ANCHORARRAY($GQ$205),_xlpm.V,_xlfn.TAKE(_xlfn.DROP(_xlpm.sl,,10),,$D$12),(_xlpm.x-(_xlpm.mu+_xlpm.sg*MMULT(_xlpm.V,MMULT(TRANSPOSE(_xlpm.V),(_xlpm.x-_xlpm.mu)/_xlpm.sg))))*100)</f>
      </c>
      <c r="GS205" s="11" cm="1">
        <f t="array" aca="1" ref="GS205:GS222" ca="1">_xlfn.LET(_xlpm.sl,_xlfn.ANCHORARRAY($EQ$204),_xlpm.mu,_xlfn.CHOOSECOLS(_xlpm.sl,8),_xlpm.sg,_xlfn.CHOOSECOLS(_xlpm.sl,9),_xlpm.x,_xlfn.ANCHORARRAY($GQ$205),_xlpm.V,_xlfn.TAKE(_xlfn.DROP(_xlpm.sl,,10),,$D$28),(_xlpm.x-(_xlpm.mu+_xlpm.sg*MMULT(_xlpm.V,MMULT(TRANSPOSE(_xlpm.V),(_xlpm.x-_xlpm.mu)/_xlpm.sg))))*100)</f>
      </c>
      <c r="GT205" s="11" cm="1">
        <f t="array" aca="1" ref="GT205:GT222" ca="1">_xlfn.LET(_xlpm.sl,_xlfn.ANCHORARRAY($EQ$204),_xlpm.mu,_xlfn.CHOOSECOLS(_xlpm.sl,8),_xlpm.sg,_xlfn.CHOOSECOLS(_xlpm.sl,9),_xlpm.x,_xlfn.ANCHORARRAY($GQ$205),_xlpm.V,_xlfn.TAKE(_xlfn.DROP(_xlpm.sl,,10),,$D$44),(_xlpm.x-(_xlpm.mu+_xlpm.sg*MMULT(_xlpm.V,MMULT(TRANSPOSE(_xlpm.V),(_xlpm.x-_xlpm.mu)/_xlpm.sg))))*100)</f>
      </c>
      <c r="GU205" s="11" cm="1">
        <f t="array" aca="1" ref="GU205:GU222" ca="1">_xlfn.LET(_xlpm.sl,_xlfn.ANCHORARRAY($EQ$204),_xlpm.mu,_xlfn.CHOOSECOLS(_xlpm.sl,8),_xlpm.sg,_xlfn.CHOOSECOLS(_xlpm.sl,9),_xlpm.x,_xlfn.ANCHORARRAY($GQ$205),_xlpm.V,_xlfn.TAKE(_xlfn.DROP(_xlpm.sl,,10),,$D$60),(_xlpm.x-(_xlpm.mu+_xlpm.sg*MMULT(_xlpm.V,MMULT(TRANSPOSE(_xlpm.V),(_xlpm.x-_xlpm.mu)/_xlpm.sg))))*100)</f>
      </c>
      <c r="GV205" s="11" cm="1">
        <f t="array" aca="1" ref="GV205:GV222" ca="1">_xlfn.LET(_xlpm.sl,_xlfn.ANCHORARRAY($EQ$204),_xlpm.mu,_xlfn.CHOOSECOLS(_xlpm.sl,8),_xlpm.sg,_xlfn.CHOOSECOLS(_xlpm.sl,9),_xlpm.x,_xlfn.ANCHORARRAY($GQ$205),_xlpm.V,_xlfn.TAKE(_xlfn.DROP(_xlpm.sl,,10),,$D$76),(_xlpm.x-(_xlpm.mu+_xlpm.sg*MMULT(_xlpm.V,MMULT(TRANSPOSE(_xlpm.V),(_xlpm.x-_xlpm.mu)/_xlpm.sg))))*100)</f>
      </c>
      <c r="GX205" cm="1">
        <f t="array" ref="GX205:GX222">_xlfn.LET(_xlpm.V,_xlfn.DROP(_xlfn.ANCHORARRAY($EQ$204),,10),IF(1&lt;=COLUMNS(_xlpm.V),_xlfn.CHOOSECOLS(_xlpm.V,1),IF(_xlfn.SEQUENCE(ROWS(_xlpm.V)),NA())))</f>
      </c>
      <c r="GY205" cm="1">
        <f t="array" ref="GY205:GY222">_xlfn.LET(_xlpm.V,_xlfn.DROP(_xlfn.ANCHORARRAY($EQ$204),,10),IF(2&lt;=COLUMNS(_xlpm.V),_xlfn.CHOOSECOLS(_xlpm.V,2),IF(_xlfn.SEQUENCE(ROWS(_xlpm.V)),NA())))</f>
      </c>
      <c r="GZ205" cm="1">
        <f t="array" ref="GZ205:GZ222">_xlfn.LET(_xlpm.V,_xlfn.DROP(_xlfn.ANCHORARRAY($EQ$204),,10),IF(3&lt;=COLUMNS(_xlpm.V),_xlfn.CHOOSECOLS(_xlpm.V,3),IF(_xlfn.SEQUENCE(ROWS(_xlpm.V)),NA())))</f>
      </c>
      <c r="HA205" cm="1">
        <f t="array" ref="HA205:HA222">_xlfn.LET(_xlpm.V,_xlfn.DROP(_xlfn.ANCHORARRAY($EQ$204),,10),IF(4&lt;=COLUMNS(_xlpm.V),_xlfn.CHOOSECOLS(_xlpm.V,4),IF(_xlfn.SEQUENCE(ROWS(_xlpm.V)),NA())))</f>
      </c>
      <c r="HB205" cm="1">
        <f t="array" ref="HB205:HB222">_xlfn.LET(_xlpm.V,_xlfn.DROP(_xlfn.ANCHORARRAY($EQ$204),,10),IF(5&lt;=COLUMNS(_xlpm.V),_xlfn.CHOOSECOLS(_xlpm.V,5),IF(_xlfn.SEQUENCE(ROWS(_xlpm.V)),NA())))</f>
      </c>
      <c r="HD205" cm="1">
        <f t="array" ref="HD205:HD222">_xlfn.CHOOSECOLS(_xlfn.ANCHORARRAY($EQ$204),8)</f>
      </c>
      <c r="HE205" cm="1">
        <f t="array" aca="1" ref="HE205:HE222" ca="1">_xlfn.LET(_xlpm.sl,_xlfn.ANCHORARRAY($EQ$204),_xlpm.mu,_xlfn.CHOOSECOLS(_xlpm.sl,8),_xlpm.sg,_xlfn.CHOOSECOLS(_xlpm.sl,9),_xlpm.x,_xlfn.ANCHORARRAY($GQ$205),_xlpm.V,_xlfn.TAKE(_xlfn.DROP(_xlpm.sl,,10),,$D$108),_xlpm.mu+_xlpm.sg*MMULT(_xlpm.V,MMULT(TRANSPOSE(_xlpm.V),(_xlpm.x-_xlpm.mu)/_xlpm.sg)))</f>
      </c>
      <c r="HF205" cm="1">
        <f t="array" ref="HF205:HF222">_xlfn.CHOOSECOLS(_xlfn.ANCHORARRAY($EQ$204),8)+_xlfn.CHOOSECOLS(_xlfn.ANCHORARRAY($EQ$204),10)</f>
      </c>
      <c r="HG205" cm="1">
        <f t="array" ref="HG205:HG222">_xlfn.CHOOSECOLS(_xlfn.ANCHORARRAY($EQ$204),8)-_xlfn.CHOOSECOLS(_xlfn.ANCHORARRAY($EQ$204),10)</f>
      </c>
      <c r="HH205" cm="1">
        <f t="array" ref="HH205:HH222">_xlfn.LET(_xlpm.v,_xlfn.CHOOSECOLS(_xlfn._xlws.FILTER(_xlfn.DROP(_xlfn.ANCHORARRAY($HS$4),1),_xlfn.TAKE(_xlfn.DROP(_xlfn.ANCHORARRAY($HS$4),1),,1)=5),3),IF(_xlpm.v="",NA(),_xlpm.v))</f>
      </c>
      <c r="HI205" cm="1">
        <f t="array" ref="HI205:HI222">-_xlfn.ANCHORARRAY($HH$205)</f>
      </c>
      <c r="HJ205" cm="1">
        <f t="array" ref="HJ205:HJ222">_xlfn.LET(_xlpm.v,_xlfn.CHOOSECOLS(_xlfn._xlws.FILTER(_xlfn.DROP(_xlfn.ANCHORARRAY($HS$4),1),_xlfn.TAKE(_xlfn.DROP(_xlfn.ANCHORARRAY($HS$4),1),,1)=5),4),IF(_xlpm.v="",NA(),_xlpm.v))</f>
      </c>
      <c r="HK205" cm="1">
        <f t="array" ref="HK205:HK222">-_xlfn.ANCHORARRAY($HJ$205)</f>
      </c>
      <c r="HL205" cm="1">
        <f t="array" ref="HL205:HL222">_xlfn.LET(_xlpm.v,_xlfn.CHOOSECOLS(_xlfn._xlws.FILTER(_xlfn.DROP(_xlfn.ANCHORARRAY($HS$4),1),_xlfn.TAKE(_xlfn.DROP(_xlfn.ANCHORARRAY($HS$4),1),,1)=5),5),IF(_xlpm.v="",NA(),_xlpm.v))</f>
      </c>
      <c r="HM205" cm="1">
        <f t="array" ref="HM205:HM222">-_xlfn.ANCHORARRAY($HL$205)</f>
      </c>
      <c r="HN205" cm="1">
        <f t="array" ref="HN205:HN222">_xlfn.LET(_xlpm.v,_xlfn.CHOOSECOLS(_xlfn._xlws.FILTER(_xlfn.DROP(_xlfn.ANCHORARRAY($HS$4),1),_xlfn.TAKE(_xlfn.DROP(_xlfn.ANCHORARRAY($HS$4),1),,1)=5),6),IF(_xlpm.v="",NA(),_xlpm.v))</f>
      </c>
      <c r="HO205" cm="1">
        <f t="array" ref="HO205:HO222">-_xlfn.ANCHORARRAY($HN$205)</f>
      </c>
      <c r="HP205" cm="1">
        <f t="array" ref="HP205:HP222">_xlfn.LET(_xlpm.v,_xlfn.CHOOSECOLS(_xlfn._xlws.FILTER(_xlfn.DROP(_xlfn.ANCHORARRAY($HS$4),1),_xlfn.TAKE(_xlfn.DROP(_xlfn.ANCHORARRAY($HS$4),1),,1)=5),7),IF(_xlpm.v="",NA(),_xlpm.v))</f>
      </c>
      <c r="HQ205" cm="1">
        <f t="array" ref="HQ205:HQ222">-_xlfn.ANCHORARRAY($HP$205)</f>
      </c>
      <c r="HR205" cm="1">
        <f t="array" ref="HR205">IFERROR(INDEX(_xlfn._xlws.FILTER(_xlfn.DROP(_xlfn.ANCHORARRAY($HS$4),1),_xlfn.TAKE(_xlfn.DROP(_xlfn.ANCHORARRAY($HS$4),1),,1)=5),1,2),"")</f>
      </c>
    </row>
    <row r="206" spans="146:226" x14ac:dyDescent="0.55000000000000004">
      <c r="GQ206">
        <f ca="1"/>
      </c>
      <c r="GR206" s="11">
        <f ca="1"/>
      </c>
      <c r="GS206" s="11">
        <f ca="1"/>
      </c>
      <c r="GT206" s="11">
        <f ca="1"/>
      </c>
      <c r="GU206" s="11">
        <f ca="1"/>
      </c>
      <c r="GV206" s="11">
        <f ca="1"/>
      </c>
      <c r="HE206">
        <f ca="1"/>
      </c>
    </row>
    <row r="207" spans="146:226" x14ac:dyDescent="0.55000000000000004">
      <c r="GQ207">
        <f ca="1"/>
      </c>
      <c r="GR207" s="11">
        <f ca="1"/>
      </c>
      <c r="GS207" s="11">
        <f ca="1"/>
      </c>
      <c r="GT207" s="11">
        <f ca="1"/>
      </c>
      <c r="GU207" s="11">
        <f ca="1"/>
      </c>
      <c r="GV207" s="11">
        <f ca="1"/>
      </c>
      <c r="HE207">
        <f ca="1"/>
      </c>
    </row>
    <row r="208" spans="146:226" x14ac:dyDescent="0.55000000000000004">
      <c r="GQ208">
        <f ca="1"/>
      </c>
      <c r="GR208" s="11">
        <f ca="1"/>
      </c>
      <c r="GS208" s="11">
        <f ca="1"/>
      </c>
      <c r="GT208" s="11">
        <f ca="1"/>
      </c>
      <c r="GU208" s="11">
        <f ca="1"/>
      </c>
      <c r="GV208" s="11">
        <f ca="1"/>
      </c>
      <c r="HE208">
        <f ca="1"/>
      </c>
    </row>
    <row r="209" spans="147:225" x14ac:dyDescent="0.55000000000000004">
      <c r="GQ209">
        <f ca="1"/>
      </c>
      <c r="GR209" s="11">
        <f ca="1"/>
      </c>
      <c r="GS209" s="11">
        <f ca="1"/>
      </c>
      <c r="GT209" s="11">
        <f ca="1"/>
      </c>
      <c r="GU209" s="11">
        <f ca="1"/>
      </c>
      <c r="GV209" s="11">
        <f ca="1"/>
      </c>
      <c r="HE209">
        <f ca="1"/>
      </c>
    </row>
    <row r="210" spans="147:225" x14ac:dyDescent="0.55000000000000004">
      <c r="GQ210">
        <f ca="1"/>
      </c>
      <c r="GR210" s="11">
        <f ca="1"/>
      </c>
      <c r="GS210" s="11">
        <f ca="1"/>
      </c>
      <c r="GT210" s="11">
        <f ca="1"/>
      </c>
      <c r="GU210" s="11">
        <f ca="1"/>
      </c>
      <c r="GV210" s="11">
        <f ca="1"/>
      </c>
      <c r="HE210">
        <f ca="1"/>
      </c>
    </row>
    <row r="211" spans="147:225" x14ac:dyDescent="0.55000000000000004">
      <c r="GQ211">
        <f ca="1"/>
      </c>
      <c r="GR211" s="11">
        <f ca="1"/>
      </c>
      <c r="GS211" s="11">
        <f ca="1"/>
      </c>
      <c r="GT211" s="11">
        <f ca="1"/>
      </c>
      <c r="GU211" s="11">
        <f ca="1"/>
      </c>
      <c r="GV211" s="11">
        <f ca="1"/>
      </c>
      <c r="HE211">
        <f ca="1"/>
      </c>
    </row>
    <row r="212" spans="147:225" x14ac:dyDescent="0.55000000000000004">
      <c r="GQ212">
        <f ca="1"/>
      </c>
      <c r="GR212" s="11">
        <f ca="1"/>
      </c>
      <c r="GS212" s="11">
        <f ca="1"/>
      </c>
      <c r="GT212" s="11">
        <f ca="1"/>
      </c>
      <c r="GU212" s="11">
        <f ca="1"/>
      </c>
      <c r="GV212" s="11">
        <f ca="1"/>
      </c>
      <c r="HE212">
        <f ca="1"/>
      </c>
    </row>
    <row r="213" spans="147:225" x14ac:dyDescent="0.55000000000000004">
      <c r="GQ213">
        <f ca="1"/>
      </c>
      <c r="GR213" s="11">
        <f ca="1"/>
      </c>
      <c r="GS213" s="11">
        <f ca="1"/>
      </c>
      <c r="GT213" s="11">
        <f ca="1"/>
      </c>
      <c r="GU213" s="11">
        <f ca="1"/>
      </c>
      <c r="GV213" s="11">
        <f ca="1"/>
      </c>
      <c r="HE213">
        <f ca="1"/>
      </c>
    </row>
    <row r="214" spans="147:225" x14ac:dyDescent="0.55000000000000004">
      <c r="GQ214">
        <f ca="1"/>
      </c>
      <c r="GR214" s="11">
        <f ca="1"/>
      </c>
      <c r="GS214" s="11">
        <f ca="1"/>
      </c>
      <c r="GT214" s="11">
        <f ca="1"/>
      </c>
      <c r="GU214" s="11">
        <f ca="1"/>
      </c>
      <c r="GV214" s="11">
        <f ca="1"/>
      </c>
      <c r="HE214">
        <f ca="1"/>
      </c>
    </row>
    <row r="215" spans="147:225" x14ac:dyDescent="0.55000000000000004">
      <c r="GQ215">
        <f ca="1"/>
      </c>
      <c r="GR215" s="11">
        <f ca="1"/>
      </c>
      <c r="GS215" s="11">
        <f ca="1"/>
      </c>
      <c r="GT215" s="11">
        <f ca="1"/>
      </c>
      <c r="GU215" s="11">
        <f ca="1"/>
      </c>
      <c r="GV215" s="11">
        <f ca="1"/>
      </c>
      <c r="HE215">
        <f ca="1"/>
      </c>
    </row>
    <row r="216" spans="147:225" x14ac:dyDescent="0.55000000000000004">
      <c r="GQ216">
        <f ca="1"/>
      </c>
      <c r="GR216" s="11">
        <f ca="1"/>
      </c>
      <c r="GS216" s="11">
        <f ca="1"/>
      </c>
      <c r="GT216" s="11">
        <f ca="1"/>
      </c>
      <c r="GU216" s="11">
        <f ca="1"/>
      </c>
      <c r="GV216" s="11">
        <f ca="1"/>
      </c>
      <c r="HE216">
        <f ca="1"/>
      </c>
    </row>
    <row r="217" spans="147:225" x14ac:dyDescent="0.55000000000000004">
      <c r="GQ217">
        <f ca="1"/>
      </c>
      <c r="GR217" s="11">
        <f ca="1"/>
      </c>
      <c r="GS217" s="11">
        <f ca="1"/>
      </c>
      <c r="GT217" s="11">
        <f ca="1"/>
      </c>
      <c r="GU217" s="11">
        <f ca="1"/>
      </c>
      <c r="GV217" s="11">
        <f ca="1"/>
      </c>
      <c r="HE217">
        <f ca="1"/>
      </c>
    </row>
    <row r="218" spans="147:225" x14ac:dyDescent="0.55000000000000004">
      <c r="GQ218">
        <f ca="1"/>
      </c>
      <c r="GR218" s="11">
        <f ca="1"/>
      </c>
      <c r="GS218" s="11">
        <f ca="1"/>
      </c>
      <c r="GT218" s="11">
        <f ca="1"/>
      </c>
      <c r="GU218" s="11">
        <f ca="1"/>
      </c>
      <c r="GV218" s="11">
        <f ca="1"/>
      </c>
      <c r="HE218">
        <f ca="1"/>
      </c>
    </row>
    <row r="219" spans="147:225" x14ac:dyDescent="0.55000000000000004">
      <c r="GQ219">
        <f ca="1"/>
      </c>
      <c r="GR219" s="11">
        <f ca="1"/>
      </c>
      <c r="GS219" s="11">
        <f ca="1"/>
      </c>
      <c r="GT219" s="11">
        <f ca="1"/>
      </c>
      <c r="GU219" s="11">
        <f ca="1"/>
      </c>
      <c r="GV219" s="11">
        <f ca="1"/>
      </c>
      <c r="HE219">
        <f ca="1"/>
      </c>
    </row>
    <row r="220" spans="147:225" x14ac:dyDescent="0.55000000000000004">
      <c r="GQ220">
        <f ca="1"/>
      </c>
      <c r="GR220" s="11">
        <f ca="1"/>
      </c>
      <c r="GS220" s="11">
        <f ca="1"/>
      </c>
      <c r="GT220" s="11">
        <f ca="1"/>
      </c>
      <c r="GU220" s="11">
        <f ca="1"/>
      </c>
      <c r="GV220" s="11">
        <f ca="1"/>
      </c>
      <c r="HE220">
        <f ca="1"/>
      </c>
    </row>
    <row r="221" spans="147:225" x14ac:dyDescent="0.55000000000000004">
      <c r="GQ221">
        <f ca="1"/>
      </c>
      <c r="GR221" s="11">
        <f ca="1"/>
      </c>
      <c r="GS221" s="11">
        <f ca="1"/>
      </c>
      <c r="GT221" s="11">
        <f ca="1"/>
      </c>
      <c r="GU221" s="11">
        <f ca="1"/>
      </c>
      <c r="GV221" s="11">
        <f ca="1"/>
      </c>
      <c r="HE221">
        <f ca="1"/>
      </c>
    </row>
    <row r="222" spans="147:225" x14ac:dyDescent="0.55000000000000004">
      <c r="GQ222">
        <f ca="1"/>
      </c>
      <c r="GR222" s="11">
        <f ca="1"/>
      </c>
      <c r="GS222" s="11">
        <f ca="1"/>
      </c>
      <c r="GT222" s="11">
        <f ca="1"/>
      </c>
      <c r="GU222" s="11">
        <f ca="1"/>
      </c>
      <c r="GV222" s="11">
        <f ca="1"/>
      </c>
      <c r="HE222">
        <f ca="1"/>
      </c>
    </row>
    <row r="223" spans="147:225" x14ac:dyDescent="0.55000000000000004">
      <c r="GR223" s="11"/>
      <c r="GS223" s="11"/>
      <c r="GT223" s="11"/>
      <c r="GU223" s="11"/>
      <c r="GV223" s="11"/>
    </row>
    <row r="224" spans="147:225" x14ac:dyDescent="0.55000000000000004">
      <c r="GR224" s="11"/>
      <c r="GS224" s="11"/>
      <c r="GT224" s="11"/>
      <c r="GU224" s="11"/>
      <c r="GV224" s="11"/>
    </row>
    <row r="225" spans="200:204" x14ac:dyDescent="0.55000000000000004">
      <c r="GR225" s="11"/>
      <c r="GS225" s="11"/>
      <c r="GT225" s="11"/>
      <c r="GU225" s="11"/>
      <c r="GV225" s="11"/>
    </row>
    <row r="226" spans="200:204" x14ac:dyDescent="0.55000000000000004">
      <c r="GR226" s="11"/>
      <c r="GS226" s="11"/>
      <c r="GT226" s="11"/>
      <c r="GU226" s="11"/>
      <c r="GV226" s="11"/>
    </row>
    <row r="227" spans="200:204" x14ac:dyDescent="0.55000000000000004">
      <c r="GR227" s="11"/>
      <c r="GS227" s="11"/>
      <c r="GT227" s="11"/>
      <c r="GU227" s="11"/>
      <c r="GV227" s="11"/>
    </row>
    <row r="228" spans="200:204" x14ac:dyDescent="0.55000000000000004">
      <c r="GR228" s="11"/>
      <c r="GS228" s="11"/>
      <c r="GT228" s="11"/>
      <c r="GU228" s="11"/>
      <c r="GV228" s="11"/>
    </row>
    <row r="229" spans="200:204" x14ac:dyDescent="0.55000000000000004">
      <c r="GR229" s="11"/>
      <c r="GS229" s="11"/>
      <c r="GT229" s="11"/>
      <c r="GU229" s="11"/>
      <c r="GV229" s="11"/>
    </row>
    <row r="230" spans="200:204" x14ac:dyDescent="0.55000000000000004">
      <c r="GR230" s="11"/>
      <c r="GS230" s="11"/>
      <c r="GT230" s="11"/>
      <c r="GU230" s="11"/>
      <c r="GV230" s="11"/>
    </row>
    <row r="231" spans="200:204" x14ac:dyDescent="0.55000000000000004">
      <c r="GR231" s="11"/>
      <c r="GS231" s="11"/>
      <c r="GT231" s="11"/>
      <c r="GU231" s="11"/>
      <c r="GV231" s="11"/>
    </row>
    <row r="232" spans="200:204" x14ac:dyDescent="0.55000000000000004">
      <c r="GR232" s="11"/>
      <c r="GS232" s="11"/>
      <c r="GT232" s="11"/>
      <c r="GU232" s="11"/>
      <c r="GV232" s="11"/>
    </row>
    <row r="233" spans="200:204" x14ac:dyDescent="0.55000000000000004">
      <c r="GR233" s="11"/>
      <c r="GS233" s="11"/>
      <c r="GT233" s="11"/>
      <c r="GU233" s="11"/>
      <c r="GV233" s="11"/>
    </row>
    <row r="234" spans="200:204" x14ac:dyDescent="0.55000000000000004">
      <c r="GR234" s="11"/>
      <c r="GS234" s="11"/>
      <c r="GT234" s="11"/>
      <c r="GU234" s="11"/>
      <c r="GV234" s="11"/>
    </row>
    <row r="235" spans="200:204" x14ac:dyDescent="0.55000000000000004">
      <c r="GR235" s="11"/>
      <c r="GS235" s="11"/>
      <c r="GT235" s="11"/>
      <c r="GU235" s="11"/>
      <c r="GV235" s="11"/>
    </row>
    <row r="236" spans="200:204" x14ac:dyDescent="0.55000000000000004">
      <c r="GR236" s="11"/>
      <c r="GS236" s="11"/>
      <c r="GT236" s="11"/>
      <c r="GU236" s="11"/>
      <c r="GV236" s="11"/>
    </row>
    <row r="237" spans="200:204" x14ac:dyDescent="0.55000000000000004">
      <c r="GR237" s="11"/>
      <c r="GS237" s="11"/>
      <c r="GT237" s="11"/>
      <c r="GU237" s="11"/>
      <c r="GV237" s="11"/>
    </row>
    <row r="238" spans="200:204" x14ac:dyDescent="0.55000000000000004">
      <c r="GR238" s="11"/>
      <c r="GS238" s="11"/>
      <c r="GT238" s="11"/>
      <c r="GU238" s="11"/>
      <c r="GV238" s="11"/>
    </row>
    <row r="239" spans="200:204" x14ac:dyDescent="0.55000000000000004">
      <c r="GR239" s="11"/>
      <c r="GS239" s="11"/>
      <c r="GT239" s="11"/>
      <c r="GU239" s="11"/>
      <c r="GV239" s="11"/>
    </row>
    <row r="240" spans="200:204" x14ac:dyDescent="0.55000000000000004">
      <c r="GR240" s="11"/>
      <c r="GS240" s="11"/>
      <c r="GT240" s="11"/>
      <c r="GU240" s="11"/>
      <c r="GV240" s="11"/>
    </row>
    <row r="241" spans="146:226" x14ac:dyDescent="0.55000000000000004">
      <c r="GR241" s="11"/>
      <c r="GS241" s="11"/>
      <c r="GT241" s="11"/>
      <c r="GU241" s="11"/>
      <c r="GV241" s="11"/>
    </row>
    <row r="242" spans="146:226" x14ac:dyDescent="0.55000000000000004">
      <c r="GR242" s="11"/>
      <c r="GS242" s="11"/>
      <c r="GT242" s="11"/>
      <c r="GU242" s="11"/>
      <c r="GV242" s="11"/>
    </row>
    <row r="243" spans="146:226" x14ac:dyDescent="0.55000000000000004">
      <c r="GR243" s="11"/>
      <c r="GS243" s="11"/>
      <c r="GT243" s="11"/>
      <c r="GU243" s="11"/>
      <c r="GV243" s="11"/>
    </row>
    <row r="244" spans="146:226" x14ac:dyDescent="0.55000000000000004">
      <c r="GR244" s="11"/>
      <c r="GS244" s="11"/>
      <c r="GT244" s="11"/>
      <c r="GU244" s="11"/>
      <c r="GV244" s="11"/>
    </row>
    <row r="245" spans="146:226" x14ac:dyDescent="0.55000000000000004">
      <c r="GR245" s="11"/>
      <c r="GS245" s="11"/>
      <c r="GT245" s="11"/>
      <c r="GU245" s="11"/>
      <c r="GV245" s="11"/>
    </row>
    <row r="246" spans="146:226" x14ac:dyDescent="0.55000000000000004">
      <c r="GR246" s="11"/>
      <c r="GS246" s="11"/>
      <c r="GT246" s="11"/>
      <c r="GU246" s="11"/>
      <c r="GV246" s="11"/>
    </row>
    <row r="254" spans="146:226" x14ac:dyDescent="0.55000000000000004">
      <c r="EP254" t="s">
        <v>158</v>
      </c>
      <c r="EQ254" cm="1">
        <f t="array" ref="EQ254:FR271">_xlfn.LET(_xlpm.g,_xlfn.DROP(_xlfn.ANCHORARRAY($CO$4),1),_xlfn._xlws.FILTER(_xlpm.g,_xlfn.TAKE(_xlpm.g,,1)=6))</f>
      </c>
      <c r="GQ254" t="s">
        <v>170</v>
      </c>
      <c r="GR254" cm="1">
        <f t="array" aca="1" ref="GR254" ca="1">IFERROR(_xlfn.LET(_xlpm.R,_xlfn.ANCHORARRAY($GR$255),_xlpm.a,ABS(_xlpm.R),"k="&amp;$D$12&amp;"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54" cm="1">
        <f t="array" aca="1" ref="GS254" ca="1">IFERROR(_xlfn.LET(_xlpm.R,_xlfn.ANCHORARRAY($GS$255),_xlpm.a,ABS(_xlpm.R),"k="&amp;$D$28&amp;"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54" cm="1">
        <f t="array" aca="1" ref="GT254" ca="1">IFERROR(_xlfn.LET(_xlpm.R,_xlfn.ANCHORARRAY($GT$255),_xlpm.a,ABS(_xlpm.R),"k="&amp;$D$44&amp;"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54" cm="1">
        <f t="array" aca="1" ref="GU254" ca="1">IFERROR(_xlfn.LET(_xlpm.R,_xlfn.ANCHORARRAY($GU$255),_xlpm.a,ABS(_xlpm.R),"k="&amp;$D$60&amp;"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54" cm="1">
        <f t="array" aca="1" ref="GV254" ca="1">IFERROR(_xlfn.LET(_xlpm.R,_xlfn.ANCHORARRAY($GV$255),_xlpm.a,ABS(_xlpm.R),"k="&amp;$D$76&amp;"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54" t="s">
        <v>44</v>
      </c>
      <c r="GY254" t="s">
        <v>45</v>
      </c>
      <c r="GZ254" t="s">
        <v>46</v>
      </c>
      <c r="HA254" t="s">
        <v>47</v>
      </c>
      <c r="HB254" t="s">
        <v>48</v>
      </c>
      <c r="HD254" t="s">
        <v>175</v>
      </c>
      <c r="HE254">
        <f>"Actual / Mean / Recon (k="&amp;$D$108&amp;")  dashed: Mean ±1σ"</f>
      </c>
      <c r="HF254" t="s">
        <v>176</v>
      </c>
      <c r="HG254" t="s">
        <v>177</v>
      </c>
      <c r="HH254" t="s">
        <v>180</v>
      </c>
      <c r="HI254" t="s">
        <v>181</v>
      </c>
      <c r="HJ254" t="s">
        <v>182</v>
      </c>
      <c r="HK254" t="s">
        <v>183</v>
      </c>
      <c r="HL254" t="s">
        <v>184</v>
      </c>
      <c r="HM254" t="s">
        <v>185</v>
      </c>
      <c r="HN254" t="s">
        <v>186</v>
      </c>
      <c r="HO254" t="s">
        <v>187</v>
      </c>
      <c r="HP254" t="s">
        <v>188</v>
      </c>
      <c r="HQ254" t="s">
        <v>189</v>
      </c>
      <c r="HR254" t="s">
        <v>190</v>
      </c>
    </row>
    <row r="255" spans="146:226" x14ac:dyDescent="0.55000000000000004">
      <c r="GQ255" cm="1">
        <f t="array" aca="1" ref="GQ255:GQ272" ca="1">IF($AN$6="Change",_xlfn.ANCHORARRAY($CJ$4),_xlfn.ANCHORARRAY($CI$4))</f>
      </c>
      <c r="GR255" s="11" cm="1">
        <f t="array" aca="1" ref="GR255:GR272" ca="1">_xlfn.LET(_xlpm.sl,_xlfn.ANCHORARRAY($EQ$254),_xlpm.mu,_xlfn.CHOOSECOLS(_xlpm.sl,8),_xlpm.sg,_xlfn.CHOOSECOLS(_xlpm.sl,9),_xlpm.x,_xlfn.ANCHORARRAY($GQ$255),_xlpm.V,_xlfn.TAKE(_xlfn.DROP(_xlpm.sl,,10),,$D$12),(_xlpm.x-(_xlpm.mu+_xlpm.sg*MMULT(_xlpm.V,MMULT(TRANSPOSE(_xlpm.V),(_xlpm.x-_xlpm.mu)/_xlpm.sg))))*100)</f>
      </c>
      <c r="GS255" s="11" cm="1">
        <f t="array" aca="1" ref="GS255:GS272" ca="1">_xlfn.LET(_xlpm.sl,_xlfn.ANCHORARRAY($EQ$254),_xlpm.mu,_xlfn.CHOOSECOLS(_xlpm.sl,8),_xlpm.sg,_xlfn.CHOOSECOLS(_xlpm.sl,9),_xlpm.x,_xlfn.ANCHORARRAY($GQ$255),_xlpm.V,_xlfn.TAKE(_xlfn.DROP(_xlpm.sl,,10),,$D$28),(_xlpm.x-(_xlpm.mu+_xlpm.sg*MMULT(_xlpm.V,MMULT(TRANSPOSE(_xlpm.V),(_xlpm.x-_xlpm.mu)/_xlpm.sg))))*100)</f>
      </c>
      <c r="GT255" s="11" cm="1">
        <f t="array" aca="1" ref="GT255:GT272" ca="1">_xlfn.LET(_xlpm.sl,_xlfn.ANCHORARRAY($EQ$254),_xlpm.mu,_xlfn.CHOOSECOLS(_xlpm.sl,8),_xlpm.sg,_xlfn.CHOOSECOLS(_xlpm.sl,9),_xlpm.x,_xlfn.ANCHORARRAY($GQ$255),_xlpm.V,_xlfn.TAKE(_xlfn.DROP(_xlpm.sl,,10),,$D$44),(_xlpm.x-(_xlpm.mu+_xlpm.sg*MMULT(_xlpm.V,MMULT(TRANSPOSE(_xlpm.V),(_xlpm.x-_xlpm.mu)/_xlpm.sg))))*100)</f>
      </c>
      <c r="GU255" s="11" cm="1">
        <f t="array" aca="1" ref="GU255:GU272" ca="1">_xlfn.LET(_xlpm.sl,_xlfn.ANCHORARRAY($EQ$254),_xlpm.mu,_xlfn.CHOOSECOLS(_xlpm.sl,8),_xlpm.sg,_xlfn.CHOOSECOLS(_xlpm.sl,9),_xlpm.x,_xlfn.ANCHORARRAY($GQ$255),_xlpm.V,_xlfn.TAKE(_xlfn.DROP(_xlpm.sl,,10),,$D$60),(_xlpm.x-(_xlpm.mu+_xlpm.sg*MMULT(_xlpm.V,MMULT(TRANSPOSE(_xlpm.V),(_xlpm.x-_xlpm.mu)/_xlpm.sg))))*100)</f>
      </c>
      <c r="GV255" s="11" cm="1">
        <f t="array" aca="1" ref="GV255:GV272" ca="1">_xlfn.LET(_xlpm.sl,_xlfn.ANCHORARRAY($EQ$254),_xlpm.mu,_xlfn.CHOOSECOLS(_xlpm.sl,8),_xlpm.sg,_xlfn.CHOOSECOLS(_xlpm.sl,9),_xlpm.x,_xlfn.ANCHORARRAY($GQ$255),_xlpm.V,_xlfn.TAKE(_xlfn.DROP(_xlpm.sl,,10),,$D$76),(_xlpm.x-(_xlpm.mu+_xlpm.sg*MMULT(_xlpm.V,MMULT(TRANSPOSE(_xlpm.V),(_xlpm.x-_xlpm.mu)/_xlpm.sg))))*100)</f>
      </c>
      <c r="GX255" cm="1">
        <f t="array" ref="GX255:GX272">_xlfn.LET(_xlpm.V,_xlfn.DROP(_xlfn.ANCHORARRAY($EQ$254),,10),IF(1&lt;=COLUMNS(_xlpm.V),_xlfn.CHOOSECOLS(_xlpm.V,1),IF(_xlfn.SEQUENCE(ROWS(_xlpm.V)),NA())))</f>
      </c>
      <c r="GY255" cm="1">
        <f t="array" ref="GY255:GY272">_xlfn.LET(_xlpm.V,_xlfn.DROP(_xlfn.ANCHORARRAY($EQ$254),,10),IF(2&lt;=COLUMNS(_xlpm.V),_xlfn.CHOOSECOLS(_xlpm.V,2),IF(_xlfn.SEQUENCE(ROWS(_xlpm.V)),NA())))</f>
      </c>
      <c r="GZ255" cm="1">
        <f t="array" ref="GZ255:GZ272">_xlfn.LET(_xlpm.V,_xlfn.DROP(_xlfn.ANCHORARRAY($EQ$254),,10),IF(3&lt;=COLUMNS(_xlpm.V),_xlfn.CHOOSECOLS(_xlpm.V,3),IF(_xlfn.SEQUENCE(ROWS(_xlpm.V)),NA())))</f>
      </c>
      <c r="HA255" cm="1">
        <f t="array" ref="HA255:HA272">_xlfn.LET(_xlpm.V,_xlfn.DROP(_xlfn.ANCHORARRAY($EQ$254),,10),IF(4&lt;=COLUMNS(_xlpm.V),_xlfn.CHOOSECOLS(_xlpm.V,4),IF(_xlfn.SEQUENCE(ROWS(_xlpm.V)),NA())))</f>
      </c>
      <c r="HB255" cm="1">
        <f t="array" ref="HB255:HB272">_xlfn.LET(_xlpm.V,_xlfn.DROP(_xlfn.ANCHORARRAY($EQ$254),,10),IF(5&lt;=COLUMNS(_xlpm.V),_xlfn.CHOOSECOLS(_xlpm.V,5),IF(_xlfn.SEQUENCE(ROWS(_xlpm.V)),NA())))</f>
      </c>
      <c r="HD255" cm="1">
        <f t="array" ref="HD255:HD272">_xlfn.CHOOSECOLS(_xlfn.ANCHORARRAY($EQ$254),8)</f>
      </c>
      <c r="HE255" cm="1">
        <f t="array" aca="1" ref="HE255:HE272" ca="1">_xlfn.LET(_xlpm.sl,_xlfn.ANCHORARRAY($EQ$254),_xlpm.mu,_xlfn.CHOOSECOLS(_xlpm.sl,8),_xlpm.sg,_xlfn.CHOOSECOLS(_xlpm.sl,9),_xlpm.x,_xlfn.ANCHORARRAY($GQ$255),_xlpm.V,_xlfn.TAKE(_xlfn.DROP(_xlpm.sl,,10),,$D$108),_xlpm.mu+_xlpm.sg*MMULT(_xlpm.V,MMULT(TRANSPOSE(_xlpm.V),(_xlpm.x-_xlpm.mu)/_xlpm.sg)))</f>
      </c>
      <c r="HF255" cm="1">
        <f t="array" ref="HF255:HF272">_xlfn.CHOOSECOLS(_xlfn.ANCHORARRAY($EQ$254),8)+_xlfn.CHOOSECOLS(_xlfn.ANCHORARRAY($EQ$254),10)</f>
      </c>
      <c r="HG255" cm="1">
        <f t="array" ref="HG255:HG272">_xlfn.CHOOSECOLS(_xlfn.ANCHORARRAY($EQ$254),8)-_xlfn.CHOOSECOLS(_xlfn.ANCHORARRAY($EQ$254),10)</f>
      </c>
      <c r="HH255" cm="1">
        <f t="array" ref="HH255:HH272">_xlfn.LET(_xlpm.v,_xlfn.CHOOSECOLS(_xlfn._xlws.FILTER(_xlfn.DROP(_xlfn.ANCHORARRAY($HS$4),1),_xlfn.TAKE(_xlfn.DROP(_xlfn.ANCHORARRAY($HS$4),1),,1)=6),3),IF(_xlpm.v="",NA(),_xlpm.v))</f>
      </c>
      <c r="HI255" cm="1">
        <f t="array" ref="HI255:HI272">-_xlfn.ANCHORARRAY($HH$255)</f>
      </c>
      <c r="HJ255" cm="1">
        <f t="array" ref="HJ255:HJ272">_xlfn.LET(_xlpm.v,_xlfn.CHOOSECOLS(_xlfn._xlws.FILTER(_xlfn.DROP(_xlfn.ANCHORARRAY($HS$4),1),_xlfn.TAKE(_xlfn.DROP(_xlfn.ANCHORARRAY($HS$4),1),,1)=6),4),IF(_xlpm.v="",NA(),_xlpm.v))</f>
      </c>
      <c r="HK255" cm="1">
        <f t="array" ref="HK255:HK272">-_xlfn.ANCHORARRAY($HJ$255)</f>
      </c>
      <c r="HL255" cm="1">
        <f t="array" ref="HL255:HL272">_xlfn.LET(_xlpm.v,_xlfn.CHOOSECOLS(_xlfn._xlws.FILTER(_xlfn.DROP(_xlfn.ANCHORARRAY($HS$4),1),_xlfn.TAKE(_xlfn.DROP(_xlfn.ANCHORARRAY($HS$4),1),,1)=6),5),IF(_xlpm.v="",NA(),_xlpm.v))</f>
      </c>
      <c r="HM255" cm="1">
        <f t="array" ref="HM255:HM272">-_xlfn.ANCHORARRAY($HL$255)</f>
      </c>
      <c r="HN255" cm="1">
        <f t="array" ref="HN255:HN272">_xlfn.LET(_xlpm.v,_xlfn.CHOOSECOLS(_xlfn._xlws.FILTER(_xlfn.DROP(_xlfn.ANCHORARRAY($HS$4),1),_xlfn.TAKE(_xlfn.DROP(_xlfn.ANCHORARRAY($HS$4),1),,1)=6),6),IF(_xlpm.v="",NA(),_xlpm.v))</f>
      </c>
      <c r="HO255" cm="1">
        <f t="array" ref="HO255:HO272">-_xlfn.ANCHORARRAY($HN$255)</f>
      </c>
      <c r="HP255" cm="1">
        <f t="array" ref="HP255:HP272">_xlfn.LET(_xlpm.v,_xlfn.CHOOSECOLS(_xlfn._xlws.FILTER(_xlfn.DROP(_xlfn.ANCHORARRAY($HS$4),1),_xlfn.TAKE(_xlfn.DROP(_xlfn.ANCHORARRAY($HS$4),1),,1)=6),7),IF(_xlpm.v="",NA(),_xlpm.v))</f>
      </c>
      <c r="HQ255" cm="1">
        <f t="array" ref="HQ255:HQ272">-_xlfn.ANCHORARRAY($HP$255)</f>
      </c>
      <c r="HR255" cm="1">
        <f t="array" ref="HR255">IFERROR(INDEX(_xlfn._xlws.FILTER(_xlfn.DROP(_xlfn.ANCHORARRAY($HS$4),1),_xlfn.TAKE(_xlfn.DROP(_xlfn.ANCHORARRAY($HS$4),1),,1)=6),1,2),"")</f>
      </c>
    </row>
    <row r="256" spans="146:226" x14ac:dyDescent="0.55000000000000004">
      <c r="GQ256">
        <f ca="1"/>
      </c>
      <c r="GR256" s="11">
        <f ca="1"/>
      </c>
      <c r="GS256" s="11">
        <f ca="1"/>
      </c>
      <c r="GT256" s="11">
        <f ca="1"/>
      </c>
      <c r="GU256" s="11">
        <f ca="1"/>
      </c>
      <c r="GV256" s="11">
        <f ca="1"/>
      </c>
      <c r="HE256">
        <f ca="1"/>
      </c>
    </row>
    <row r="257" spans="147:225" x14ac:dyDescent="0.55000000000000004">
      <c r="GQ257">
        <f ca="1"/>
      </c>
      <c r="GR257" s="11">
        <f ca="1"/>
      </c>
      <c r="GS257" s="11">
        <f ca="1"/>
      </c>
      <c r="GT257" s="11">
        <f ca="1"/>
      </c>
      <c r="GU257" s="11">
        <f ca="1"/>
      </c>
      <c r="GV257" s="11">
        <f ca="1"/>
      </c>
      <c r="HE257">
        <f ca="1"/>
      </c>
    </row>
    <row r="258" spans="147:225" x14ac:dyDescent="0.55000000000000004">
      <c r="GQ258">
        <f ca="1"/>
      </c>
      <c r="GR258" s="11">
        <f ca="1"/>
      </c>
      <c r="GS258" s="11">
        <f ca="1"/>
      </c>
      <c r="GT258" s="11">
        <f ca="1"/>
      </c>
      <c r="GU258" s="11">
        <f ca="1"/>
      </c>
      <c r="GV258" s="11">
        <f ca="1"/>
      </c>
      <c r="HE258">
        <f ca="1"/>
      </c>
    </row>
    <row r="259" spans="147:225" x14ac:dyDescent="0.55000000000000004">
      <c r="GQ259">
        <f ca="1"/>
      </c>
      <c r="GR259" s="11">
        <f ca="1"/>
      </c>
      <c r="GS259" s="11">
        <f ca="1"/>
      </c>
      <c r="GT259" s="11">
        <f ca="1"/>
      </c>
      <c r="GU259" s="11">
        <f ca="1"/>
      </c>
      <c r="GV259" s="11">
        <f ca="1"/>
      </c>
      <c r="HE259">
        <f ca="1"/>
      </c>
    </row>
    <row r="260" spans="147:225" x14ac:dyDescent="0.55000000000000004">
      <c r="GQ260">
        <f ca="1"/>
      </c>
      <c r="GR260" s="11">
        <f ca="1"/>
      </c>
      <c r="GS260" s="11">
        <f ca="1"/>
      </c>
      <c r="GT260" s="11">
        <f ca="1"/>
      </c>
      <c r="GU260" s="11">
        <f ca="1"/>
      </c>
      <c r="GV260" s="11">
        <f ca="1"/>
      </c>
      <c r="HE260">
        <f ca="1"/>
      </c>
    </row>
    <row r="261" spans="147:225" x14ac:dyDescent="0.55000000000000004">
      <c r="GQ261">
        <f ca="1"/>
      </c>
      <c r="GR261" s="11">
        <f ca="1"/>
      </c>
      <c r="GS261" s="11">
        <f ca="1"/>
      </c>
      <c r="GT261" s="11">
        <f ca="1"/>
      </c>
      <c r="GU261" s="11">
        <f ca="1"/>
      </c>
      <c r="GV261" s="11">
        <f ca="1"/>
      </c>
      <c r="HE261">
        <f ca="1"/>
      </c>
    </row>
    <row r="262" spans="147:225" x14ac:dyDescent="0.55000000000000004">
      <c r="GQ262">
        <f ca="1"/>
      </c>
      <c r="GR262" s="11">
        <f ca="1"/>
      </c>
      <c r="GS262" s="11">
        <f ca="1"/>
      </c>
      <c r="GT262" s="11">
        <f ca="1"/>
      </c>
      <c r="GU262" s="11">
        <f ca="1"/>
      </c>
      <c r="GV262" s="11">
        <f ca="1"/>
      </c>
      <c r="HE262">
        <f ca="1"/>
      </c>
    </row>
    <row r="263" spans="147:225" x14ac:dyDescent="0.55000000000000004">
      <c r="GQ263">
        <f ca="1"/>
      </c>
      <c r="GR263" s="11">
        <f ca="1"/>
      </c>
      <c r="GS263" s="11">
        <f ca="1"/>
      </c>
      <c r="GT263" s="11">
        <f ca="1"/>
      </c>
      <c r="GU263" s="11">
        <f ca="1"/>
      </c>
      <c r="GV263" s="11">
        <f ca="1"/>
      </c>
      <c r="HE263">
        <f ca="1"/>
      </c>
    </row>
    <row r="264" spans="147:225" x14ac:dyDescent="0.55000000000000004">
      <c r="GQ264">
        <f ca="1"/>
      </c>
      <c r="GR264" s="11">
        <f ca="1"/>
      </c>
      <c r="GS264" s="11">
        <f ca="1"/>
      </c>
      <c r="GT264" s="11">
        <f ca="1"/>
      </c>
      <c r="GU264" s="11">
        <f ca="1"/>
      </c>
      <c r="GV264" s="11">
        <f ca="1"/>
      </c>
      <c r="HE264">
        <f ca="1"/>
      </c>
    </row>
    <row r="265" spans="147:225" x14ac:dyDescent="0.55000000000000004">
      <c r="GQ265">
        <f ca="1"/>
      </c>
      <c r="GR265" s="11">
        <f ca="1"/>
      </c>
      <c r="GS265" s="11">
        <f ca="1"/>
      </c>
      <c r="GT265" s="11">
        <f ca="1"/>
      </c>
      <c r="GU265" s="11">
        <f ca="1"/>
      </c>
      <c r="GV265" s="11">
        <f ca="1"/>
      </c>
      <c r="HE265">
        <f ca="1"/>
      </c>
    </row>
    <row r="266" spans="147:225" x14ac:dyDescent="0.55000000000000004">
      <c r="GQ266">
        <f ca="1"/>
      </c>
      <c r="GR266" s="11">
        <f ca="1"/>
      </c>
      <c r="GS266" s="11">
        <f ca="1"/>
      </c>
      <c r="GT266" s="11">
        <f ca="1"/>
      </c>
      <c r="GU266" s="11">
        <f ca="1"/>
      </c>
      <c r="GV266" s="11">
        <f ca="1"/>
      </c>
      <c r="HE266">
        <f ca="1"/>
      </c>
    </row>
    <row r="267" spans="147:225" x14ac:dyDescent="0.55000000000000004">
      <c r="GQ267">
        <f ca="1"/>
      </c>
      <c r="GR267" s="11">
        <f ca="1"/>
      </c>
      <c r="GS267" s="11">
        <f ca="1"/>
      </c>
      <c r="GT267" s="11">
        <f ca="1"/>
      </c>
      <c r="GU267" s="11">
        <f ca="1"/>
      </c>
      <c r="GV267" s="11">
        <f ca="1"/>
      </c>
      <c r="HE267">
        <f ca="1"/>
      </c>
    </row>
    <row r="268" spans="147:225" x14ac:dyDescent="0.55000000000000004">
      <c r="GQ268">
        <f ca="1"/>
      </c>
      <c r="GR268" s="11">
        <f ca="1"/>
      </c>
      <c r="GS268" s="11">
        <f ca="1"/>
      </c>
      <c r="GT268" s="11">
        <f ca="1"/>
      </c>
      <c r="GU268" s="11">
        <f ca="1"/>
      </c>
      <c r="GV268" s="11">
        <f ca="1"/>
      </c>
      <c r="HE268">
        <f ca="1"/>
      </c>
    </row>
    <row r="269" spans="147:225" x14ac:dyDescent="0.55000000000000004">
      <c r="GQ269">
        <f ca="1"/>
      </c>
      <c r="GR269" s="11">
        <f ca="1"/>
      </c>
      <c r="GS269" s="11">
        <f ca="1"/>
      </c>
      <c r="GT269" s="11">
        <f ca="1"/>
      </c>
      <c r="GU269" s="11">
        <f ca="1"/>
      </c>
      <c r="GV269" s="11">
        <f ca="1"/>
      </c>
      <c r="HE269">
        <f ca="1"/>
      </c>
    </row>
    <row r="270" spans="147:225" x14ac:dyDescent="0.55000000000000004">
      <c r="GQ270">
        <f ca="1"/>
      </c>
      <c r="GR270" s="11">
        <f ca="1"/>
      </c>
      <c r="GS270" s="11">
        <f ca="1"/>
      </c>
      <c r="GT270" s="11">
        <f ca="1"/>
      </c>
      <c r="GU270" s="11">
        <f ca="1"/>
      </c>
      <c r="GV270" s="11">
        <f ca="1"/>
      </c>
      <c r="HE270">
        <f ca="1"/>
      </c>
    </row>
    <row r="271" spans="147:225" x14ac:dyDescent="0.55000000000000004">
      <c r="GQ271">
        <f ca="1"/>
      </c>
      <c r="GR271" s="11">
        <f ca="1"/>
      </c>
      <c r="GS271" s="11">
        <f ca="1"/>
      </c>
      <c r="GT271" s="11">
        <f ca="1"/>
      </c>
      <c r="GU271" s="11">
        <f ca="1"/>
      </c>
      <c r="GV271" s="11">
        <f ca="1"/>
      </c>
      <c r="HE271">
        <f ca="1"/>
      </c>
    </row>
    <row r="272" spans="147:225" x14ac:dyDescent="0.55000000000000004">
      <c r="GQ272">
        <f ca="1"/>
      </c>
      <c r="GR272" s="11">
        <f ca="1"/>
      </c>
      <c r="GS272" s="11">
        <f ca="1"/>
      </c>
      <c r="GT272" s="11">
        <f ca="1"/>
      </c>
      <c r="GU272" s="11">
        <f ca="1"/>
      </c>
      <c r="GV272" s="11">
        <f ca="1"/>
      </c>
      <c r="HE272">
        <f ca="1"/>
      </c>
    </row>
    <row r="273" spans="200:204" x14ac:dyDescent="0.55000000000000004">
      <c r="GR273" s="11"/>
      <c r="GS273" s="11"/>
      <c r="GT273" s="11"/>
      <c r="GU273" s="11"/>
      <c r="GV273" s="11"/>
    </row>
    <row r="274" spans="200:204" x14ac:dyDescent="0.55000000000000004">
      <c r="GR274" s="11"/>
      <c r="GS274" s="11"/>
      <c r="GT274" s="11"/>
      <c r="GU274" s="11"/>
      <c r="GV274" s="11"/>
    </row>
    <row r="275" spans="200:204" x14ac:dyDescent="0.55000000000000004">
      <c r="GR275" s="11"/>
      <c r="GS275" s="11"/>
      <c r="GT275" s="11"/>
      <c r="GU275" s="11"/>
      <c r="GV275" s="11"/>
    </row>
    <row r="276" spans="200:204" x14ac:dyDescent="0.55000000000000004">
      <c r="GR276" s="11"/>
      <c r="GS276" s="11"/>
      <c r="GT276" s="11"/>
      <c r="GU276" s="11"/>
      <c r="GV276" s="11"/>
    </row>
    <row r="277" spans="200:204" x14ac:dyDescent="0.55000000000000004">
      <c r="GR277" s="11"/>
      <c r="GS277" s="11"/>
      <c r="GT277" s="11"/>
      <c r="GU277" s="11"/>
      <c r="GV277" s="11"/>
    </row>
    <row r="278" spans="200:204" x14ac:dyDescent="0.55000000000000004">
      <c r="GR278" s="11"/>
      <c r="GS278" s="11"/>
      <c r="GT278" s="11"/>
      <c r="GU278" s="11"/>
      <c r="GV278" s="11"/>
    </row>
    <row r="279" spans="200:204" x14ac:dyDescent="0.55000000000000004">
      <c r="GR279" s="11"/>
      <c r="GS279" s="11"/>
      <c r="GT279" s="11"/>
      <c r="GU279" s="11"/>
      <c r="GV279" s="11"/>
    </row>
    <row r="280" spans="200:204" x14ac:dyDescent="0.55000000000000004">
      <c r="GR280" s="11"/>
      <c r="GS280" s="11"/>
      <c r="GT280" s="11"/>
      <c r="GU280" s="11"/>
      <c r="GV280" s="11"/>
    </row>
    <row r="281" spans="200:204" x14ac:dyDescent="0.55000000000000004">
      <c r="GR281" s="11"/>
      <c r="GS281" s="11"/>
      <c r="GT281" s="11"/>
      <c r="GU281" s="11"/>
      <c r="GV281" s="11"/>
    </row>
    <row r="282" spans="200:204" x14ac:dyDescent="0.55000000000000004">
      <c r="GR282" s="11"/>
      <c r="GS282" s="11"/>
      <c r="GT282" s="11"/>
      <c r="GU282" s="11"/>
      <c r="GV282" s="11"/>
    </row>
    <row r="283" spans="200:204" x14ac:dyDescent="0.55000000000000004">
      <c r="GR283" s="11"/>
      <c r="GS283" s="11"/>
      <c r="GT283" s="11"/>
      <c r="GU283" s="11"/>
      <c r="GV283" s="11"/>
    </row>
    <row r="284" spans="200:204" x14ac:dyDescent="0.55000000000000004">
      <c r="GR284" s="11"/>
      <c r="GS284" s="11"/>
      <c r="GT284" s="11"/>
      <c r="GU284" s="11"/>
      <c r="GV284" s="11"/>
    </row>
    <row r="285" spans="200:204" x14ac:dyDescent="0.55000000000000004">
      <c r="GR285" s="11"/>
      <c r="GS285" s="11"/>
      <c r="GT285" s="11"/>
      <c r="GU285" s="11"/>
      <c r="GV285" s="11"/>
    </row>
    <row r="286" spans="200:204" x14ac:dyDescent="0.55000000000000004">
      <c r="GR286" s="11"/>
      <c r="GS286" s="11"/>
      <c r="GT286" s="11"/>
      <c r="GU286" s="11"/>
      <c r="GV286" s="11"/>
    </row>
    <row r="287" spans="200:204" x14ac:dyDescent="0.55000000000000004">
      <c r="GR287" s="11"/>
      <c r="GS287" s="11"/>
      <c r="GT287" s="11"/>
      <c r="GU287" s="11"/>
      <c r="GV287" s="11"/>
    </row>
    <row r="288" spans="200:204" x14ac:dyDescent="0.55000000000000004">
      <c r="GR288" s="11"/>
      <c r="GS288" s="11"/>
      <c r="GT288" s="11"/>
      <c r="GU288" s="11"/>
      <c r="GV288" s="11"/>
    </row>
    <row r="289" spans="146:226" x14ac:dyDescent="0.55000000000000004">
      <c r="GR289" s="11"/>
      <c r="GS289" s="11"/>
      <c r="GT289" s="11"/>
      <c r="GU289" s="11"/>
      <c r="GV289" s="11"/>
    </row>
    <row r="290" spans="146:226" x14ac:dyDescent="0.55000000000000004">
      <c r="GR290" s="11"/>
      <c r="GS290" s="11"/>
      <c r="GT290" s="11"/>
      <c r="GU290" s="11"/>
      <c r="GV290" s="11"/>
    </row>
    <row r="291" spans="146:226" x14ac:dyDescent="0.55000000000000004">
      <c r="GR291" s="11"/>
      <c r="GS291" s="11"/>
      <c r="GT291" s="11"/>
      <c r="GU291" s="11"/>
      <c r="GV291" s="11"/>
    </row>
    <row r="292" spans="146:226" x14ac:dyDescent="0.55000000000000004">
      <c r="GR292" s="11"/>
      <c r="GS292" s="11"/>
      <c r="GT292" s="11"/>
      <c r="GU292" s="11"/>
      <c r="GV292" s="11"/>
    </row>
    <row r="293" spans="146:226" x14ac:dyDescent="0.55000000000000004">
      <c r="GR293" s="11"/>
      <c r="GS293" s="11"/>
      <c r="GT293" s="11"/>
      <c r="GU293" s="11"/>
      <c r="GV293" s="11"/>
    </row>
    <row r="294" spans="146:226" x14ac:dyDescent="0.55000000000000004">
      <c r="GR294" s="11"/>
      <c r="GS294" s="11"/>
      <c r="GT294" s="11"/>
      <c r="GU294" s="11"/>
      <c r="GV294" s="11"/>
    </row>
    <row r="295" spans="146:226" x14ac:dyDescent="0.55000000000000004">
      <c r="GR295" s="11"/>
      <c r="GS295" s="11"/>
      <c r="GT295" s="11"/>
      <c r="GU295" s="11"/>
      <c r="GV295" s="11"/>
    </row>
    <row r="296" spans="146:226" x14ac:dyDescent="0.55000000000000004">
      <c r="GR296" s="11"/>
      <c r="GS296" s="11"/>
      <c r="GT296" s="11"/>
      <c r="GU296" s="11"/>
      <c r="GV296" s="11"/>
    </row>
    <row r="304" spans="146:226" x14ac:dyDescent="0.55000000000000004">
      <c r="EP304" t="s">
        <v>159</v>
      </c>
      <c r="EQ304" cm="1">
        <f t="array" ref="EQ304:FR321">_xlfn.LET(_xlpm.g,_xlfn.DROP(_xlfn.ANCHORARRAY($CO$4),1),_xlfn._xlws.FILTER(_xlpm.g,_xlfn.TAKE(_xlpm.g,,1)=7))</f>
      </c>
      <c r="GQ304" t="s">
        <v>170</v>
      </c>
      <c r="GR304" cm="1">
        <f t="array" aca="1" ref="GR304" ca="1">IFERROR(_xlfn.LET(_xlpm.R,_xlfn.ANCHORARRAY($GR$305),_xlpm.a,ABS(_xlpm.R),"k="&amp;$D$12&amp;"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04" cm="1">
        <f t="array" aca="1" ref="GS304" ca="1">IFERROR(_xlfn.LET(_xlpm.R,_xlfn.ANCHORARRAY($GS$305),_xlpm.a,ABS(_xlpm.R),"k="&amp;$D$28&amp;"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04" cm="1">
        <f t="array" aca="1" ref="GT304" ca="1">IFERROR(_xlfn.LET(_xlpm.R,_xlfn.ANCHORARRAY($GT$305),_xlpm.a,ABS(_xlpm.R),"k="&amp;$D$44&amp;"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04" cm="1">
        <f t="array" aca="1" ref="GU304" ca="1">IFERROR(_xlfn.LET(_xlpm.R,_xlfn.ANCHORARRAY($GU$305),_xlpm.a,ABS(_xlpm.R),"k="&amp;$D$60&amp;"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04" cm="1">
        <f t="array" aca="1" ref="GV304" ca="1">IFERROR(_xlfn.LET(_xlpm.R,_xlfn.ANCHORARRAY($GV$305),_xlpm.a,ABS(_xlpm.R),"k="&amp;$D$76&amp;"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04" t="s">
        <v>44</v>
      </c>
      <c r="GY304" t="s">
        <v>45</v>
      </c>
      <c r="GZ304" t="s">
        <v>46</v>
      </c>
      <c r="HA304" t="s">
        <v>47</v>
      </c>
      <c r="HB304" t="s">
        <v>48</v>
      </c>
      <c r="HD304" t="s">
        <v>175</v>
      </c>
      <c r="HE304">
        <f>"Actual / Mean / Recon (k="&amp;$D$108&amp;")  dashed: Mean ±1σ"</f>
      </c>
      <c r="HF304" t="s">
        <v>176</v>
      </c>
      <c r="HG304" t="s">
        <v>177</v>
      </c>
      <c r="HH304" t="s">
        <v>180</v>
      </c>
      <c r="HI304" t="s">
        <v>181</v>
      </c>
      <c r="HJ304" t="s">
        <v>182</v>
      </c>
      <c r="HK304" t="s">
        <v>183</v>
      </c>
      <c r="HL304" t="s">
        <v>184</v>
      </c>
      <c r="HM304" t="s">
        <v>185</v>
      </c>
      <c r="HN304" t="s">
        <v>186</v>
      </c>
      <c r="HO304" t="s">
        <v>187</v>
      </c>
      <c r="HP304" t="s">
        <v>188</v>
      </c>
      <c r="HQ304" t="s">
        <v>189</v>
      </c>
      <c r="HR304" t="s">
        <v>190</v>
      </c>
    </row>
    <row r="305" spans="147:226" x14ac:dyDescent="0.55000000000000004">
      <c r="GQ305" cm="1">
        <f t="array" aca="1" ref="GQ305:GQ322" ca="1">IF($AU$6="Change",_xlfn.ANCHORARRAY($CJ$4),_xlfn.ANCHORARRAY($CI$4))</f>
      </c>
      <c r="GR305" s="11" cm="1">
        <f t="array" aca="1" ref="GR305:GR322" ca="1">_xlfn.LET(_xlpm.sl,_xlfn.ANCHORARRAY($EQ$304),_xlpm.mu,_xlfn.CHOOSECOLS(_xlpm.sl,8),_xlpm.sg,_xlfn.CHOOSECOLS(_xlpm.sl,9),_xlpm.x,_xlfn.ANCHORARRAY($GQ$305),_xlpm.V,_xlfn.TAKE(_xlfn.DROP(_xlpm.sl,,10),,$D$12),(_xlpm.x-(_xlpm.mu+_xlpm.sg*MMULT(_xlpm.V,MMULT(TRANSPOSE(_xlpm.V),(_xlpm.x-_xlpm.mu)/_xlpm.sg))))*100)</f>
      </c>
      <c r="GS305" s="11" cm="1">
        <f t="array" aca="1" ref="GS305:GS322" ca="1">_xlfn.LET(_xlpm.sl,_xlfn.ANCHORARRAY($EQ$304),_xlpm.mu,_xlfn.CHOOSECOLS(_xlpm.sl,8),_xlpm.sg,_xlfn.CHOOSECOLS(_xlpm.sl,9),_xlpm.x,_xlfn.ANCHORARRAY($GQ$305),_xlpm.V,_xlfn.TAKE(_xlfn.DROP(_xlpm.sl,,10),,$D$28),(_xlpm.x-(_xlpm.mu+_xlpm.sg*MMULT(_xlpm.V,MMULT(TRANSPOSE(_xlpm.V),(_xlpm.x-_xlpm.mu)/_xlpm.sg))))*100)</f>
      </c>
      <c r="GT305" s="11" cm="1">
        <f t="array" aca="1" ref="GT305:GT322" ca="1">_xlfn.LET(_xlpm.sl,_xlfn.ANCHORARRAY($EQ$304),_xlpm.mu,_xlfn.CHOOSECOLS(_xlpm.sl,8),_xlpm.sg,_xlfn.CHOOSECOLS(_xlpm.sl,9),_xlpm.x,_xlfn.ANCHORARRAY($GQ$305),_xlpm.V,_xlfn.TAKE(_xlfn.DROP(_xlpm.sl,,10),,$D$44),(_xlpm.x-(_xlpm.mu+_xlpm.sg*MMULT(_xlpm.V,MMULT(TRANSPOSE(_xlpm.V),(_xlpm.x-_xlpm.mu)/_xlpm.sg))))*100)</f>
      </c>
      <c r="GU305" s="11" cm="1">
        <f t="array" aca="1" ref="GU305:GU322" ca="1">_xlfn.LET(_xlpm.sl,_xlfn.ANCHORARRAY($EQ$304),_xlpm.mu,_xlfn.CHOOSECOLS(_xlpm.sl,8),_xlpm.sg,_xlfn.CHOOSECOLS(_xlpm.sl,9),_xlpm.x,_xlfn.ANCHORARRAY($GQ$305),_xlpm.V,_xlfn.TAKE(_xlfn.DROP(_xlpm.sl,,10),,$D$60),(_xlpm.x-(_xlpm.mu+_xlpm.sg*MMULT(_xlpm.V,MMULT(TRANSPOSE(_xlpm.V),(_xlpm.x-_xlpm.mu)/_xlpm.sg))))*100)</f>
      </c>
      <c r="GV305" s="11" cm="1">
        <f t="array" aca="1" ref="GV305:GV322" ca="1">_xlfn.LET(_xlpm.sl,_xlfn.ANCHORARRAY($EQ$304),_xlpm.mu,_xlfn.CHOOSECOLS(_xlpm.sl,8),_xlpm.sg,_xlfn.CHOOSECOLS(_xlpm.sl,9),_xlpm.x,_xlfn.ANCHORARRAY($GQ$305),_xlpm.V,_xlfn.TAKE(_xlfn.DROP(_xlpm.sl,,10),,$D$76),(_xlpm.x-(_xlpm.mu+_xlpm.sg*MMULT(_xlpm.V,MMULT(TRANSPOSE(_xlpm.V),(_xlpm.x-_xlpm.mu)/_xlpm.sg))))*100)</f>
      </c>
      <c r="GX305" cm="1">
        <f t="array" ref="GX305:GX322">_xlfn.LET(_xlpm.V,_xlfn.DROP(_xlfn.ANCHORARRAY($EQ$304),,10),IF(1&lt;=COLUMNS(_xlpm.V),_xlfn.CHOOSECOLS(_xlpm.V,1),IF(_xlfn.SEQUENCE(ROWS(_xlpm.V)),NA())))</f>
      </c>
      <c r="GY305" cm="1">
        <f t="array" ref="GY305:GY322">_xlfn.LET(_xlpm.V,_xlfn.DROP(_xlfn.ANCHORARRAY($EQ$304),,10),IF(2&lt;=COLUMNS(_xlpm.V),_xlfn.CHOOSECOLS(_xlpm.V,2),IF(_xlfn.SEQUENCE(ROWS(_xlpm.V)),NA())))</f>
      </c>
      <c r="GZ305" cm="1">
        <f t="array" ref="GZ305:GZ322">_xlfn.LET(_xlpm.V,_xlfn.DROP(_xlfn.ANCHORARRAY($EQ$304),,10),IF(3&lt;=COLUMNS(_xlpm.V),_xlfn.CHOOSECOLS(_xlpm.V,3),IF(_xlfn.SEQUENCE(ROWS(_xlpm.V)),NA())))</f>
      </c>
      <c r="HA305" cm="1">
        <f t="array" ref="HA305:HA322">_xlfn.LET(_xlpm.V,_xlfn.DROP(_xlfn.ANCHORARRAY($EQ$304),,10),IF(4&lt;=COLUMNS(_xlpm.V),_xlfn.CHOOSECOLS(_xlpm.V,4),IF(_xlfn.SEQUENCE(ROWS(_xlpm.V)),NA())))</f>
      </c>
      <c r="HB305" cm="1">
        <f t="array" ref="HB305:HB322">_xlfn.LET(_xlpm.V,_xlfn.DROP(_xlfn.ANCHORARRAY($EQ$304),,10),IF(5&lt;=COLUMNS(_xlpm.V),_xlfn.CHOOSECOLS(_xlpm.V,5),IF(_xlfn.SEQUENCE(ROWS(_xlpm.V)),NA())))</f>
      </c>
      <c r="HD305" cm="1">
        <f t="array" ref="HD305:HD322">_xlfn.CHOOSECOLS(_xlfn.ANCHORARRAY($EQ$304),8)</f>
      </c>
      <c r="HE305" cm="1">
        <f t="array" aca="1" ref="HE305:HE322" ca="1">_xlfn.LET(_xlpm.sl,_xlfn.ANCHORARRAY($EQ$304),_xlpm.mu,_xlfn.CHOOSECOLS(_xlpm.sl,8),_xlpm.sg,_xlfn.CHOOSECOLS(_xlpm.sl,9),_xlpm.x,_xlfn.ANCHORARRAY($GQ$305),_xlpm.V,_xlfn.TAKE(_xlfn.DROP(_xlpm.sl,,10),,$D$108),_xlpm.mu+_xlpm.sg*MMULT(_xlpm.V,MMULT(TRANSPOSE(_xlpm.V),(_xlpm.x-_xlpm.mu)/_xlpm.sg)))</f>
      </c>
      <c r="HF305" cm="1">
        <f t="array" ref="HF305:HF322">_xlfn.CHOOSECOLS(_xlfn.ANCHORARRAY($EQ$304),8)+_xlfn.CHOOSECOLS(_xlfn.ANCHORARRAY($EQ$304),10)</f>
      </c>
      <c r="HG305" cm="1">
        <f t="array" ref="HG305:HG322">_xlfn.CHOOSECOLS(_xlfn.ANCHORARRAY($EQ$304),8)-_xlfn.CHOOSECOLS(_xlfn.ANCHORARRAY($EQ$304),10)</f>
      </c>
      <c r="HH305" cm="1">
        <f t="array" ref="HH305:HH322">_xlfn.LET(_xlpm.v,_xlfn.CHOOSECOLS(_xlfn._xlws.FILTER(_xlfn.DROP(_xlfn.ANCHORARRAY($HS$4),1),_xlfn.TAKE(_xlfn.DROP(_xlfn.ANCHORARRAY($HS$4),1),,1)=7),3),IF(_xlpm.v="",NA(),_xlpm.v))</f>
      </c>
      <c r="HI305" cm="1">
        <f t="array" ref="HI305:HI322">-_xlfn.ANCHORARRAY($HH$305)</f>
      </c>
      <c r="HJ305" cm="1">
        <f t="array" ref="HJ305:HJ322">_xlfn.LET(_xlpm.v,_xlfn.CHOOSECOLS(_xlfn._xlws.FILTER(_xlfn.DROP(_xlfn.ANCHORARRAY($HS$4),1),_xlfn.TAKE(_xlfn.DROP(_xlfn.ANCHORARRAY($HS$4),1),,1)=7),4),IF(_xlpm.v="",NA(),_xlpm.v))</f>
      </c>
      <c r="HK305" cm="1">
        <f t="array" ref="HK305:HK322">-_xlfn.ANCHORARRAY($HJ$305)</f>
      </c>
      <c r="HL305" cm="1">
        <f t="array" ref="HL305:HL322">_xlfn.LET(_xlpm.v,_xlfn.CHOOSECOLS(_xlfn._xlws.FILTER(_xlfn.DROP(_xlfn.ANCHORARRAY($HS$4),1),_xlfn.TAKE(_xlfn.DROP(_xlfn.ANCHORARRAY($HS$4),1),,1)=7),5),IF(_xlpm.v="",NA(),_xlpm.v))</f>
      </c>
      <c r="HM305" cm="1">
        <f t="array" ref="HM305:HM322">-_xlfn.ANCHORARRAY($HL$305)</f>
      </c>
      <c r="HN305" cm="1">
        <f t="array" ref="HN305:HN322">_xlfn.LET(_xlpm.v,_xlfn.CHOOSECOLS(_xlfn._xlws.FILTER(_xlfn.DROP(_xlfn.ANCHORARRAY($HS$4),1),_xlfn.TAKE(_xlfn.DROP(_xlfn.ANCHORARRAY($HS$4),1),,1)=7),6),IF(_xlpm.v="",NA(),_xlpm.v))</f>
      </c>
      <c r="HO305" cm="1">
        <f t="array" ref="HO305:HO322">-_xlfn.ANCHORARRAY($HN$305)</f>
      </c>
      <c r="HP305" cm="1">
        <f t="array" ref="HP305:HP322">_xlfn.LET(_xlpm.v,_xlfn.CHOOSECOLS(_xlfn._xlws.FILTER(_xlfn.DROP(_xlfn.ANCHORARRAY($HS$4),1),_xlfn.TAKE(_xlfn.DROP(_xlfn.ANCHORARRAY($HS$4),1),,1)=7),7),IF(_xlpm.v="",NA(),_xlpm.v))</f>
      </c>
      <c r="HQ305" cm="1">
        <f t="array" ref="HQ305:HQ322">-_xlfn.ANCHORARRAY($HP$305)</f>
      </c>
      <c r="HR305" cm="1">
        <f t="array" ref="HR305">IFERROR(INDEX(_xlfn._xlws.FILTER(_xlfn.DROP(_xlfn.ANCHORARRAY($HS$4),1),_xlfn.TAKE(_xlfn.DROP(_xlfn.ANCHORARRAY($HS$4),1),,1)=7),1,2),"")</f>
      </c>
    </row>
    <row r="306" spans="147:226" x14ac:dyDescent="0.55000000000000004">
      <c r="GQ306">
        <f ca="1"/>
      </c>
      <c r="GR306" s="11">
        <f ca="1"/>
      </c>
      <c r="GS306" s="11">
        <f ca="1"/>
      </c>
      <c r="GT306" s="11">
        <f ca="1"/>
      </c>
      <c r="GU306" s="11">
        <f ca="1"/>
      </c>
      <c r="GV306" s="11">
        <f ca="1"/>
      </c>
      <c r="HE306">
        <f ca="1"/>
      </c>
    </row>
    <row r="307" spans="147:226" x14ac:dyDescent="0.55000000000000004">
      <c r="GQ307">
        <f ca="1"/>
      </c>
      <c r="GR307" s="11">
        <f ca="1"/>
      </c>
      <c r="GS307" s="11">
        <f ca="1"/>
      </c>
      <c r="GT307" s="11">
        <f ca="1"/>
      </c>
      <c r="GU307" s="11">
        <f ca="1"/>
      </c>
      <c r="GV307" s="11">
        <f ca="1"/>
      </c>
      <c r="HE307">
        <f ca="1"/>
      </c>
    </row>
    <row r="308" spans="147:226" x14ac:dyDescent="0.55000000000000004">
      <c r="GQ308">
        <f ca="1"/>
      </c>
      <c r="GR308" s="11">
        <f ca="1"/>
      </c>
      <c r="GS308" s="11">
        <f ca="1"/>
      </c>
      <c r="GT308" s="11">
        <f ca="1"/>
      </c>
      <c r="GU308" s="11">
        <f ca="1"/>
      </c>
      <c r="GV308" s="11">
        <f ca="1"/>
      </c>
      <c r="HE308">
        <f ca="1"/>
      </c>
    </row>
    <row r="309" spans="147:226" x14ac:dyDescent="0.55000000000000004">
      <c r="GQ309">
        <f ca="1"/>
      </c>
      <c r="GR309" s="11">
        <f ca="1"/>
      </c>
      <c r="GS309" s="11">
        <f ca="1"/>
      </c>
      <c r="GT309" s="11">
        <f ca="1"/>
      </c>
      <c r="GU309" s="11">
        <f ca="1"/>
      </c>
      <c r="GV309" s="11">
        <f ca="1"/>
      </c>
      <c r="HE309">
        <f ca="1"/>
      </c>
    </row>
    <row r="310" spans="147:226" x14ac:dyDescent="0.55000000000000004">
      <c r="GQ310">
        <f ca="1"/>
      </c>
      <c r="GR310" s="11">
        <f ca="1"/>
      </c>
      <c r="GS310" s="11">
        <f ca="1"/>
      </c>
      <c r="GT310" s="11">
        <f ca="1"/>
      </c>
      <c r="GU310" s="11">
        <f ca="1"/>
      </c>
      <c r="GV310" s="11">
        <f ca="1"/>
      </c>
      <c r="HE310">
        <f ca="1"/>
      </c>
    </row>
    <row r="311" spans="147:226" x14ac:dyDescent="0.55000000000000004">
      <c r="GQ311">
        <f ca="1"/>
      </c>
      <c r="GR311" s="11">
        <f ca="1"/>
      </c>
      <c r="GS311" s="11">
        <f ca="1"/>
      </c>
      <c r="GT311" s="11">
        <f ca="1"/>
      </c>
      <c r="GU311" s="11">
        <f ca="1"/>
      </c>
      <c r="GV311" s="11">
        <f ca="1"/>
      </c>
      <c r="HE311">
        <f ca="1"/>
      </c>
    </row>
    <row r="312" spans="147:226" x14ac:dyDescent="0.55000000000000004">
      <c r="GQ312">
        <f ca="1"/>
      </c>
      <c r="GR312" s="11">
        <f ca="1"/>
      </c>
      <c r="GS312" s="11">
        <f ca="1"/>
      </c>
      <c r="GT312" s="11">
        <f ca="1"/>
      </c>
      <c r="GU312" s="11">
        <f ca="1"/>
      </c>
      <c r="GV312" s="11">
        <f ca="1"/>
      </c>
      <c r="HE312">
        <f ca="1"/>
      </c>
    </row>
    <row r="313" spans="147:226" x14ac:dyDescent="0.55000000000000004">
      <c r="GQ313">
        <f ca="1"/>
      </c>
      <c r="GR313" s="11">
        <f ca="1"/>
      </c>
      <c r="GS313" s="11">
        <f ca="1"/>
      </c>
      <c r="GT313" s="11">
        <f ca="1"/>
      </c>
      <c r="GU313" s="11">
        <f ca="1"/>
      </c>
      <c r="GV313" s="11">
        <f ca="1"/>
      </c>
      <c r="HE313">
        <f ca="1"/>
      </c>
    </row>
    <row r="314" spans="147:226" x14ac:dyDescent="0.55000000000000004">
      <c r="GQ314">
        <f ca="1"/>
      </c>
      <c r="GR314" s="11">
        <f ca="1"/>
      </c>
      <c r="GS314" s="11">
        <f ca="1"/>
      </c>
      <c r="GT314" s="11">
        <f ca="1"/>
      </c>
      <c r="GU314" s="11">
        <f ca="1"/>
      </c>
      <c r="GV314" s="11">
        <f ca="1"/>
      </c>
      <c r="HE314">
        <f ca="1"/>
      </c>
    </row>
    <row r="315" spans="147:226" x14ac:dyDescent="0.55000000000000004">
      <c r="GQ315">
        <f ca="1"/>
      </c>
      <c r="GR315" s="11">
        <f ca="1"/>
      </c>
      <c r="GS315" s="11">
        <f ca="1"/>
      </c>
      <c r="GT315" s="11">
        <f ca="1"/>
      </c>
      <c r="GU315" s="11">
        <f ca="1"/>
      </c>
      <c r="GV315" s="11">
        <f ca="1"/>
      </c>
      <c r="HE315">
        <f ca="1"/>
      </c>
    </row>
    <row r="316" spans="147:226" x14ac:dyDescent="0.55000000000000004">
      <c r="GQ316">
        <f ca="1"/>
      </c>
      <c r="GR316" s="11">
        <f ca="1"/>
      </c>
      <c r="GS316" s="11">
        <f ca="1"/>
      </c>
      <c r="GT316" s="11">
        <f ca="1"/>
      </c>
      <c r="GU316" s="11">
        <f ca="1"/>
      </c>
      <c r="GV316" s="11">
        <f ca="1"/>
      </c>
      <c r="HE316">
        <f ca="1"/>
      </c>
    </row>
    <row r="317" spans="147:226" x14ac:dyDescent="0.55000000000000004">
      <c r="GQ317">
        <f ca="1"/>
      </c>
      <c r="GR317" s="11">
        <f ca="1"/>
      </c>
      <c r="GS317" s="11">
        <f ca="1"/>
      </c>
      <c r="GT317" s="11">
        <f ca="1"/>
      </c>
      <c r="GU317" s="11">
        <f ca="1"/>
      </c>
      <c r="GV317" s="11">
        <f ca="1"/>
      </c>
      <c r="HE317">
        <f ca="1"/>
      </c>
    </row>
    <row r="318" spans="147:226" x14ac:dyDescent="0.55000000000000004">
      <c r="GQ318">
        <f ca="1"/>
      </c>
      <c r="GR318" s="11">
        <f ca="1"/>
      </c>
      <c r="GS318" s="11">
        <f ca="1"/>
      </c>
      <c r="GT318" s="11">
        <f ca="1"/>
      </c>
      <c r="GU318" s="11">
        <f ca="1"/>
      </c>
      <c r="GV318" s="11">
        <f ca="1"/>
      </c>
      <c r="HE318">
        <f ca="1"/>
      </c>
    </row>
    <row r="319" spans="147:226" x14ac:dyDescent="0.55000000000000004">
      <c r="GQ319">
        <f ca="1"/>
      </c>
      <c r="GR319" s="11">
        <f ca="1"/>
      </c>
      <c r="GS319" s="11">
        <f ca="1"/>
      </c>
      <c r="GT319" s="11">
        <f ca="1"/>
      </c>
      <c r="GU319" s="11">
        <f ca="1"/>
      </c>
      <c r="GV319" s="11">
        <f ca="1"/>
      </c>
      <c r="HE319">
        <f ca="1"/>
      </c>
    </row>
    <row r="320" spans="147:226" x14ac:dyDescent="0.55000000000000004">
      <c r="GQ320">
        <f ca="1"/>
      </c>
      <c r="GR320" s="11">
        <f ca="1"/>
      </c>
      <c r="GS320" s="11">
        <f ca="1"/>
      </c>
      <c r="GT320" s="11">
        <f ca="1"/>
      </c>
      <c r="GU320" s="11">
        <f ca="1"/>
      </c>
      <c r="GV320" s="11">
        <f ca="1"/>
      </c>
      <c r="HE320">
        <f ca="1"/>
      </c>
    </row>
    <row r="321" spans="147:225" x14ac:dyDescent="0.55000000000000004">
      <c r="GQ321">
        <f ca="1"/>
      </c>
      <c r="GR321" s="11">
        <f ca="1"/>
      </c>
      <c r="GS321" s="11">
        <f ca="1"/>
      </c>
      <c r="GT321" s="11">
        <f ca="1"/>
      </c>
      <c r="GU321" s="11">
        <f ca="1"/>
      </c>
      <c r="GV321" s="11">
        <f ca="1"/>
      </c>
      <c r="HE321">
        <f ca="1"/>
      </c>
    </row>
    <row r="322" spans="147:225" x14ac:dyDescent="0.55000000000000004">
      <c r="GQ322">
        <f ca="1"/>
      </c>
      <c r="GR322" s="11">
        <f ca="1"/>
      </c>
      <c r="GS322" s="11">
        <f ca="1"/>
      </c>
      <c r="GT322" s="11">
        <f ca="1"/>
      </c>
      <c r="GU322" s="11">
        <f ca="1"/>
      </c>
      <c r="GV322" s="11">
        <f ca="1"/>
      </c>
      <c r="HE322">
        <f ca="1"/>
      </c>
    </row>
    <row r="323" spans="147:225" x14ac:dyDescent="0.55000000000000004">
      <c r="GR323" s="11"/>
      <c r="GS323" s="11"/>
      <c r="GT323" s="11"/>
      <c r="GU323" s="11"/>
      <c r="GV323" s="11"/>
    </row>
    <row r="324" spans="147:225" x14ac:dyDescent="0.55000000000000004">
      <c r="GR324" s="11"/>
      <c r="GS324" s="11"/>
      <c r="GT324" s="11"/>
      <c r="GU324" s="11"/>
      <c r="GV324" s="11"/>
    </row>
    <row r="325" spans="147:225" x14ac:dyDescent="0.55000000000000004">
      <c r="GR325" s="11"/>
      <c r="GS325" s="11"/>
      <c r="GT325" s="11"/>
      <c r="GU325" s="11"/>
      <c r="GV325" s="11"/>
    </row>
    <row r="326" spans="147:225" x14ac:dyDescent="0.55000000000000004">
      <c r="GR326" s="11"/>
      <c r="GS326" s="11"/>
      <c r="GT326" s="11"/>
      <c r="GU326" s="11"/>
      <c r="GV326" s="11"/>
    </row>
    <row r="327" spans="147:225" x14ac:dyDescent="0.55000000000000004">
      <c r="GR327" s="11"/>
      <c r="GS327" s="11"/>
      <c r="GT327" s="11"/>
      <c r="GU327" s="11"/>
      <c r="GV327" s="11"/>
    </row>
    <row r="328" spans="147:225" x14ac:dyDescent="0.55000000000000004">
      <c r="GR328" s="11"/>
      <c r="GS328" s="11"/>
      <c r="GT328" s="11"/>
      <c r="GU328" s="11"/>
      <c r="GV328" s="11"/>
    </row>
    <row r="329" spans="147:225" x14ac:dyDescent="0.55000000000000004">
      <c r="GR329" s="11"/>
      <c r="GS329" s="11"/>
      <c r="GT329" s="11"/>
      <c r="GU329" s="11"/>
      <c r="GV329" s="11"/>
    </row>
    <row r="330" spans="147:225" x14ac:dyDescent="0.55000000000000004">
      <c r="GR330" s="11"/>
      <c r="GS330" s="11"/>
      <c r="GT330" s="11"/>
      <c r="GU330" s="11"/>
      <c r="GV330" s="11"/>
    </row>
    <row r="331" spans="147:225" x14ac:dyDescent="0.55000000000000004">
      <c r="GR331" s="11"/>
      <c r="GS331" s="11"/>
      <c r="GT331" s="11"/>
      <c r="GU331" s="11"/>
      <c r="GV331" s="11"/>
    </row>
    <row r="332" spans="147:225" x14ac:dyDescent="0.55000000000000004">
      <c r="GR332" s="11"/>
      <c r="GS332" s="11"/>
      <c r="GT332" s="11"/>
      <c r="GU332" s="11"/>
      <c r="GV332" s="11"/>
    </row>
    <row r="333" spans="147:225" x14ac:dyDescent="0.55000000000000004">
      <c r="GR333" s="11"/>
      <c r="GS333" s="11"/>
      <c r="GT333" s="11"/>
      <c r="GU333" s="11"/>
      <c r="GV333" s="11"/>
    </row>
    <row r="334" spans="147:225" x14ac:dyDescent="0.55000000000000004">
      <c r="GR334" s="11"/>
      <c r="GS334" s="11"/>
      <c r="GT334" s="11"/>
      <c r="GU334" s="11"/>
      <c r="GV334" s="11"/>
    </row>
    <row r="335" spans="147:225" x14ac:dyDescent="0.55000000000000004">
      <c r="GR335" s="11"/>
      <c r="GS335" s="11"/>
      <c r="GT335" s="11"/>
      <c r="GU335" s="11"/>
      <c r="GV335" s="11"/>
    </row>
    <row r="336" spans="147:225" x14ac:dyDescent="0.55000000000000004">
      <c r="GR336" s="11"/>
      <c r="GS336" s="11"/>
      <c r="GT336" s="11"/>
      <c r="GU336" s="11"/>
      <c r="GV336" s="11"/>
    </row>
    <row r="337" spans="200:204" x14ac:dyDescent="0.55000000000000004">
      <c r="GR337" s="11"/>
      <c r="GS337" s="11"/>
      <c r="GT337" s="11"/>
      <c r="GU337" s="11"/>
      <c r="GV337" s="11"/>
    </row>
    <row r="338" spans="200:204" x14ac:dyDescent="0.55000000000000004">
      <c r="GR338" s="11"/>
      <c r="GS338" s="11"/>
      <c r="GT338" s="11"/>
      <c r="GU338" s="11"/>
      <c r="GV338" s="11"/>
    </row>
    <row r="339" spans="200:204" x14ac:dyDescent="0.55000000000000004">
      <c r="GR339" s="11"/>
      <c r="GS339" s="11"/>
      <c r="GT339" s="11"/>
      <c r="GU339" s="11"/>
      <c r="GV339" s="11"/>
    </row>
    <row r="340" spans="200:204" x14ac:dyDescent="0.55000000000000004">
      <c r="GR340" s="11"/>
      <c r="GS340" s="11"/>
      <c r="GT340" s="11"/>
      <c r="GU340" s="11"/>
      <c r="GV340" s="11"/>
    </row>
    <row r="341" spans="200:204" x14ac:dyDescent="0.55000000000000004">
      <c r="GR341" s="11"/>
      <c r="GS341" s="11"/>
      <c r="GT341" s="11"/>
      <c r="GU341" s="11"/>
      <c r="GV341" s="11"/>
    </row>
    <row r="342" spans="200:204" x14ac:dyDescent="0.55000000000000004">
      <c r="GR342" s="11"/>
      <c r="GS342" s="11"/>
      <c r="GT342" s="11"/>
      <c r="GU342" s="11"/>
      <c r="GV342" s="11"/>
    </row>
    <row r="343" spans="200:204" x14ac:dyDescent="0.55000000000000004">
      <c r="GR343" s="11"/>
      <c r="GS343" s="11"/>
      <c r="GT343" s="11"/>
      <c r="GU343" s="11"/>
      <c r="GV343" s="11"/>
    </row>
    <row r="344" spans="200:204" x14ac:dyDescent="0.55000000000000004">
      <c r="GR344" s="11"/>
      <c r="GS344" s="11"/>
      <c r="GT344" s="11"/>
      <c r="GU344" s="11"/>
      <c r="GV344" s="11"/>
    </row>
    <row r="345" spans="200:204" x14ac:dyDescent="0.55000000000000004">
      <c r="GR345" s="11"/>
      <c r="GS345" s="11"/>
      <c r="GT345" s="11"/>
      <c r="GU345" s="11"/>
      <c r="GV345" s="11"/>
    </row>
    <row r="346" spans="200:204" x14ac:dyDescent="0.55000000000000004">
      <c r="GR346" s="11"/>
      <c r="GS346" s="11"/>
      <c r="GT346" s="11"/>
      <c r="GU346" s="11"/>
      <c r="GV346" s="11"/>
    </row>
    <row r="354" spans="146:226" x14ac:dyDescent="0.55000000000000004">
      <c r="EP354" t="s">
        <v>160</v>
      </c>
      <c r="EQ354" cm="1">
        <f t="array" ref="EQ354:FR371">_xlfn.LET(_xlpm.g,_xlfn.DROP(_xlfn.ANCHORARRAY($CO$4),1),_xlfn._xlws.FILTER(_xlpm.g,_xlfn.TAKE(_xlpm.g,,1)=8))</f>
      </c>
      <c r="GQ354" t="s">
        <v>170</v>
      </c>
      <c r="GR354" cm="1">
        <f t="array" aca="1" ref="GR354" ca="1">IFERROR(_xlfn.LET(_xlpm.R,_xlfn.ANCHORARRAY($GR$355),_xlpm.a,ABS(_xlpm.R),"k="&amp;$D$12&amp;"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54" cm="1">
        <f t="array" aca="1" ref="GS354" ca="1">IFERROR(_xlfn.LET(_xlpm.R,_xlfn.ANCHORARRAY($GS$355),_xlpm.a,ABS(_xlpm.R),"k="&amp;$D$28&amp;"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54" cm="1">
        <f t="array" aca="1" ref="GT354" ca="1">IFERROR(_xlfn.LET(_xlpm.R,_xlfn.ANCHORARRAY($GT$355),_xlpm.a,ABS(_xlpm.R),"k="&amp;$D$44&amp;"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54" cm="1">
        <f t="array" aca="1" ref="GU354" ca="1">IFERROR(_xlfn.LET(_xlpm.R,_xlfn.ANCHORARRAY($GU$355),_xlpm.a,ABS(_xlpm.R),"k="&amp;$D$60&amp;"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54" cm="1">
        <f t="array" aca="1" ref="GV354" ca="1">IFERROR(_xlfn.LET(_xlpm.R,_xlfn.ANCHORARRAY($GV$355),_xlpm.a,ABS(_xlpm.R),"k="&amp;$D$76&amp;"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54" t="s">
        <v>44</v>
      </c>
      <c r="GY354" t="s">
        <v>45</v>
      </c>
      <c r="GZ354" t="s">
        <v>46</v>
      </c>
      <c r="HA354" t="s">
        <v>47</v>
      </c>
      <c r="HB354" t="s">
        <v>48</v>
      </c>
      <c r="HD354" t="s">
        <v>175</v>
      </c>
      <c r="HE354">
        <f>"Actual / Mean / Recon (k="&amp;$D$108&amp;")  dashed: Mean ±1σ"</f>
      </c>
      <c r="HF354" t="s">
        <v>176</v>
      </c>
      <c r="HG354" t="s">
        <v>177</v>
      </c>
      <c r="HH354" t="s">
        <v>180</v>
      </c>
      <c r="HI354" t="s">
        <v>181</v>
      </c>
      <c r="HJ354" t="s">
        <v>182</v>
      </c>
      <c r="HK354" t="s">
        <v>183</v>
      </c>
      <c r="HL354" t="s">
        <v>184</v>
      </c>
      <c r="HM354" t="s">
        <v>185</v>
      </c>
      <c r="HN354" t="s">
        <v>186</v>
      </c>
      <c r="HO354" t="s">
        <v>187</v>
      </c>
      <c r="HP354" t="s">
        <v>188</v>
      </c>
      <c r="HQ354" t="s">
        <v>189</v>
      </c>
      <c r="HR354" t="s">
        <v>190</v>
      </c>
    </row>
    <row r="355" spans="146:226" x14ac:dyDescent="0.55000000000000004">
      <c r="GQ355" cm="1">
        <f t="array" aca="1" ref="GQ355:GQ372" ca="1">IF($BB$6="Change",_xlfn.ANCHORARRAY($CJ$4),_xlfn.ANCHORARRAY($CI$4))</f>
      </c>
      <c r="GR355" s="11" cm="1">
        <f t="array" aca="1" ref="GR355:GR372" ca="1">_xlfn.LET(_xlpm.sl,_xlfn.ANCHORARRAY($EQ$354),_xlpm.mu,_xlfn.CHOOSECOLS(_xlpm.sl,8),_xlpm.sg,_xlfn.CHOOSECOLS(_xlpm.sl,9),_xlpm.x,_xlfn.ANCHORARRAY($GQ$355),_xlpm.V,_xlfn.TAKE(_xlfn.DROP(_xlpm.sl,,10),,$D$12),(_xlpm.x-(_xlpm.mu+_xlpm.sg*MMULT(_xlpm.V,MMULT(TRANSPOSE(_xlpm.V),(_xlpm.x-_xlpm.mu)/_xlpm.sg))))*100)</f>
      </c>
      <c r="GS355" s="11" cm="1">
        <f t="array" aca="1" ref="GS355:GS372" ca="1">_xlfn.LET(_xlpm.sl,_xlfn.ANCHORARRAY($EQ$354),_xlpm.mu,_xlfn.CHOOSECOLS(_xlpm.sl,8),_xlpm.sg,_xlfn.CHOOSECOLS(_xlpm.sl,9),_xlpm.x,_xlfn.ANCHORARRAY($GQ$355),_xlpm.V,_xlfn.TAKE(_xlfn.DROP(_xlpm.sl,,10),,$D$28),(_xlpm.x-(_xlpm.mu+_xlpm.sg*MMULT(_xlpm.V,MMULT(TRANSPOSE(_xlpm.V),(_xlpm.x-_xlpm.mu)/_xlpm.sg))))*100)</f>
      </c>
      <c r="GT355" s="11" cm="1">
        <f t="array" aca="1" ref="GT355:GT372" ca="1">_xlfn.LET(_xlpm.sl,_xlfn.ANCHORARRAY($EQ$354),_xlpm.mu,_xlfn.CHOOSECOLS(_xlpm.sl,8),_xlpm.sg,_xlfn.CHOOSECOLS(_xlpm.sl,9),_xlpm.x,_xlfn.ANCHORARRAY($GQ$355),_xlpm.V,_xlfn.TAKE(_xlfn.DROP(_xlpm.sl,,10),,$D$44),(_xlpm.x-(_xlpm.mu+_xlpm.sg*MMULT(_xlpm.V,MMULT(TRANSPOSE(_xlpm.V),(_xlpm.x-_xlpm.mu)/_xlpm.sg))))*100)</f>
      </c>
      <c r="GU355" s="11" cm="1">
        <f t="array" aca="1" ref="GU355:GU372" ca="1">_xlfn.LET(_xlpm.sl,_xlfn.ANCHORARRAY($EQ$354),_xlpm.mu,_xlfn.CHOOSECOLS(_xlpm.sl,8),_xlpm.sg,_xlfn.CHOOSECOLS(_xlpm.sl,9),_xlpm.x,_xlfn.ANCHORARRAY($GQ$355),_xlpm.V,_xlfn.TAKE(_xlfn.DROP(_xlpm.sl,,10),,$D$60),(_xlpm.x-(_xlpm.mu+_xlpm.sg*MMULT(_xlpm.V,MMULT(TRANSPOSE(_xlpm.V),(_xlpm.x-_xlpm.mu)/_xlpm.sg))))*100)</f>
      </c>
      <c r="GV355" s="11" cm="1">
        <f t="array" aca="1" ref="GV355:GV372" ca="1">_xlfn.LET(_xlpm.sl,_xlfn.ANCHORARRAY($EQ$354),_xlpm.mu,_xlfn.CHOOSECOLS(_xlpm.sl,8),_xlpm.sg,_xlfn.CHOOSECOLS(_xlpm.sl,9),_xlpm.x,_xlfn.ANCHORARRAY($GQ$355),_xlpm.V,_xlfn.TAKE(_xlfn.DROP(_xlpm.sl,,10),,$D$76),(_xlpm.x-(_xlpm.mu+_xlpm.sg*MMULT(_xlpm.V,MMULT(TRANSPOSE(_xlpm.V),(_xlpm.x-_xlpm.mu)/_xlpm.sg))))*100)</f>
      </c>
      <c r="GX355" cm="1">
        <f t="array" ref="GX355:GX372">_xlfn.LET(_xlpm.V,_xlfn.DROP(_xlfn.ANCHORARRAY($EQ$354),,10),IF(1&lt;=COLUMNS(_xlpm.V),_xlfn.CHOOSECOLS(_xlpm.V,1),IF(_xlfn.SEQUENCE(ROWS(_xlpm.V)),NA())))</f>
      </c>
      <c r="GY355" cm="1">
        <f t="array" ref="GY355:GY372">_xlfn.LET(_xlpm.V,_xlfn.DROP(_xlfn.ANCHORARRAY($EQ$354),,10),IF(2&lt;=COLUMNS(_xlpm.V),_xlfn.CHOOSECOLS(_xlpm.V,2),IF(_xlfn.SEQUENCE(ROWS(_xlpm.V)),NA())))</f>
      </c>
      <c r="GZ355" cm="1">
        <f t="array" ref="GZ355:GZ372">_xlfn.LET(_xlpm.V,_xlfn.DROP(_xlfn.ANCHORARRAY($EQ$354),,10),IF(3&lt;=COLUMNS(_xlpm.V),_xlfn.CHOOSECOLS(_xlpm.V,3),IF(_xlfn.SEQUENCE(ROWS(_xlpm.V)),NA())))</f>
      </c>
      <c r="HA355" cm="1">
        <f t="array" ref="HA355:HA372">_xlfn.LET(_xlpm.V,_xlfn.DROP(_xlfn.ANCHORARRAY($EQ$354),,10),IF(4&lt;=COLUMNS(_xlpm.V),_xlfn.CHOOSECOLS(_xlpm.V,4),IF(_xlfn.SEQUENCE(ROWS(_xlpm.V)),NA())))</f>
      </c>
      <c r="HB355" cm="1">
        <f t="array" ref="HB355:HB372">_xlfn.LET(_xlpm.V,_xlfn.DROP(_xlfn.ANCHORARRAY($EQ$354),,10),IF(5&lt;=COLUMNS(_xlpm.V),_xlfn.CHOOSECOLS(_xlpm.V,5),IF(_xlfn.SEQUENCE(ROWS(_xlpm.V)),NA())))</f>
      </c>
      <c r="HD355" cm="1">
        <f t="array" ref="HD355:HD372">_xlfn.CHOOSECOLS(_xlfn.ANCHORARRAY($EQ$354),8)</f>
      </c>
      <c r="HE355" cm="1">
        <f t="array" aca="1" ref="HE355:HE372" ca="1">_xlfn.LET(_xlpm.sl,_xlfn.ANCHORARRAY($EQ$354),_xlpm.mu,_xlfn.CHOOSECOLS(_xlpm.sl,8),_xlpm.sg,_xlfn.CHOOSECOLS(_xlpm.sl,9),_xlpm.x,_xlfn.ANCHORARRAY($GQ$355),_xlpm.V,_xlfn.TAKE(_xlfn.DROP(_xlpm.sl,,10),,$D$108),_xlpm.mu+_xlpm.sg*MMULT(_xlpm.V,MMULT(TRANSPOSE(_xlpm.V),(_xlpm.x-_xlpm.mu)/_xlpm.sg)))</f>
      </c>
      <c r="HF355" cm="1">
        <f t="array" ref="HF355:HF372">_xlfn.CHOOSECOLS(_xlfn.ANCHORARRAY($EQ$354),8)+_xlfn.CHOOSECOLS(_xlfn.ANCHORARRAY($EQ$354),10)</f>
      </c>
      <c r="HG355" cm="1">
        <f t="array" ref="HG355:HG372">_xlfn.CHOOSECOLS(_xlfn.ANCHORARRAY($EQ$354),8)-_xlfn.CHOOSECOLS(_xlfn.ANCHORARRAY($EQ$354),10)</f>
      </c>
      <c r="HH355" cm="1">
        <f t="array" ref="HH355:HH372">_xlfn.LET(_xlpm.v,_xlfn.CHOOSECOLS(_xlfn._xlws.FILTER(_xlfn.DROP(_xlfn.ANCHORARRAY($HS$4),1),_xlfn.TAKE(_xlfn.DROP(_xlfn.ANCHORARRAY($HS$4),1),,1)=8),3),IF(_xlpm.v="",NA(),_xlpm.v))</f>
      </c>
      <c r="HI355" cm="1">
        <f t="array" ref="HI355:HI372">-_xlfn.ANCHORARRAY($HH$355)</f>
      </c>
      <c r="HJ355" cm="1">
        <f t="array" ref="HJ355:HJ372">_xlfn.LET(_xlpm.v,_xlfn.CHOOSECOLS(_xlfn._xlws.FILTER(_xlfn.DROP(_xlfn.ANCHORARRAY($HS$4),1),_xlfn.TAKE(_xlfn.DROP(_xlfn.ANCHORARRAY($HS$4),1),,1)=8),4),IF(_xlpm.v="",NA(),_xlpm.v))</f>
      </c>
      <c r="HK355" cm="1">
        <f t="array" ref="HK355:HK372">-_xlfn.ANCHORARRAY($HJ$355)</f>
      </c>
      <c r="HL355" cm="1">
        <f t="array" ref="HL355:HL372">_xlfn.LET(_xlpm.v,_xlfn.CHOOSECOLS(_xlfn._xlws.FILTER(_xlfn.DROP(_xlfn.ANCHORARRAY($HS$4),1),_xlfn.TAKE(_xlfn.DROP(_xlfn.ANCHORARRAY($HS$4),1),,1)=8),5),IF(_xlpm.v="",NA(),_xlpm.v))</f>
      </c>
      <c r="HM355" cm="1">
        <f t="array" ref="HM355:HM372">-_xlfn.ANCHORARRAY($HL$355)</f>
      </c>
      <c r="HN355" cm="1">
        <f t="array" ref="HN355:HN372">_xlfn.LET(_xlpm.v,_xlfn.CHOOSECOLS(_xlfn._xlws.FILTER(_xlfn.DROP(_xlfn.ANCHORARRAY($HS$4),1),_xlfn.TAKE(_xlfn.DROP(_xlfn.ANCHORARRAY($HS$4),1),,1)=8),6),IF(_xlpm.v="",NA(),_xlpm.v))</f>
      </c>
      <c r="HO355" cm="1">
        <f t="array" ref="HO355:HO372">-_xlfn.ANCHORARRAY($HN$355)</f>
      </c>
      <c r="HP355" cm="1">
        <f t="array" ref="HP355:HP372">_xlfn.LET(_xlpm.v,_xlfn.CHOOSECOLS(_xlfn._xlws.FILTER(_xlfn.DROP(_xlfn.ANCHORARRAY($HS$4),1),_xlfn.TAKE(_xlfn.DROP(_xlfn.ANCHORARRAY($HS$4),1),,1)=8),7),IF(_xlpm.v="",NA(),_xlpm.v))</f>
      </c>
      <c r="HQ355" cm="1">
        <f t="array" ref="HQ355:HQ372">-_xlfn.ANCHORARRAY($HP$355)</f>
      </c>
      <c r="HR355" cm="1">
        <f t="array" ref="HR355">IFERROR(INDEX(_xlfn._xlws.FILTER(_xlfn.DROP(_xlfn.ANCHORARRAY($HS$4),1),_xlfn.TAKE(_xlfn.DROP(_xlfn.ANCHORARRAY($HS$4),1),,1)=8),1,2),"")</f>
      </c>
    </row>
    <row r="356" spans="146:226" x14ac:dyDescent="0.55000000000000004">
      <c r="GQ356">
        <f ca="1"/>
      </c>
      <c r="GR356" s="11">
        <f ca="1"/>
      </c>
      <c r="GS356" s="11">
        <f ca="1"/>
      </c>
      <c r="GT356" s="11">
        <f ca="1"/>
      </c>
      <c r="GU356" s="11">
        <f ca="1"/>
      </c>
      <c r="GV356" s="11">
        <f ca="1"/>
      </c>
      <c r="HE356">
        <f ca="1"/>
      </c>
    </row>
    <row r="357" spans="146:226" x14ac:dyDescent="0.55000000000000004">
      <c r="GQ357">
        <f ca="1"/>
      </c>
      <c r="GR357" s="11">
        <f ca="1"/>
      </c>
      <c r="GS357" s="11">
        <f ca="1"/>
      </c>
      <c r="GT357" s="11">
        <f ca="1"/>
      </c>
      <c r="GU357" s="11">
        <f ca="1"/>
      </c>
      <c r="GV357" s="11">
        <f ca="1"/>
      </c>
      <c r="HE357">
        <f ca="1"/>
      </c>
    </row>
    <row r="358" spans="146:226" x14ac:dyDescent="0.55000000000000004">
      <c r="GQ358">
        <f ca="1"/>
      </c>
      <c r="GR358" s="11">
        <f ca="1"/>
      </c>
      <c r="GS358" s="11">
        <f ca="1"/>
      </c>
      <c r="GT358" s="11">
        <f ca="1"/>
      </c>
      <c r="GU358" s="11">
        <f ca="1"/>
      </c>
      <c r="GV358" s="11">
        <f ca="1"/>
      </c>
      <c r="HE358">
        <f ca="1"/>
      </c>
    </row>
    <row r="359" spans="146:226" x14ac:dyDescent="0.55000000000000004">
      <c r="GQ359">
        <f ca="1"/>
      </c>
      <c r="GR359" s="11">
        <f ca="1"/>
      </c>
      <c r="GS359" s="11">
        <f ca="1"/>
      </c>
      <c r="GT359" s="11">
        <f ca="1"/>
      </c>
      <c r="GU359" s="11">
        <f ca="1"/>
      </c>
      <c r="GV359" s="11">
        <f ca="1"/>
      </c>
      <c r="HE359">
        <f ca="1"/>
      </c>
    </row>
    <row r="360" spans="146:226" x14ac:dyDescent="0.55000000000000004">
      <c r="GQ360">
        <f ca="1"/>
      </c>
      <c r="GR360" s="11">
        <f ca="1"/>
      </c>
      <c r="GS360" s="11">
        <f ca="1"/>
      </c>
      <c r="GT360" s="11">
        <f ca="1"/>
      </c>
      <c r="GU360" s="11">
        <f ca="1"/>
      </c>
      <c r="GV360" s="11">
        <f ca="1"/>
      </c>
      <c r="HE360">
        <f ca="1"/>
      </c>
    </row>
    <row r="361" spans="146:226" x14ac:dyDescent="0.55000000000000004">
      <c r="GQ361">
        <f ca="1"/>
      </c>
      <c r="GR361" s="11">
        <f ca="1"/>
      </c>
      <c r="GS361" s="11">
        <f ca="1"/>
      </c>
      <c r="GT361" s="11">
        <f ca="1"/>
      </c>
      <c r="GU361" s="11">
        <f ca="1"/>
      </c>
      <c r="GV361" s="11">
        <f ca="1"/>
      </c>
      <c r="HE361">
        <f ca="1"/>
      </c>
    </row>
    <row r="362" spans="146:226" x14ac:dyDescent="0.55000000000000004">
      <c r="GQ362">
        <f ca="1"/>
      </c>
      <c r="GR362" s="11">
        <f ca="1"/>
      </c>
      <c r="GS362" s="11">
        <f ca="1"/>
      </c>
      <c r="GT362" s="11">
        <f ca="1"/>
      </c>
      <c r="GU362" s="11">
        <f ca="1"/>
      </c>
      <c r="GV362" s="11">
        <f ca="1"/>
      </c>
      <c r="HE362">
        <f ca="1"/>
      </c>
    </row>
    <row r="363" spans="146:226" x14ac:dyDescent="0.55000000000000004">
      <c r="GQ363">
        <f ca="1"/>
      </c>
      <c r="GR363" s="11">
        <f ca="1"/>
      </c>
      <c r="GS363" s="11">
        <f ca="1"/>
      </c>
      <c r="GT363" s="11">
        <f ca="1"/>
      </c>
      <c r="GU363" s="11">
        <f ca="1"/>
      </c>
      <c r="GV363" s="11">
        <f ca="1"/>
      </c>
      <c r="HE363">
        <f ca="1"/>
      </c>
    </row>
    <row r="364" spans="146:226" x14ac:dyDescent="0.55000000000000004">
      <c r="GQ364">
        <f ca="1"/>
      </c>
      <c r="GR364" s="11">
        <f ca="1"/>
      </c>
      <c r="GS364" s="11">
        <f ca="1"/>
      </c>
      <c r="GT364" s="11">
        <f ca="1"/>
      </c>
      <c r="GU364" s="11">
        <f ca="1"/>
      </c>
      <c r="GV364" s="11">
        <f ca="1"/>
      </c>
      <c r="HE364">
        <f ca="1"/>
      </c>
    </row>
    <row r="365" spans="146:226" x14ac:dyDescent="0.55000000000000004">
      <c r="GQ365">
        <f ca="1"/>
      </c>
      <c r="GR365" s="11">
        <f ca="1"/>
      </c>
      <c r="GS365" s="11">
        <f ca="1"/>
      </c>
      <c r="GT365" s="11">
        <f ca="1"/>
      </c>
      <c r="GU365" s="11">
        <f ca="1"/>
      </c>
      <c r="GV365" s="11">
        <f ca="1"/>
      </c>
      <c r="HE365">
        <f ca="1"/>
      </c>
    </row>
    <row r="366" spans="146:226" x14ac:dyDescent="0.55000000000000004">
      <c r="GQ366">
        <f ca="1"/>
      </c>
      <c r="GR366" s="11">
        <f ca="1"/>
      </c>
      <c r="GS366" s="11">
        <f ca="1"/>
      </c>
      <c r="GT366" s="11">
        <f ca="1"/>
      </c>
      <c r="GU366" s="11">
        <f ca="1"/>
      </c>
      <c r="GV366" s="11">
        <f ca="1"/>
      </c>
      <c r="HE366">
        <f ca="1"/>
      </c>
    </row>
    <row r="367" spans="146:226" x14ac:dyDescent="0.55000000000000004">
      <c r="GQ367">
        <f ca="1"/>
      </c>
      <c r="GR367" s="11">
        <f ca="1"/>
      </c>
      <c r="GS367" s="11">
        <f ca="1"/>
      </c>
      <c r="GT367" s="11">
        <f ca="1"/>
      </c>
      <c r="GU367" s="11">
        <f ca="1"/>
      </c>
      <c r="GV367" s="11">
        <f ca="1"/>
      </c>
      <c r="HE367">
        <f ca="1"/>
      </c>
    </row>
    <row r="368" spans="146:226" x14ac:dyDescent="0.55000000000000004">
      <c r="GQ368">
        <f ca="1"/>
      </c>
      <c r="GR368" s="11">
        <f ca="1"/>
      </c>
      <c r="GS368" s="11">
        <f ca="1"/>
      </c>
      <c r="GT368" s="11">
        <f ca="1"/>
      </c>
      <c r="GU368" s="11">
        <f ca="1"/>
      </c>
      <c r="GV368" s="11">
        <f ca="1"/>
      </c>
      <c r="HE368">
        <f ca="1"/>
      </c>
    </row>
    <row r="369" spans="147:225" x14ac:dyDescent="0.55000000000000004">
      <c r="GQ369">
        <f ca="1"/>
      </c>
      <c r="GR369" s="11">
        <f ca="1"/>
      </c>
      <c r="GS369" s="11">
        <f ca="1"/>
      </c>
      <c r="GT369" s="11">
        <f ca="1"/>
      </c>
      <c r="GU369" s="11">
        <f ca="1"/>
      </c>
      <c r="GV369" s="11">
        <f ca="1"/>
      </c>
      <c r="HE369">
        <f ca="1"/>
      </c>
    </row>
    <row r="370" spans="147:225" x14ac:dyDescent="0.55000000000000004">
      <c r="GQ370">
        <f ca="1"/>
      </c>
      <c r="GR370" s="11">
        <f ca="1"/>
      </c>
      <c r="GS370" s="11">
        <f ca="1"/>
      </c>
      <c r="GT370" s="11">
        <f ca="1"/>
      </c>
      <c r="GU370" s="11">
        <f ca="1"/>
      </c>
      <c r="GV370" s="11">
        <f ca="1"/>
      </c>
      <c r="HE370">
        <f ca="1"/>
      </c>
    </row>
    <row r="371" spans="147:225" x14ac:dyDescent="0.55000000000000004">
      <c r="GQ371">
        <f ca="1"/>
      </c>
      <c r="GR371" s="11">
        <f ca="1"/>
      </c>
      <c r="GS371" s="11">
        <f ca="1"/>
      </c>
      <c r="GT371" s="11">
        <f ca="1"/>
      </c>
      <c r="GU371" s="11">
        <f ca="1"/>
      </c>
      <c r="GV371" s="11">
        <f ca="1"/>
      </c>
      <c r="HE371">
        <f ca="1"/>
      </c>
    </row>
    <row r="372" spans="147:225" x14ac:dyDescent="0.55000000000000004">
      <c r="GQ372">
        <f ca="1"/>
      </c>
      <c r="GR372" s="11">
        <f ca="1"/>
      </c>
      <c r="GS372" s="11">
        <f ca="1"/>
      </c>
      <c r="GT372" s="11">
        <f ca="1"/>
      </c>
      <c r="GU372" s="11">
        <f ca="1"/>
      </c>
      <c r="GV372" s="11">
        <f ca="1"/>
      </c>
      <c r="HE372">
        <f ca="1"/>
      </c>
    </row>
    <row r="373" spans="147:225" x14ac:dyDescent="0.55000000000000004">
      <c r="GR373" s="11"/>
      <c r="GS373" s="11"/>
      <c r="GT373" s="11"/>
      <c r="GU373" s="11"/>
      <c r="GV373" s="11"/>
    </row>
    <row r="374" spans="147:225" x14ac:dyDescent="0.55000000000000004">
      <c r="GR374" s="11"/>
      <c r="GS374" s="11"/>
      <c r="GT374" s="11"/>
      <c r="GU374" s="11"/>
      <c r="GV374" s="11"/>
    </row>
    <row r="375" spans="147:225" x14ac:dyDescent="0.55000000000000004">
      <c r="GR375" s="11"/>
      <c r="GS375" s="11"/>
      <c r="GT375" s="11"/>
      <c r="GU375" s="11"/>
      <c r="GV375" s="11"/>
    </row>
    <row r="376" spans="147:225" x14ac:dyDescent="0.55000000000000004">
      <c r="GR376" s="11"/>
      <c r="GS376" s="11"/>
      <c r="GT376" s="11"/>
      <c r="GU376" s="11"/>
      <c r="GV376" s="11"/>
    </row>
    <row r="377" spans="147:225" x14ac:dyDescent="0.55000000000000004">
      <c r="GR377" s="11"/>
      <c r="GS377" s="11"/>
      <c r="GT377" s="11"/>
      <c r="GU377" s="11"/>
      <c r="GV377" s="11"/>
    </row>
    <row r="378" spans="147:225" x14ac:dyDescent="0.55000000000000004">
      <c r="GR378" s="11"/>
      <c r="GS378" s="11"/>
      <c r="GT378" s="11"/>
      <c r="GU378" s="11"/>
      <c r="GV378" s="11"/>
    </row>
    <row r="379" spans="147:225" x14ac:dyDescent="0.55000000000000004">
      <c r="GR379" s="11"/>
      <c r="GS379" s="11"/>
      <c r="GT379" s="11"/>
      <c r="GU379" s="11"/>
      <c r="GV379" s="11"/>
    </row>
    <row r="380" spans="147:225" x14ac:dyDescent="0.55000000000000004">
      <c r="GR380" s="11"/>
      <c r="GS380" s="11"/>
      <c r="GT380" s="11"/>
      <c r="GU380" s="11"/>
      <c r="GV380" s="11"/>
    </row>
    <row r="381" spans="147:225" x14ac:dyDescent="0.55000000000000004">
      <c r="GR381" s="11"/>
      <c r="GS381" s="11"/>
      <c r="GT381" s="11"/>
      <c r="GU381" s="11"/>
      <c r="GV381" s="11"/>
    </row>
    <row r="382" spans="147:225" x14ac:dyDescent="0.55000000000000004">
      <c r="GR382" s="11"/>
      <c r="GS382" s="11"/>
      <c r="GT382" s="11"/>
      <c r="GU382" s="11"/>
      <c r="GV382" s="11"/>
    </row>
    <row r="383" spans="147:225" x14ac:dyDescent="0.55000000000000004">
      <c r="GR383" s="11"/>
      <c r="GS383" s="11"/>
      <c r="GT383" s="11"/>
      <c r="GU383" s="11"/>
      <c r="GV383" s="11"/>
    </row>
    <row r="384" spans="147:225" x14ac:dyDescent="0.55000000000000004">
      <c r="GR384" s="11"/>
      <c r="GS384" s="11"/>
      <c r="GT384" s="11"/>
      <c r="GU384" s="11"/>
      <c r="GV384" s="11"/>
    </row>
    <row r="385" spans="200:204" x14ac:dyDescent="0.55000000000000004">
      <c r="GR385" s="11"/>
      <c r="GS385" s="11"/>
      <c r="GT385" s="11"/>
      <c r="GU385" s="11"/>
      <c r="GV385" s="11"/>
    </row>
    <row r="386" spans="200:204" x14ac:dyDescent="0.55000000000000004">
      <c r="GR386" s="11"/>
      <c r="GS386" s="11"/>
      <c r="GT386" s="11"/>
      <c r="GU386" s="11"/>
      <c r="GV386" s="11"/>
    </row>
    <row r="387" spans="200:204" x14ac:dyDescent="0.55000000000000004">
      <c r="GR387" s="11"/>
      <c r="GS387" s="11"/>
      <c r="GT387" s="11"/>
      <c r="GU387" s="11"/>
      <c r="GV387" s="11"/>
    </row>
    <row r="388" spans="200:204" x14ac:dyDescent="0.55000000000000004">
      <c r="GR388" s="11"/>
      <c r="GS388" s="11"/>
      <c r="GT388" s="11"/>
      <c r="GU388" s="11"/>
      <c r="GV388" s="11"/>
    </row>
    <row r="389" spans="200:204" x14ac:dyDescent="0.55000000000000004">
      <c r="GR389" s="11"/>
      <c r="GS389" s="11"/>
      <c r="GT389" s="11"/>
      <c r="GU389" s="11"/>
      <c r="GV389" s="11"/>
    </row>
    <row r="390" spans="200:204" x14ac:dyDescent="0.55000000000000004">
      <c r="GR390" s="11"/>
      <c r="GS390" s="11"/>
      <c r="GT390" s="11"/>
      <c r="GU390" s="11"/>
      <c r="GV390" s="11"/>
    </row>
    <row r="391" spans="200:204" x14ac:dyDescent="0.55000000000000004">
      <c r="GR391" s="11"/>
      <c r="GS391" s="11"/>
      <c r="GT391" s="11"/>
      <c r="GU391" s="11"/>
      <c r="GV391" s="11"/>
    </row>
    <row r="392" spans="200:204" x14ac:dyDescent="0.55000000000000004">
      <c r="GR392" s="11"/>
      <c r="GS392" s="11"/>
      <c r="GT392" s="11"/>
      <c r="GU392" s="11"/>
      <c r="GV392" s="11"/>
    </row>
    <row r="393" spans="200:204" x14ac:dyDescent="0.55000000000000004">
      <c r="GR393" s="11"/>
      <c r="GS393" s="11"/>
      <c r="GT393" s="11"/>
      <c r="GU393" s="11"/>
      <c r="GV393" s="11"/>
    </row>
    <row r="394" spans="200:204" x14ac:dyDescent="0.55000000000000004">
      <c r="GR394" s="11"/>
      <c r="GS394" s="11"/>
      <c r="GT394" s="11"/>
      <c r="GU394" s="11"/>
      <c r="GV394" s="11"/>
    </row>
    <row r="395" spans="200:204" x14ac:dyDescent="0.55000000000000004">
      <c r="GR395" s="11"/>
      <c r="GS395" s="11"/>
      <c r="GT395" s="11"/>
      <c r="GU395" s="11"/>
      <c r="GV395" s="11"/>
    </row>
    <row r="396" spans="200:204" x14ac:dyDescent="0.55000000000000004">
      <c r="GR396" s="11"/>
      <c r="GS396" s="11"/>
      <c r="GT396" s="11"/>
      <c r="GU396" s="11"/>
      <c r="GV396" s="11"/>
    </row>
    <row r="404" spans="146:226" x14ac:dyDescent="0.55000000000000004">
      <c r="EP404" t="s">
        <v>161</v>
      </c>
      <c r="EQ404" cm="1">
        <f t="array" ref="EQ404:FR421">_xlfn.LET(_xlpm.g,_xlfn.DROP(_xlfn.ANCHORARRAY($CO$4),1),_xlfn._xlws.FILTER(_xlpm.g,_xlfn.TAKE(_xlpm.g,,1)=9))</f>
      </c>
      <c r="GQ404" t="s">
        <v>170</v>
      </c>
      <c r="GR404" cm="1">
        <f t="array" aca="1" ref="GR404" ca="1">IFERROR(_xlfn.LET(_xlpm.R,_xlfn.ANCHORARRAY($GR$405),_xlpm.a,ABS(_xlpm.R),"k="&amp;$D$12&amp;"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04" cm="1">
        <f t="array" aca="1" ref="GS404" ca="1">IFERROR(_xlfn.LET(_xlpm.R,_xlfn.ANCHORARRAY($GS$405),_xlpm.a,ABS(_xlpm.R),"k="&amp;$D$28&amp;"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04" cm="1">
        <f t="array" aca="1" ref="GT404" ca="1">IFERROR(_xlfn.LET(_xlpm.R,_xlfn.ANCHORARRAY($GT$405),_xlpm.a,ABS(_xlpm.R),"k="&amp;$D$44&amp;"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04" cm="1">
        <f t="array" aca="1" ref="GU404" ca="1">IFERROR(_xlfn.LET(_xlpm.R,_xlfn.ANCHORARRAY($GU$405),_xlpm.a,ABS(_xlpm.R),"k="&amp;$D$60&amp;"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04" cm="1">
        <f t="array" aca="1" ref="GV404" ca="1">IFERROR(_xlfn.LET(_xlpm.R,_xlfn.ANCHORARRAY($GV$405),_xlpm.a,ABS(_xlpm.R),"k="&amp;$D$76&amp;"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04" t="s">
        <v>44</v>
      </c>
      <c r="GY404" t="s">
        <v>45</v>
      </c>
      <c r="GZ404" t="s">
        <v>46</v>
      </c>
      <c r="HA404" t="s">
        <v>47</v>
      </c>
      <c r="HB404" t="s">
        <v>48</v>
      </c>
      <c r="HD404" t="s">
        <v>175</v>
      </c>
      <c r="HE404">
        <f>"Actual / Mean / Recon (k="&amp;$D$108&amp;")  dashed: Mean ±1σ"</f>
      </c>
      <c r="HF404" t="s">
        <v>176</v>
      </c>
      <c r="HG404" t="s">
        <v>177</v>
      </c>
      <c r="HH404" t="s">
        <v>180</v>
      </c>
      <c r="HI404" t="s">
        <v>181</v>
      </c>
      <c r="HJ404" t="s">
        <v>182</v>
      </c>
      <c r="HK404" t="s">
        <v>183</v>
      </c>
      <c r="HL404" t="s">
        <v>184</v>
      </c>
      <c r="HM404" t="s">
        <v>185</v>
      </c>
      <c r="HN404" t="s">
        <v>186</v>
      </c>
      <c r="HO404" t="s">
        <v>187</v>
      </c>
      <c r="HP404" t="s">
        <v>188</v>
      </c>
      <c r="HQ404" t="s">
        <v>189</v>
      </c>
      <c r="HR404" t="s">
        <v>190</v>
      </c>
    </row>
    <row r="405" spans="146:226" x14ac:dyDescent="0.55000000000000004">
      <c r="GQ405" cm="1">
        <f t="array" aca="1" ref="GQ405:GQ422" ca="1">IF($BI$6="Change",_xlfn.ANCHORARRAY($CJ$4),_xlfn.ANCHORARRAY($CI$4))</f>
      </c>
      <c r="GR405" s="11" cm="1">
        <f t="array" aca="1" ref="GR405:GR422" ca="1">_xlfn.LET(_xlpm.sl,_xlfn.ANCHORARRAY($EQ$404),_xlpm.mu,_xlfn.CHOOSECOLS(_xlpm.sl,8),_xlpm.sg,_xlfn.CHOOSECOLS(_xlpm.sl,9),_xlpm.x,_xlfn.ANCHORARRAY($GQ$405),_xlpm.V,_xlfn.TAKE(_xlfn.DROP(_xlpm.sl,,10),,$D$12),(_xlpm.x-(_xlpm.mu+_xlpm.sg*MMULT(_xlpm.V,MMULT(TRANSPOSE(_xlpm.V),(_xlpm.x-_xlpm.mu)/_xlpm.sg))))*100)</f>
      </c>
      <c r="GS405" s="11" cm="1">
        <f t="array" aca="1" ref="GS405:GS422" ca="1">_xlfn.LET(_xlpm.sl,_xlfn.ANCHORARRAY($EQ$404),_xlpm.mu,_xlfn.CHOOSECOLS(_xlpm.sl,8),_xlpm.sg,_xlfn.CHOOSECOLS(_xlpm.sl,9),_xlpm.x,_xlfn.ANCHORARRAY($GQ$405),_xlpm.V,_xlfn.TAKE(_xlfn.DROP(_xlpm.sl,,10),,$D$28),(_xlpm.x-(_xlpm.mu+_xlpm.sg*MMULT(_xlpm.V,MMULT(TRANSPOSE(_xlpm.V),(_xlpm.x-_xlpm.mu)/_xlpm.sg))))*100)</f>
      </c>
      <c r="GT405" s="11" cm="1">
        <f t="array" aca="1" ref="GT405:GT422" ca="1">_xlfn.LET(_xlpm.sl,_xlfn.ANCHORARRAY($EQ$404),_xlpm.mu,_xlfn.CHOOSECOLS(_xlpm.sl,8),_xlpm.sg,_xlfn.CHOOSECOLS(_xlpm.sl,9),_xlpm.x,_xlfn.ANCHORARRAY($GQ$405),_xlpm.V,_xlfn.TAKE(_xlfn.DROP(_xlpm.sl,,10),,$D$44),(_xlpm.x-(_xlpm.mu+_xlpm.sg*MMULT(_xlpm.V,MMULT(TRANSPOSE(_xlpm.V),(_xlpm.x-_xlpm.mu)/_xlpm.sg))))*100)</f>
      </c>
      <c r="GU405" s="11" cm="1">
        <f t="array" aca="1" ref="GU405:GU422" ca="1">_xlfn.LET(_xlpm.sl,_xlfn.ANCHORARRAY($EQ$404),_xlpm.mu,_xlfn.CHOOSECOLS(_xlpm.sl,8),_xlpm.sg,_xlfn.CHOOSECOLS(_xlpm.sl,9),_xlpm.x,_xlfn.ANCHORARRAY($GQ$405),_xlpm.V,_xlfn.TAKE(_xlfn.DROP(_xlpm.sl,,10),,$D$60),(_xlpm.x-(_xlpm.mu+_xlpm.sg*MMULT(_xlpm.V,MMULT(TRANSPOSE(_xlpm.V),(_xlpm.x-_xlpm.mu)/_xlpm.sg))))*100)</f>
      </c>
      <c r="GV405" s="11" cm="1">
        <f t="array" aca="1" ref="GV405:GV422" ca="1">_xlfn.LET(_xlpm.sl,_xlfn.ANCHORARRAY($EQ$404),_xlpm.mu,_xlfn.CHOOSECOLS(_xlpm.sl,8),_xlpm.sg,_xlfn.CHOOSECOLS(_xlpm.sl,9),_xlpm.x,_xlfn.ANCHORARRAY($GQ$405),_xlpm.V,_xlfn.TAKE(_xlfn.DROP(_xlpm.sl,,10),,$D$76),(_xlpm.x-(_xlpm.mu+_xlpm.sg*MMULT(_xlpm.V,MMULT(TRANSPOSE(_xlpm.V),(_xlpm.x-_xlpm.mu)/_xlpm.sg))))*100)</f>
      </c>
      <c r="GX405" cm="1">
        <f t="array" ref="GX405:GX422">_xlfn.LET(_xlpm.V,_xlfn.DROP(_xlfn.ANCHORARRAY($EQ$404),,10),IF(1&lt;=COLUMNS(_xlpm.V),_xlfn.CHOOSECOLS(_xlpm.V,1),IF(_xlfn.SEQUENCE(ROWS(_xlpm.V)),NA())))</f>
      </c>
      <c r="GY405" cm="1">
        <f t="array" ref="GY405:GY422">_xlfn.LET(_xlpm.V,_xlfn.DROP(_xlfn.ANCHORARRAY($EQ$404),,10),IF(2&lt;=COLUMNS(_xlpm.V),_xlfn.CHOOSECOLS(_xlpm.V,2),IF(_xlfn.SEQUENCE(ROWS(_xlpm.V)),NA())))</f>
      </c>
      <c r="GZ405" cm="1">
        <f t="array" ref="GZ405:GZ422">_xlfn.LET(_xlpm.V,_xlfn.DROP(_xlfn.ANCHORARRAY($EQ$404),,10),IF(3&lt;=COLUMNS(_xlpm.V),_xlfn.CHOOSECOLS(_xlpm.V,3),IF(_xlfn.SEQUENCE(ROWS(_xlpm.V)),NA())))</f>
      </c>
      <c r="HA405" cm="1">
        <f t="array" ref="HA405:HA422">_xlfn.LET(_xlpm.V,_xlfn.DROP(_xlfn.ANCHORARRAY($EQ$404),,10),IF(4&lt;=COLUMNS(_xlpm.V),_xlfn.CHOOSECOLS(_xlpm.V,4),IF(_xlfn.SEQUENCE(ROWS(_xlpm.V)),NA())))</f>
      </c>
      <c r="HB405" cm="1">
        <f t="array" ref="HB405:HB422">_xlfn.LET(_xlpm.V,_xlfn.DROP(_xlfn.ANCHORARRAY($EQ$404),,10),IF(5&lt;=COLUMNS(_xlpm.V),_xlfn.CHOOSECOLS(_xlpm.V,5),IF(_xlfn.SEQUENCE(ROWS(_xlpm.V)),NA())))</f>
      </c>
      <c r="HD405" cm="1">
        <f t="array" ref="HD405:HD422">_xlfn.CHOOSECOLS(_xlfn.ANCHORARRAY($EQ$404),8)</f>
      </c>
      <c r="HE405" cm="1">
        <f t="array" aca="1" ref="HE405:HE422" ca="1">_xlfn.LET(_xlpm.sl,_xlfn.ANCHORARRAY($EQ$404),_xlpm.mu,_xlfn.CHOOSECOLS(_xlpm.sl,8),_xlpm.sg,_xlfn.CHOOSECOLS(_xlpm.sl,9),_xlpm.x,_xlfn.ANCHORARRAY($GQ$405),_xlpm.V,_xlfn.TAKE(_xlfn.DROP(_xlpm.sl,,10),,$D$108),_xlpm.mu+_xlpm.sg*MMULT(_xlpm.V,MMULT(TRANSPOSE(_xlpm.V),(_xlpm.x-_xlpm.mu)/_xlpm.sg)))</f>
      </c>
      <c r="HF405" cm="1">
        <f t="array" ref="HF405:HF422">_xlfn.CHOOSECOLS(_xlfn.ANCHORARRAY($EQ$404),8)+_xlfn.CHOOSECOLS(_xlfn.ANCHORARRAY($EQ$404),10)</f>
      </c>
      <c r="HG405" cm="1">
        <f t="array" ref="HG405:HG422">_xlfn.CHOOSECOLS(_xlfn.ANCHORARRAY($EQ$404),8)-_xlfn.CHOOSECOLS(_xlfn.ANCHORARRAY($EQ$404),10)</f>
      </c>
      <c r="HH405" cm="1">
        <f t="array" ref="HH405:HH422">_xlfn.LET(_xlpm.v,_xlfn.CHOOSECOLS(_xlfn._xlws.FILTER(_xlfn.DROP(_xlfn.ANCHORARRAY($HS$4),1),_xlfn.TAKE(_xlfn.DROP(_xlfn.ANCHORARRAY($HS$4),1),,1)=9),3),IF(_xlpm.v="",NA(),_xlpm.v))</f>
      </c>
      <c r="HI405" cm="1">
        <f t="array" ref="HI405:HI422">-_xlfn.ANCHORARRAY($HH$405)</f>
      </c>
      <c r="HJ405" cm="1">
        <f t="array" ref="HJ405:HJ422">_xlfn.LET(_xlpm.v,_xlfn.CHOOSECOLS(_xlfn._xlws.FILTER(_xlfn.DROP(_xlfn.ANCHORARRAY($HS$4),1),_xlfn.TAKE(_xlfn.DROP(_xlfn.ANCHORARRAY($HS$4),1),,1)=9),4),IF(_xlpm.v="",NA(),_xlpm.v))</f>
      </c>
      <c r="HK405" cm="1">
        <f t="array" ref="HK405:HK422">-_xlfn.ANCHORARRAY($HJ$405)</f>
      </c>
      <c r="HL405" cm="1">
        <f t="array" ref="HL405:HL422">_xlfn.LET(_xlpm.v,_xlfn.CHOOSECOLS(_xlfn._xlws.FILTER(_xlfn.DROP(_xlfn.ANCHORARRAY($HS$4),1),_xlfn.TAKE(_xlfn.DROP(_xlfn.ANCHORARRAY($HS$4),1),,1)=9),5),IF(_xlpm.v="",NA(),_xlpm.v))</f>
      </c>
      <c r="HM405" cm="1">
        <f t="array" ref="HM405:HM422">-_xlfn.ANCHORARRAY($HL$405)</f>
      </c>
      <c r="HN405" cm="1">
        <f t="array" ref="HN405:HN422">_xlfn.LET(_xlpm.v,_xlfn.CHOOSECOLS(_xlfn._xlws.FILTER(_xlfn.DROP(_xlfn.ANCHORARRAY($HS$4),1),_xlfn.TAKE(_xlfn.DROP(_xlfn.ANCHORARRAY($HS$4),1),,1)=9),6),IF(_xlpm.v="",NA(),_xlpm.v))</f>
      </c>
      <c r="HO405" cm="1">
        <f t="array" ref="HO405:HO422">-_xlfn.ANCHORARRAY($HN$405)</f>
      </c>
      <c r="HP405" cm="1">
        <f t="array" ref="HP405:HP422">_xlfn.LET(_xlpm.v,_xlfn.CHOOSECOLS(_xlfn._xlws.FILTER(_xlfn.DROP(_xlfn.ANCHORARRAY($HS$4),1),_xlfn.TAKE(_xlfn.DROP(_xlfn.ANCHORARRAY($HS$4),1),,1)=9),7),IF(_xlpm.v="",NA(),_xlpm.v))</f>
      </c>
      <c r="HQ405" cm="1">
        <f t="array" ref="HQ405:HQ422">-_xlfn.ANCHORARRAY($HP$405)</f>
      </c>
      <c r="HR405" cm="1">
        <f t="array" ref="HR405">IFERROR(INDEX(_xlfn._xlws.FILTER(_xlfn.DROP(_xlfn.ANCHORARRAY($HS$4),1),_xlfn.TAKE(_xlfn.DROP(_xlfn.ANCHORARRAY($HS$4),1),,1)=9),1,2),"")</f>
      </c>
    </row>
    <row r="406" spans="146:226" x14ac:dyDescent="0.55000000000000004">
      <c r="GQ406">
        <f ca="1"/>
      </c>
      <c r="GR406" s="11">
        <f ca="1"/>
      </c>
      <c r="GS406" s="11">
        <f ca="1"/>
      </c>
      <c r="GT406" s="11">
        <f ca="1"/>
      </c>
      <c r="GU406" s="11">
        <f ca="1"/>
      </c>
      <c r="GV406" s="11">
        <f ca="1"/>
      </c>
      <c r="HE406">
        <f ca="1"/>
      </c>
    </row>
    <row r="407" spans="146:226" x14ac:dyDescent="0.55000000000000004">
      <c r="GQ407">
        <f ca="1"/>
      </c>
      <c r="GR407" s="11">
        <f ca="1"/>
      </c>
      <c r="GS407" s="11">
        <f ca="1"/>
      </c>
      <c r="GT407" s="11">
        <f ca="1"/>
      </c>
      <c r="GU407" s="11">
        <f ca="1"/>
      </c>
      <c r="GV407" s="11">
        <f ca="1"/>
      </c>
      <c r="HE407">
        <f ca="1"/>
      </c>
    </row>
    <row r="408" spans="146:226" x14ac:dyDescent="0.55000000000000004">
      <c r="GQ408">
        <f ca="1"/>
      </c>
      <c r="GR408" s="11">
        <f ca="1"/>
      </c>
      <c r="GS408" s="11">
        <f ca="1"/>
      </c>
      <c r="GT408" s="11">
        <f ca="1"/>
      </c>
      <c r="GU408" s="11">
        <f ca="1"/>
      </c>
      <c r="GV408" s="11">
        <f ca="1"/>
      </c>
      <c r="HE408">
        <f ca="1"/>
      </c>
    </row>
    <row r="409" spans="146:226" x14ac:dyDescent="0.55000000000000004">
      <c r="GQ409">
        <f ca="1"/>
      </c>
      <c r="GR409" s="11">
        <f ca="1"/>
      </c>
      <c r="GS409" s="11">
        <f ca="1"/>
      </c>
      <c r="GT409" s="11">
        <f ca="1"/>
      </c>
      <c r="GU409" s="11">
        <f ca="1"/>
      </c>
      <c r="GV409" s="11">
        <f ca="1"/>
      </c>
      <c r="HE409">
        <f ca="1"/>
      </c>
    </row>
    <row r="410" spans="146:226" x14ac:dyDescent="0.55000000000000004">
      <c r="GQ410">
        <f ca="1"/>
      </c>
      <c r="GR410" s="11">
        <f ca="1"/>
      </c>
      <c r="GS410" s="11">
        <f ca="1"/>
      </c>
      <c r="GT410" s="11">
        <f ca="1"/>
      </c>
      <c r="GU410" s="11">
        <f ca="1"/>
      </c>
      <c r="GV410" s="11">
        <f ca="1"/>
      </c>
      <c r="HE410">
        <f ca="1"/>
      </c>
    </row>
    <row r="411" spans="146:226" x14ac:dyDescent="0.55000000000000004">
      <c r="GQ411">
        <f ca="1"/>
      </c>
      <c r="GR411" s="11">
        <f ca="1"/>
      </c>
      <c r="GS411" s="11">
        <f ca="1"/>
      </c>
      <c r="GT411" s="11">
        <f ca="1"/>
      </c>
      <c r="GU411" s="11">
        <f ca="1"/>
      </c>
      <c r="GV411" s="11">
        <f ca="1"/>
      </c>
      <c r="HE411">
        <f ca="1"/>
      </c>
    </row>
    <row r="412" spans="146:226" x14ac:dyDescent="0.55000000000000004">
      <c r="GQ412">
        <f ca="1"/>
      </c>
      <c r="GR412" s="11">
        <f ca="1"/>
      </c>
      <c r="GS412" s="11">
        <f ca="1"/>
      </c>
      <c r="GT412" s="11">
        <f ca="1"/>
      </c>
      <c r="GU412" s="11">
        <f ca="1"/>
      </c>
      <c r="GV412" s="11">
        <f ca="1"/>
      </c>
      <c r="HE412">
        <f ca="1"/>
      </c>
    </row>
    <row r="413" spans="146:226" x14ac:dyDescent="0.55000000000000004">
      <c r="GQ413">
        <f ca="1"/>
      </c>
      <c r="GR413" s="11">
        <f ca="1"/>
      </c>
      <c r="GS413" s="11">
        <f ca="1"/>
      </c>
      <c r="GT413" s="11">
        <f ca="1"/>
      </c>
      <c r="GU413" s="11">
        <f ca="1"/>
      </c>
      <c r="GV413" s="11">
        <f ca="1"/>
      </c>
      <c r="HE413">
        <f ca="1"/>
      </c>
    </row>
    <row r="414" spans="146:226" x14ac:dyDescent="0.55000000000000004">
      <c r="GQ414">
        <f ca="1"/>
      </c>
      <c r="GR414" s="11">
        <f ca="1"/>
      </c>
      <c r="GS414" s="11">
        <f ca="1"/>
      </c>
      <c r="GT414" s="11">
        <f ca="1"/>
      </c>
      <c r="GU414" s="11">
        <f ca="1"/>
      </c>
      <c r="GV414" s="11">
        <f ca="1"/>
      </c>
      <c r="HE414">
        <f ca="1"/>
      </c>
    </row>
    <row r="415" spans="146:226" x14ac:dyDescent="0.55000000000000004">
      <c r="GQ415">
        <f ca="1"/>
      </c>
      <c r="GR415" s="11">
        <f ca="1"/>
      </c>
      <c r="GS415" s="11">
        <f ca="1"/>
      </c>
      <c r="GT415" s="11">
        <f ca="1"/>
      </c>
      <c r="GU415" s="11">
        <f ca="1"/>
      </c>
      <c r="GV415" s="11">
        <f ca="1"/>
      </c>
      <c r="HE415">
        <f ca="1"/>
      </c>
    </row>
    <row r="416" spans="146:226" x14ac:dyDescent="0.55000000000000004">
      <c r="GQ416">
        <f ca="1"/>
      </c>
      <c r="GR416" s="11">
        <f ca="1"/>
      </c>
      <c r="GS416" s="11">
        <f ca="1"/>
      </c>
      <c r="GT416" s="11">
        <f ca="1"/>
      </c>
      <c r="GU416" s="11">
        <f ca="1"/>
      </c>
      <c r="GV416" s="11">
        <f ca="1"/>
      </c>
      <c r="HE416">
        <f ca="1"/>
      </c>
    </row>
    <row r="417" spans="147:225" x14ac:dyDescent="0.55000000000000004">
      <c r="GQ417">
        <f ca="1"/>
      </c>
      <c r="GR417" s="11">
        <f ca="1"/>
      </c>
      <c r="GS417" s="11">
        <f ca="1"/>
      </c>
      <c r="GT417" s="11">
        <f ca="1"/>
      </c>
      <c r="GU417" s="11">
        <f ca="1"/>
      </c>
      <c r="GV417" s="11">
        <f ca="1"/>
      </c>
      <c r="HE417">
        <f ca="1"/>
      </c>
    </row>
    <row r="418" spans="147:225" x14ac:dyDescent="0.55000000000000004">
      <c r="GQ418">
        <f ca="1"/>
      </c>
      <c r="GR418" s="11">
        <f ca="1"/>
      </c>
      <c r="GS418" s="11">
        <f ca="1"/>
      </c>
      <c r="GT418" s="11">
        <f ca="1"/>
      </c>
      <c r="GU418" s="11">
        <f ca="1"/>
      </c>
      <c r="GV418" s="11">
        <f ca="1"/>
      </c>
      <c r="HE418">
        <f ca="1"/>
      </c>
    </row>
    <row r="419" spans="147:225" x14ac:dyDescent="0.55000000000000004">
      <c r="GQ419">
        <f ca="1"/>
      </c>
      <c r="GR419" s="11">
        <f ca="1"/>
      </c>
      <c r="GS419" s="11">
        <f ca="1"/>
      </c>
      <c r="GT419" s="11">
        <f ca="1"/>
      </c>
      <c r="GU419" s="11">
        <f ca="1"/>
      </c>
      <c r="GV419" s="11">
        <f ca="1"/>
      </c>
      <c r="HE419">
        <f ca="1"/>
      </c>
    </row>
    <row r="420" spans="147:225" x14ac:dyDescent="0.55000000000000004">
      <c r="GQ420">
        <f ca="1"/>
      </c>
      <c r="GR420" s="11">
        <f ca="1"/>
      </c>
      <c r="GS420" s="11">
        <f ca="1"/>
      </c>
      <c r="GT420" s="11">
        <f ca="1"/>
      </c>
      <c r="GU420" s="11">
        <f ca="1"/>
      </c>
      <c r="GV420" s="11">
        <f ca="1"/>
      </c>
      <c r="HE420">
        <f ca="1"/>
      </c>
    </row>
    <row r="421" spans="147:225" x14ac:dyDescent="0.55000000000000004">
      <c r="GQ421">
        <f ca="1"/>
      </c>
      <c r="GR421" s="11">
        <f ca="1"/>
      </c>
      <c r="GS421" s="11">
        <f ca="1"/>
      </c>
      <c r="GT421" s="11">
        <f ca="1"/>
      </c>
      <c r="GU421" s="11">
        <f ca="1"/>
      </c>
      <c r="GV421" s="11">
        <f ca="1"/>
      </c>
      <c r="HE421">
        <f ca="1"/>
      </c>
    </row>
    <row r="422" spans="147:225" x14ac:dyDescent="0.55000000000000004">
      <c r="GQ422">
        <f ca="1"/>
      </c>
      <c r="GR422" s="11">
        <f ca="1"/>
      </c>
      <c r="GS422" s="11">
        <f ca="1"/>
      </c>
      <c r="GT422" s="11">
        <f ca="1"/>
      </c>
      <c r="GU422" s="11">
        <f ca="1"/>
      </c>
      <c r="GV422" s="11">
        <f ca="1"/>
      </c>
      <c r="HE422">
        <f ca="1"/>
      </c>
    </row>
    <row r="423" spans="147:225" x14ac:dyDescent="0.55000000000000004">
      <c r="GR423" s="11"/>
      <c r="GS423" s="11"/>
      <c r="GT423" s="11"/>
      <c r="GU423" s="11"/>
      <c r="GV423" s="11"/>
    </row>
    <row r="424" spans="147:225" x14ac:dyDescent="0.55000000000000004">
      <c r="GR424" s="11"/>
      <c r="GS424" s="11"/>
      <c r="GT424" s="11"/>
      <c r="GU424" s="11"/>
      <c r="GV424" s="11"/>
    </row>
    <row r="425" spans="147:225" x14ac:dyDescent="0.55000000000000004">
      <c r="GR425" s="11"/>
      <c r="GS425" s="11"/>
      <c r="GT425" s="11"/>
      <c r="GU425" s="11"/>
      <c r="GV425" s="11"/>
    </row>
    <row r="426" spans="147:225" x14ac:dyDescent="0.55000000000000004">
      <c r="GR426" s="11"/>
      <c r="GS426" s="11"/>
      <c r="GT426" s="11"/>
      <c r="GU426" s="11"/>
      <c r="GV426" s="11"/>
    </row>
    <row r="427" spans="147:225" x14ac:dyDescent="0.55000000000000004">
      <c r="GR427" s="11"/>
      <c r="GS427" s="11"/>
      <c r="GT427" s="11"/>
      <c r="GU427" s="11"/>
      <c r="GV427" s="11"/>
    </row>
    <row r="428" spans="147:225" x14ac:dyDescent="0.55000000000000004">
      <c r="GR428" s="11"/>
      <c r="GS428" s="11"/>
      <c r="GT428" s="11"/>
      <c r="GU428" s="11"/>
      <c r="GV428" s="11"/>
    </row>
    <row r="429" spans="147:225" x14ac:dyDescent="0.55000000000000004">
      <c r="GR429" s="11"/>
      <c r="GS429" s="11"/>
      <c r="GT429" s="11"/>
      <c r="GU429" s="11"/>
      <c r="GV429" s="11"/>
    </row>
    <row r="430" spans="147:225" x14ac:dyDescent="0.55000000000000004">
      <c r="GR430" s="11"/>
      <c r="GS430" s="11"/>
      <c r="GT430" s="11"/>
      <c r="GU430" s="11"/>
      <c r="GV430" s="11"/>
    </row>
    <row r="431" spans="147:225" x14ac:dyDescent="0.55000000000000004">
      <c r="GR431" s="11"/>
      <c r="GS431" s="11"/>
      <c r="GT431" s="11"/>
      <c r="GU431" s="11"/>
      <c r="GV431" s="11"/>
    </row>
    <row r="432" spans="147:225" x14ac:dyDescent="0.55000000000000004">
      <c r="GR432" s="11"/>
      <c r="GS432" s="11"/>
      <c r="GT432" s="11"/>
      <c r="GU432" s="11"/>
      <c r="GV432" s="11"/>
    </row>
    <row r="433" spans="200:204" x14ac:dyDescent="0.55000000000000004">
      <c r="GR433" s="11"/>
      <c r="GS433" s="11"/>
      <c r="GT433" s="11"/>
      <c r="GU433" s="11"/>
      <c r="GV433" s="11"/>
    </row>
    <row r="434" spans="200:204" x14ac:dyDescent="0.55000000000000004">
      <c r="GR434" s="11"/>
      <c r="GS434" s="11"/>
      <c r="GT434" s="11"/>
      <c r="GU434" s="11"/>
      <c r="GV434" s="11"/>
    </row>
    <row r="435" spans="200:204" x14ac:dyDescent="0.55000000000000004">
      <c r="GR435" s="11"/>
      <c r="GS435" s="11"/>
      <c r="GT435" s="11"/>
      <c r="GU435" s="11"/>
      <c r="GV435" s="11"/>
    </row>
    <row r="436" spans="200:204" x14ac:dyDescent="0.55000000000000004">
      <c r="GR436" s="11"/>
      <c r="GS436" s="11"/>
      <c r="GT436" s="11"/>
      <c r="GU436" s="11"/>
      <c r="GV436" s="11"/>
    </row>
    <row r="437" spans="200:204" x14ac:dyDescent="0.55000000000000004">
      <c r="GR437" s="11"/>
      <c r="GS437" s="11"/>
      <c r="GT437" s="11"/>
      <c r="GU437" s="11"/>
      <c r="GV437" s="11"/>
    </row>
    <row r="438" spans="200:204" x14ac:dyDescent="0.55000000000000004">
      <c r="GR438" s="11"/>
      <c r="GS438" s="11"/>
      <c r="GT438" s="11"/>
      <c r="GU438" s="11"/>
      <c r="GV438" s="11"/>
    </row>
    <row r="439" spans="200:204" x14ac:dyDescent="0.55000000000000004">
      <c r="GR439" s="11"/>
      <c r="GS439" s="11"/>
      <c r="GT439" s="11"/>
      <c r="GU439" s="11"/>
      <c r="GV439" s="11"/>
    </row>
    <row r="440" spans="200:204" x14ac:dyDescent="0.55000000000000004">
      <c r="GR440" s="11"/>
      <c r="GS440" s="11"/>
      <c r="GT440" s="11"/>
      <c r="GU440" s="11"/>
      <c r="GV440" s="11"/>
    </row>
    <row r="441" spans="200:204" x14ac:dyDescent="0.55000000000000004">
      <c r="GR441" s="11"/>
      <c r="GS441" s="11"/>
      <c r="GT441" s="11"/>
      <c r="GU441" s="11"/>
      <c r="GV441" s="11"/>
    </row>
    <row r="442" spans="200:204" x14ac:dyDescent="0.55000000000000004">
      <c r="GR442" s="11"/>
      <c r="GS442" s="11"/>
      <c r="GT442" s="11"/>
      <c r="GU442" s="11"/>
      <c r="GV442" s="11"/>
    </row>
    <row r="443" spans="200:204" x14ac:dyDescent="0.55000000000000004">
      <c r="GR443" s="11"/>
      <c r="GS443" s="11"/>
      <c r="GT443" s="11"/>
      <c r="GU443" s="11"/>
      <c r="GV443" s="11"/>
    </row>
    <row r="444" spans="200:204" x14ac:dyDescent="0.55000000000000004">
      <c r="GR444" s="11"/>
      <c r="GS444" s="11"/>
      <c r="GT444" s="11"/>
      <c r="GU444" s="11"/>
      <c r="GV444" s="11"/>
    </row>
    <row r="445" spans="200:204" x14ac:dyDescent="0.55000000000000004">
      <c r="GR445" s="11"/>
      <c r="GS445" s="11"/>
      <c r="GT445" s="11"/>
      <c r="GU445" s="11"/>
      <c r="GV445" s="11"/>
    </row>
    <row r="446" spans="200:204" x14ac:dyDescent="0.55000000000000004">
      <c r="GR446" s="11"/>
      <c r="GS446" s="11"/>
      <c r="GT446" s="11"/>
      <c r="GU446" s="11"/>
      <c r="GV446" s="11"/>
    </row>
    <row r="454" spans="146:226" x14ac:dyDescent="0.55000000000000004">
      <c r="EP454" t="s">
        <v>162</v>
      </c>
      <c r="EQ454" cm="1">
        <f t="array" ref="EQ454:FR471">_xlfn.LET(_xlpm.g,_xlfn.DROP(_xlfn.ANCHORARRAY($CO$4),1),_xlfn._xlws.FILTER(_xlpm.g,_xlfn.TAKE(_xlpm.g,,1)=10))</f>
      </c>
      <c r="GQ454" t="s">
        <v>170</v>
      </c>
      <c r="GR454" cm="1">
        <f t="array" aca="1" ref="GR454" ca="1">IFERROR(_xlfn.LET(_xlpm.R,_xlfn.ANCHORARRAY($GR$455),_xlpm.a,ABS(_xlpm.R),"k="&amp;$D$12&amp;"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54" cm="1">
        <f t="array" aca="1" ref="GS454" ca="1">IFERROR(_xlfn.LET(_xlpm.R,_xlfn.ANCHORARRAY($GS$455),_xlpm.a,ABS(_xlpm.R),"k="&amp;$D$28&amp;"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54" cm="1">
        <f t="array" aca="1" ref="GT454" ca="1">IFERROR(_xlfn.LET(_xlpm.R,_xlfn.ANCHORARRAY($GT$455),_xlpm.a,ABS(_xlpm.R),"k="&amp;$D$44&amp;"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54" cm="1">
        <f t="array" aca="1" ref="GU454" ca="1">IFERROR(_xlfn.LET(_xlpm.R,_xlfn.ANCHORARRAY($GU$455),_xlpm.a,ABS(_xlpm.R),"k="&amp;$D$60&amp;"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54" cm="1">
        <f t="array" aca="1" ref="GV454" ca="1">IFERROR(_xlfn.LET(_xlpm.R,_xlfn.ANCHORARRAY($GV$455),_xlpm.a,ABS(_xlpm.R),"k="&amp;$D$76&amp;"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54" t="s">
        <v>44</v>
      </c>
      <c r="GY454" t="s">
        <v>45</v>
      </c>
      <c r="GZ454" t="s">
        <v>46</v>
      </c>
      <c r="HA454" t="s">
        <v>47</v>
      </c>
      <c r="HB454" t="s">
        <v>48</v>
      </c>
      <c r="HD454" t="s">
        <v>175</v>
      </c>
      <c r="HE454">
        <f>"Actual / Mean / Recon (k="&amp;$D$108&amp;")  dashed: Mean ±1σ"</f>
      </c>
      <c r="HF454" t="s">
        <v>176</v>
      </c>
      <c r="HG454" t="s">
        <v>177</v>
      </c>
      <c r="HH454" t="s">
        <v>180</v>
      </c>
      <c r="HI454" t="s">
        <v>181</v>
      </c>
      <c r="HJ454" t="s">
        <v>182</v>
      </c>
      <c r="HK454" t="s">
        <v>183</v>
      </c>
      <c r="HL454" t="s">
        <v>184</v>
      </c>
      <c r="HM454" t="s">
        <v>185</v>
      </c>
      <c r="HN454" t="s">
        <v>186</v>
      </c>
      <c r="HO454" t="s">
        <v>187</v>
      </c>
      <c r="HP454" t="s">
        <v>188</v>
      </c>
      <c r="HQ454" t="s">
        <v>189</v>
      </c>
      <c r="HR454" t="s">
        <v>190</v>
      </c>
    </row>
    <row r="455" spans="146:226" x14ac:dyDescent="0.55000000000000004">
      <c r="GQ455" cm="1">
        <f t="array" aca="1" ref="GQ455:GQ472" ca="1">IF($BP$6="Change",_xlfn.ANCHORARRAY($CJ$4),_xlfn.ANCHORARRAY($CI$4))</f>
      </c>
      <c r="GR455" s="11" cm="1">
        <f t="array" aca="1" ref="GR455:GR472" ca="1">_xlfn.LET(_xlpm.sl,_xlfn.ANCHORARRAY($EQ$454),_xlpm.mu,_xlfn.CHOOSECOLS(_xlpm.sl,8),_xlpm.sg,_xlfn.CHOOSECOLS(_xlpm.sl,9),_xlpm.x,_xlfn.ANCHORARRAY($GQ$455),_xlpm.V,_xlfn.TAKE(_xlfn.DROP(_xlpm.sl,,10),,$D$12),(_xlpm.x-(_xlpm.mu+_xlpm.sg*MMULT(_xlpm.V,MMULT(TRANSPOSE(_xlpm.V),(_xlpm.x-_xlpm.mu)/_xlpm.sg))))*100)</f>
      </c>
      <c r="GS455" s="11" cm="1">
        <f t="array" aca="1" ref="GS455:GS472" ca="1">_xlfn.LET(_xlpm.sl,_xlfn.ANCHORARRAY($EQ$454),_xlpm.mu,_xlfn.CHOOSECOLS(_xlpm.sl,8),_xlpm.sg,_xlfn.CHOOSECOLS(_xlpm.sl,9),_xlpm.x,_xlfn.ANCHORARRAY($GQ$455),_xlpm.V,_xlfn.TAKE(_xlfn.DROP(_xlpm.sl,,10),,$D$28),(_xlpm.x-(_xlpm.mu+_xlpm.sg*MMULT(_xlpm.V,MMULT(TRANSPOSE(_xlpm.V),(_xlpm.x-_xlpm.mu)/_xlpm.sg))))*100)</f>
      </c>
      <c r="GT455" s="11" cm="1">
        <f t="array" aca="1" ref="GT455:GT472" ca="1">_xlfn.LET(_xlpm.sl,_xlfn.ANCHORARRAY($EQ$454),_xlpm.mu,_xlfn.CHOOSECOLS(_xlpm.sl,8),_xlpm.sg,_xlfn.CHOOSECOLS(_xlpm.sl,9),_xlpm.x,_xlfn.ANCHORARRAY($GQ$455),_xlpm.V,_xlfn.TAKE(_xlfn.DROP(_xlpm.sl,,10),,$D$44),(_xlpm.x-(_xlpm.mu+_xlpm.sg*MMULT(_xlpm.V,MMULT(TRANSPOSE(_xlpm.V),(_xlpm.x-_xlpm.mu)/_xlpm.sg))))*100)</f>
      </c>
      <c r="GU455" s="11" cm="1">
        <f t="array" aca="1" ref="GU455:GU472" ca="1">_xlfn.LET(_xlpm.sl,_xlfn.ANCHORARRAY($EQ$454),_xlpm.mu,_xlfn.CHOOSECOLS(_xlpm.sl,8),_xlpm.sg,_xlfn.CHOOSECOLS(_xlpm.sl,9),_xlpm.x,_xlfn.ANCHORARRAY($GQ$455),_xlpm.V,_xlfn.TAKE(_xlfn.DROP(_xlpm.sl,,10),,$D$60),(_xlpm.x-(_xlpm.mu+_xlpm.sg*MMULT(_xlpm.V,MMULT(TRANSPOSE(_xlpm.V),(_xlpm.x-_xlpm.mu)/_xlpm.sg))))*100)</f>
      </c>
      <c r="GV455" s="11" cm="1">
        <f t="array" aca="1" ref="GV455:GV472" ca="1">_xlfn.LET(_xlpm.sl,_xlfn.ANCHORARRAY($EQ$454),_xlpm.mu,_xlfn.CHOOSECOLS(_xlpm.sl,8),_xlpm.sg,_xlfn.CHOOSECOLS(_xlpm.sl,9),_xlpm.x,_xlfn.ANCHORARRAY($GQ$455),_xlpm.V,_xlfn.TAKE(_xlfn.DROP(_xlpm.sl,,10),,$D$76),(_xlpm.x-(_xlpm.mu+_xlpm.sg*MMULT(_xlpm.V,MMULT(TRANSPOSE(_xlpm.V),(_xlpm.x-_xlpm.mu)/_xlpm.sg))))*100)</f>
      </c>
      <c r="GX455" cm="1">
        <f t="array" ref="GX455:GX472">_xlfn.LET(_xlpm.V,_xlfn.DROP(_xlfn.ANCHORARRAY($EQ$454),,10),IF(1&lt;=COLUMNS(_xlpm.V),_xlfn.CHOOSECOLS(_xlpm.V,1),IF(_xlfn.SEQUENCE(ROWS(_xlpm.V)),NA())))</f>
      </c>
      <c r="GY455" cm="1">
        <f t="array" ref="GY455:GY472">_xlfn.LET(_xlpm.V,_xlfn.DROP(_xlfn.ANCHORARRAY($EQ$454),,10),IF(2&lt;=COLUMNS(_xlpm.V),_xlfn.CHOOSECOLS(_xlpm.V,2),IF(_xlfn.SEQUENCE(ROWS(_xlpm.V)),NA())))</f>
      </c>
      <c r="GZ455" cm="1">
        <f t="array" ref="GZ455:GZ472">_xlfn.LET(_xlpm.V,_xlfn.DROP(_xlfn.ANCHORARRAY($EQ$454),,10),IF(3&lt;=COLUMNS(_xlpm.V),_xlfn.CHOOSECOLS(_xlpm.V,3),IF(_xlfn.SEQUENCE(ROWS(_xlpm.V)),NA())))</f>
      </c>
      <c r="HA455" cm="1">
        <f t="array" ref="HA455:HA472">_xlfn.LET(_xlpm.V,_xlfn.DROP(_xlfn.ANCHORARRAY($EQ$454),,10),IF(4&lt;=COLUMNS(_xlpm.V),_xlfn.CHOOSECOLS(_xlpm.V,4),IF(_xlfn.SEQUENCE(ROWS(_xlpm.V)),NA())))</f>
      </c>
      <c r="HB455" cm="1">
        <f t="array" ref="HB455:HB472">_xlfn.LET(_xlpm.V,_xlfn.DROP(_xlfn.ANCHORARRAY($EQ$454),,10),IF(5&lt;=COLUMNS(_xlpm.V),_xlfn.CHOOSECOLS(_xlpm.V,5),IF(_xlfn.SEQUENCE(ROWS(_xlpm.V)),NA())))</f>
      </c>
      <c r="HD455" cm="1">
        <f t="array" ref="HD455:HD472">_xlfn.CHOOSECOLS(_xlfn.ANCHORARRAY($EQ$454),8)</f>
      </c>
      <c r="HE455" cm="1">
        <f t="array" aca="1" ref="HE455:HE472" ca="1">_xlfn.LET(_xlpm.sl,_xlfn.ANCHORARRAY($EQ$454),_xlpm.mu,_xlfn.CHOOSECOLS(_xlpm.sl,8),_xlpm.sg,_xlfn.CHOOSECOLS(_xlpm.sl,9),_xlpm.x,_xlfn.ANCHORARRAY($GQ$455),_xlpm.V,_xlfn.TAKE(_xlfn.DROP(_xlpm.sl,,10),,$D$108),_xlpm.mu+_xlpm.sg*MMULT(_xlpm.V,MMULT(TRANSPOSE(_xlpm.V),(_xlpm.x-_xlpm.mu)/_xlpm.sg)))</f>
      </c>
      <c r="HF455" cm="1">
        <f t="array" ref="HF455:HF472">_xlfn.CHOOSECOLS(_xlfn.ANCHORARRAY($EQ$454),8)+_xlfn.CHOOSECOLS(_xlfn.ANCHORARRAY($EQ$454),10)</f>
      </c>
      <c r="HG455" cm="1">
        <f t="array" ref="HG455:HG472">_xlfn.CHOOSECOLS(_xlfn.ANCHORARRAY($EQ$454),8)-_xlfn.CHOOSECOLS(_xlfn.ANCHORARRAY($EQ$454),10)</f>
      </c>
      <c r="HH455" cm="1">
        <f t="array" ref="HH455:HH472">_xlfn.LET(_xlpm.v,_xlfn.CHOOSECOLS(_xlfn._xlws.FILTER(_xlfn.DROP(_xlfn.ANCHORARRAY($HS$4),1),_xlfn.TAKE(_xlfn.DROP(_xlfn.ANCHORARRAY($HS$4),1),,1)=10),3),IF(_xlpm.v="",NA(),_xlpm.v))</f>
      </c>
      <c r="HI455" cm="1">
        <f t="array" ref="HI455:HI472">-_xlfn.ANCHORARRAY($HH$455)</f>
      </c>
      <c r="HJ455" cm="1">
        <f t="array" ref="HJ455:HJ472">_xlfn.LET(_xlpm.v,_xlfn.CHOOSECOLS(_xlfn._xlws.FILTER(_xlfn.DROP(_xlfn.ANCHORARRAY($HS$4),1),_xlfn.TAKE(_xlfn.DROP(_xlfn.ANCHORARRAY($HS$4),1),,1)=10),4),IF(_xlpm.v="",NA(),_xlpm.v))</f>
      </c>
      <c r="HK455" cm="1">
        <f t="array" ref="HK455:HK472">-_xlfn.ANCHORARRAY($HJ$455)</f>
      </c>
      <c r="HL455" cm="1">
        <f t="array" ref="HL455:HL472">_xlfn.LET(_xlpm.v,_xlfn.CHOOSECOLS(_xlfn._xlws.FILTER(_xlfn.DROP(_xlfn.ANCHORARRAY($HS$4),1),_xlfn.TAKE(_xlfn.DROP(_xlfn.ANCHORARRAY($HS$4),1),,1)=10),5),IF(_xlpm.v="",NA(),_xlpm.v))</f>
      </c>
      <c r="HM455" cm="1">
        <f t="array" ref="HM455:HM472">-_xlfn.ANCHORARRAY($HL$455)</f>
      </c>
      <c r="HN455" cm="1">
        <f t="array" ref="HN455:HN472">_xlfn.LET(_xlpm.v,_xlfn.CHOOSECOLS(_xlfn._xlws.FILTER(_xlfn.DROP(_xlfn.ANCHORARRAY($HS$4),1),_xlfn.TAKE(_xlfn.DROP(_xlfn.ANCHORARRAY($HS$4),1),,1)=10),6),IF(_xlpm.v="",NA(),_xlpm.v))</f>
      </c>
      <c r="HO455" cm="1">
        <f t="array" ref="HO455:HO472">-_xlfn.ANCHORARRAY($HN$455)</f>
      </c>
      <c r="HP455" cm="1">
        <f t="array" ref="HP455:HP472">_xlfn.LET(_xlpm.v,_xlfn.CHOOSECOLS(_xlfn._xlws.FILTER(_xlfn.DROP(_xlfn.ANCHORARRAY($HS$4),1),_xlfn.TAKE(_xlfn.DROP(_xlfn.ANCHORARRAY($HS$4),1),,1)=10),7),IF(_xlpm.v="",NA(),_xlpm.v))</f>
      </c>
      <c r="HQ455" cm="1">
        <f t="array" ref="HQ455:HQ472">-_xlfn.ANCHORARRAY($HP$455)</f>
      </c>
      <c r="HR455" cm="1">
        <f t="array" ref="HR455">IFERROR(INDEX(_xlfn._xlws.FILTER(_xlfn.DROP(_xlfn.ANCHORARRAY($HS$4),1),_xlfn.TAKE(_xlfn.DROP(_xlfn.ANCHORARRAY($HS$4),1),,1)=10),1,2),"")</f>
      </c>
    </row>
    <row r="456" spans="146:226" x14ac:dyDescent="0.55000000000000004">
      <c r="GQ456">
        <f ca="1"/>
      </c>
      <c r="GR456" s="11">
        <f ca="1"/>
      </c>
      <c r="GS456" s="11">
        <f ca="1"/>
      </c>
      <c r="GT456" s="11">
        <f ca="1"/>
      </c>
      <c r="GU456" s="11">
        <f ca="1"/>
      </c>
      <c r="GV456" s="11">
        <f ca="1"/>
      </c>
      <c r="HE456">
        <f ca="1"/>
      </c>
    </row>
    <row r="457" spans="146:226" x14ac:dyDescent="0.55000000000000004">
      <c r="GQ457">
        <f ca="1"/>
      </c>
      <c r="GR457" s="11">
        <f ca="1"/>
      </c>
      <c r="GS457" s="11">
        <f ca="1"/>
      </c>
      <c r="GT457" s="11">
        <f ca="1"/>
      </c>
      <c r="GU457" s="11">
        <f ca="1"/>
      </c>
      <c r="GV457" s="11">
        <f ca="1"/>
      </c>
      <c r="HE457">
        <f ca="1"/>
      </c>
    </row>
    <row r="458" spans="146:226" x14ac:dyDescent="0.55000000000000004">
      <c r="GQ458">
        <f ca="1"/>
      </c>
      <c r="GR458" s="11">
        <f ca="1"/>
      </c>
      <c r="GS458" s="11">
        <f ca="1"/>
      </c>
      <c r="GT458" s="11">
        <f ca="1"/>
      </c>
      <c r="GU458" s="11">
        <f ca="1"/>
      </c>
      <c r="GV458" s="11">
        <f ca="1"/>
      </c>
      <c r="HE458">
        <f ca="1"/>
      </c>
    </row>
    <row r="459" spans="146:226" x14ac:dyDescent="0.55000000000000004">
      <c r="GQ459">
        <f ca="1"/>
      </c>
      <c r="GR459" s="11">
        <f ca="1"/>
      </c>
      <c r="GS459" s="11">
        <f ca="1"/>
      </c>
      <c r="GT459" s="11">
        <f ca="1"/>
      </c>
      <c r="GU459" s="11">
        <f ca="1"/>
      </c>
      <c r="GV459" s="11">
        <f ca="1"/>
      </c>
      <c r="HE459">
        <f ca="1"/>
      </c>
    </row>
    <row r="460" spans="146:226" x14ac:dyDescent="0.55000000000000004">
      <c r="GQ460">
        <f ca="1"/>
      </c>
      <c r="GR460" s="11">
        <f ca="1"/>
      </c>
      <c r="GS460" s="11">
        <f ca="1"/>
      </c>
      <c r="GT460" s="11">
        <f ca="1"/>
      </c>
      <c r="GU460" s="11">
        <f ca="1"/>
      </c>
      <c r="GV460" s="11">
        <f ca="1"/>
      </c>
      <c r="HE460">
        <f ca="1"/>
      </c>
    </row>
    <row r="461" spans="146:226" x14ac:dyDescent="0.55000000000000004">
      <c r="GQ461">
        <f ca="1"/>
      </c>
      <c r="GR461" s="11">
        <f ca="1"/>
      </c>
      <c r="GS461" s="11">
        <f ca="1"/>
      </c>
      <c r="GT461" s="11">
        <f ca="1"/>
      </c>
      <c r="GU461" s="11">
        <f ca="1"/>
      </c>
      <c r="GV461" s="11">
        <f ca="1"/>
      </c>
      <c r="HE461">
        <f ca="1"/>
      </c>
    </row>
    <row r="462" spans="146:226" x14ac:dyDescent="0.55000000000000004">
      <c r="GQ462">
        <f ca="1"/>
      </c>
      <c r="GR462" s="11">
        <f ca="1"/>
      </c>
      <c r="GS462" s="11">
        <f ca="1"/>
      </c>
      <c r="GT462" s="11">
        <f ca="1"/>
      </c>
      <c r="GU462" s="11">
        <f ca="1"/>
      </c>
      <c r="GV462" s="11">
        <f ca="1"/>
      </c>
      <c r="HE462">
        <f ca="1"/>
      </c>
    </row>
    <row r="463" spans="146:226" x14ac:dyDescent="0.55000000000000004">
      <c r="GQ463">
        <f ca="1"/>
      </c>
      <c r="GR463" s="11">
        <f ca="1"/>
      </c>
      <c r="GS463" s="11">
        <f ca="1"/>
      </c>
      <c r="GT463" s="11">
        <f ca="1"/>
      </c>
      <c r="GU463" s="11">
        <f ca="1"/>
      </c>
      <c r="GV463" s="11">
        <f ca="1"/>
      </c>
      <c r="HE463">
        <f ca="1"/>
      </c>
    </row>
    <row r="464" spans="146:226" x14ac:dyDescent="0.55000000000000004">
      <c r="GQ464">
        <f ca="1"/>
      </c>
      <c r="GR464" s="11">
        <f ca="1"/>
      </c>
      <c r="GS464" s="11">
        <f ca="1"/>
      </c>
      <c r="GT464" s="11">
        <f ca="1"/>
      </c>
      <c r="GU464" s="11">
        <f ca="1"/>
      </c>
      <c r="GV464" s="11">
        <f ca="1"/>
      </c>
      <c r="HE464">
        <f ca="1"/>
      </c>
    </row>
    <row r="465" spans="147:225" x14ac:dyDescent="0.55000000000000004">
      <c r="GQ465">
        <f ca="1"/>
      </c>
      <c r="GR465" s="11">
        <f ca="1"/>
      </c>
      <c r="GS465" s="11">
        <f ca="1"/>
      </c>
      <c r="GT465" s="11">
        <f ca="1"/>
      </c>
      <c r="GU465" s="11">
        <f ca="1"/>
      </c>
      <c r="GV465" s="11">
        <f ca="1"/>
      </c>
      <c r="HE465">
        <f ca="1"/>
      </c>
    </row>
    <row r="466" spans="147:225" x14ac:dyDescent="0.55000000000000004">
      <c r="GQ466">
        <f ca="1"/>
      </c>
      <c r="GR466" s="11">
        <f ca="1"/>
      </c>
      <c r="GS466" s="11">
        <f ca="1"/>
      </c>
      <c r="GT466" s="11">
        <f ca="1"/>
      </c>
      <c r="GU466" s="11">
        <f ca="1"/>
      </c>
      <c r="GV466" s="11">
        <f ca="1"/>
      </c>
      <c r="HE466">
        <f ca="1"/>
      </c>
    </row>
    <row r="467" spans="147:225" x14ac:dyDescent="0.55000000000000004">
      <c r="GQ467">
        <f ca="1"/>
      </c>
      <c r="GR467" s="11">
        <f ca="1"/>
      </c>
      <c r="GS467" s="11">
        <f ca="1"/>
      </c>
      <c r="GT467" s="11">
        <f ca="1"/>
      </c>
      <c r="GU467" s="11">
        <f ca="1"/>
      </c>
      <c r="GV467" s="11">
        <f ca="1"/>
      </c>
      <c r="HE467">
        <f ca="1"/>
      </c>
    </row>
    <row r="468" spans="147:225" x14ac:dyDescent="0.55000000000000004">
      <c r="GQ468">
        <f ca="1"/>
      </c>
      <c r="GR468" s="11">
        <f ca="1"/>
      </c>
      <c r="GS468" s="11">
        <f ca="1"/>
      </c>
      <c r="GT468" s="11">
        <f ca="1"/>
      </c>
      <c r="GU468" s="11">
        <f ca="1"/>
      </c>
      <c r="GV468" s="11">
        <f ca="1"/>
      </c>
      <c r="HE468">
        <f ca="1"/>
      </c>
    </row>
    <row r="469" spans="147:225" x14ac:dyDescent="0.55000000000000004">
      <c r="GQ469">
        <f ca="1"/>
      </c>
      <c r="GR469" s="11">
        <f ca="1"/>
      </c>
      <c r="GS469" s="11">
        <f ca="1"/>
      </c>
      <c r="GT469" s="11">
        <f ca="1"/>
      </c>
      <c r="GU469" s="11">
        <f ca="1"/>
      </c>
      <c r="GV469" s="11">
        <f ca="1"/>
      </c>
      <c r="HE469">
        <f ca="1"/>
      </c>
    </row>
    <row r="470" spans="147:225" x14ac:dyDescent="0.55000000000000004">
      <c r="GQ470">
        <f ca="1"/>
      </c>
      <c r="GR470" s="11">
        <f ca="1"/>
      </c>
      <c r="GS470" s="11">
        <f ca="1"/>
      </c>
      <c r="GT470" s="11">
        <f ca="1"/>
      </c>
      <c r="GU470" s="11">
        <f ca="1"/>
      </c>
      <c r="GV470" s="11">
        <f ca="1"/>
      </c>
      <c r="HE470">
        <f ca="1"/>
      </c>
    </row>
    <row r="471" spans="147:225" x14ac:dyDescent="0.55000000000000004">
      <c r="GQ471">
        <f ca="1"/>
      </c>
      <c r="GR471" s="11">
        <f ca="1"/>
      </c>
      <c r="GS471" s="11">
        <f ca="1"/>
      </c>
      <c r="GT471" s="11">
        <f ca="1"/>
      </c>
      <c r="GU471" s="11">
        <f ca="1"/>
      </c>
      <c r="GV471" s="11">
        <f ca="1"/>
      </c>
      <c r="HE471">
        <f ca="1"/>
      </c>
    </row>
    <row r="472" spans="147:225" x14ac:dyDescent="0.55000000000000004">
      <c r="GQ472">
        <f ca="1"/>
      </c>
      <c r="GR472" s="11">
        <f ca="1"/>
      </c>
      <c r="GS472" s="11">
        <f ca="1"/>
      </c>
      <c r="GT472" s="11">
        <f ca="1"/>
      </c>
      <c r="GU472" s="11">
        <f ca="1"/>
      </c>
      <c r="GV472" s="11">
        <f ca="1"/>
      </c>
      <c r="HE472">
        <f ca="1"/>
      </c>
    </row>
    <row r="473" spans="147:225" x14ac:dyDescent="0.55000000000000004">
      <c r="GR473" s="11"/>
      <c r="GS473" s="11"/>
      <c r="GT473" s="11"/>
      <c r="GU473" s="11"/>
      <c r="GV473" s="11"/>
    </row>
    <row r="474" spans="147:225" x14ac:dyDescent="0.55000000000000004">
      <c r="GR474" s="11"/>
      <c r="GS474" s="11"/>
      <c r="GT474" s="11"/>
      <c r="GU474" s="11"/>
      <c r="GV474" s="11"/>
    </row>
    <row r="475" spans="147:225" x14ac:dyDescent="0.55000000000000004">
      <c r="GR475" s="11"/>
      <c r="GS475" s="11"/>
      <c r="GT475" s="11"/>
      <c r="GU475" s="11"/>
      <c r="GV475" s="11"/>
    </row>
    <row r="476" spans="147:225" x14ac:dyDescent="0.55000000000000004">
      <c r="GR476" s="11"/>
      <c r="GS476" s="11"/>
      <c r="GT476" s="11"/>
      <c r="GU476" s="11"/>
      <c r="GV476" s="11"/>
    </row>
    <row r="477" spans="147:225" x14ac:dyDescent="0.55000000000000004">
      <c r="GR477" s="11"/>
      <c r="GS477" s="11"/>
      <c r="GT477" s="11"/>
      <c r="GU477" s="11"/>
      <c r="GV477" s="11"/>
    </row>
    <row r="478" spans="147:225" x14ac:dyDescent="0.55000000000000004">
      <c r="GR478" s="11"/>
      <c r="GS478" s="11"/>
      <c r="GT478" s="11"/>
      <c r="GU478" s="11"/>
      <c r="GV478" s="11"/>
    </row>
    <row r="479" spans="147:225" x14ac:dyDescent="0.55000000000000004">
      <c r="GR479" s="11"/>
      <c r="GS479" s="11"/>
      <c r="GT479" s="11"/>
      <c r="GU479" s="11"/>
      <c r="GV479" s="11"/>
    </row>
    <row r="480" spans="147:225" x14ac:dyDescent="0.55000000000000004">
      <c r="GR480" s="11"/>
      <c r="GS480" s="11"/>
      <c r="GT480" s="11"/>
      <c r="GU480" s="11"/>
      <c r="GV480" s="11"/>
    </row>
    <row r="481" spans="200:204" x14ac:dyDescent="0.55000000000000004">
      <c r="GR481" s="11"/>
      <c r="GS481" s="11"/>
      <c r="GT481" s="11"/>
      <c r="GU481" s="11"/>
      <c r="GV481" s="11"/>
    </row>
    <row r="482" spans="200:204" x14ac:dyDescent="0.55000000000000004">
      <c r="GR482" s="11"/>
      <c r="GS482" s="11"/>
      <c r="GT482" s="11"/>
      <c r="GU482" s="11"/>
      <c r="GV482" s="11"/>
    </row>
    <row r="483" spans="200:204" x14ac:dyDescent="0.55000000000000004">
      <c r="GR483" s="11"/>
      <c r="GS483" s="11"/>
      <c r="GT483" s="11"/>
      <c r="GU483" s="11"/>
      <c r="GV483" s="11"/>
    </row>
    <row r="484" spans="200:204" x14ac:dyDescent="0.55000000000000004">
      <c r="GR484" s="11"/>
      <c r="GS484" s="11"/>
      <c r="GT484" s="11"/>
      <c r="GU484" s="11"/>
      <c r="GV484" s="11"/>
    </row>
    <row r="485" spans="200:204" x14ac:dyDescent="0.55000000000000004">
      <c r="GR485" s="11"/>
      <c r="GS485" s="11"/>
      <c r="GT485" s="11"/>
      <c r="GU485" s="11"/>
      <c r="GV485" s="11"/>
    </row>
    <row r="486" spans="200:204" x14ac:dyDescent="0.55000000000000004">
      <c r="GR486" s="11"/>
      <c r="GS486" s="11"/>
      <c r="GT486" s="11"/>
      <c r="GU486" s="11"/>
      <c r="GV486" s="11"/>
    </row>
    <row r="487" spans="200:204" x14ac:dyDescent="0.55000000000000004">
      <c r="GR487" s="11"/>
      <c r="GS487" s="11"/>
      <c r="GT487" s="11"/>
      <c r="GU487" s="11"/>
      <c r="GV487" s="11"/>
    </row>
    <row r="488" spans="200:204" x14ac:dyDescent="0.55000000000000004">
      <c r="GR488" s="11"/>
      <c r="GS488" s="11"/>
      <c r="GT488" s="11"/>
      <c r="GU488" s="11"/>
      <c r="GV488" s="11"/>
    </row>
    <row r="489" spans="200:204" x14ac:dyDescent="0.55000000000000004">
      <c r="GR489" s="11"/>
      <c r="GS489" s="11"/>
      <c r="GT489" s="11"/>
      <c r="GU489" s="11"/>
      <c r="GV489" s="11"/>
    </row>
    <row r="490" spans="200:204" x14ac:dyDescent="0.55000000000000004">
      <c r="GR490" s="11"/>
      <c r="GS490" s="11"/>
      <c r="GT490" s="11"/>
      <c r="GU490" s="11"/>
      <c r="GV490" s="11"/>
    </row>
    <row r="491" spans="200:204" x14ac:dyDescent="0.55000000000000004">
      <c r="GR491" s="11"/>
      <c r="GS491" s="11"/>
      <c r="GT491" s="11"/>
      <c r="GU491" s="11"/>
      <c r="GV491" s="11"/>
    </row>
    <row r="492" spans="200:204" x14ac:dyDescent="0.55000000000000004">
      <c r="GR492" s="11"/>
      <c r="GS492" s="11"/>
      <c r="GT492" s="11"/>
      <c r="GU492" s="11"/>
      <c r="GV492" s="11"/>
    </row>
    <row r="493" spans="200:204" x14ac:dyDescent="0.55000000000000004">
      <c r="GR493" s="11"/>
      <c r="GS493" s="11"/>
      <c r="GT493" s="11"/>
      <c r="GU493" s="11"/>
      <c r="GV493" s="11"/>
    </row>
    <row r="494" spans="200:204" x14ac:dyDescent="0.55000000000000004">
      <c r="GR494" s="11"/>
      <c r="GS494" s="11"/>
      <c r="GT494" s="11"/>
      <c r="GU494" s="11"/>
      <c r="GV494" s="11"/>
    </row>
    <row r="495" spans="200:204" x14ac:dyDescent="0.55000000000000004">
      <c r="GR495" s="11"/>
      <c r="GS495" s="11"/>
      <c r="GT495" s="11"/>
      <c r="GU495" s="11"/>
      <c r="GV495" s="11"/>
    </row>
    <row r="496" spans="200:204" x14ac:dyDescent="0.55000000000000004">
      <c r="GR496" s="11"/>
      <c r="GS496" s="11"/>
      <c r="GT496" s="11"/>
      <c r="GU496" s="11"/>
      <c r="GV496" s="11"/>
    </row>
  </sheetData>
  <phoneticPr fontId="2"/>
  <dataValidations count="9">
    <dataValidation type="list" allowBlank="1" showInputMessage="1" showErrorMessage="1" sqref="B1" xr:uid="{12E6568F-7ED6-43D5-9C23-8BA80B077B7F}">
      <formula1>"Live,Fixed"</formula1>
    </dataValidation>
    <dataValidation type="list" allowBlank="1" showInputMessage="1" showErrorMessage="1" prompt="○=PCAに使う(全ケース共通)。並び順がグラフの横軸の順" sqref="B12:B53" xr:uid="{7D2AA224-911F-43FE-80AD-077363FF75D1}">
      <formula1>"○,×"</formula1>
    </dataValidation>
    <dataValidation type="date" operator="greaterThanOrEqual" allowBlank="1" showInputMessage="1" showErrorMessage="1" prompt="推定基準日(windowの最終日)。空欄=今日より前の直近の営業日" sqref="E4 BP4 BI4 BB4 AU4 AN4 AG4 Z4 S4 L4" xr:uid="{54BADEDD-B46B-4C2B-A3FC-CD84735CEE30}">
      <formula1>1</formula1>
    </dataValidation>
    <dataValidation type="whole" operator="greaterThanOrEqual" allowBlank="1" showInputMessage="1" showErrorMessage="1" prompt="サンプル数(営業日)。テナーが1本でも欠けた日は除外して、さらに過去へ。空欄=このケースを使わない" sqref="E5 BP5 BI5 BB5 AU5 AN5 AG5 Z5 S5 L5" xr:uid="{40903130-5C5B-4E62-A8E9-0A3FC28C4891}">
      <formula1>2</formula1>
    </dataValidation>
    <dataValidation type="list" allowBlank="1" showInputMessage="1" showErrorMessage="1" prompt="Level=水準のPCA / Change=前営業日からの変化のPCA" sqref="E6 BP6 BI6 BB6 AU6 AN6 AG6 Z6 S6 L6" xr:uid="{87A3F734-9DF1-4D9B-9399-44A018D0046F}">
      <formula1>"Level,Change"</formula1>
    </dataValidation>
    <dataValidation type="list" allowBlank="1" showInputMessage="1" showErrorMessage="1" prompt="No=分散共分散(bp)のPCA / Yes=z-score(相関行列)のPCA" sqref="E7 BP7 BI7 BB7 AU7 AN7 AG7 Z7 S7 L7" xr:uid="{478A49A7-61B2-444E-9DAB-52BB02493A38}">
      <formula1>"Yes,No"</formula1>
    </dataValidation>
    <dataValidation type="whole" allowBlank="1" showInputMessage="1" showErrorMessage="1" prompt="復元に使う主成分の本数(この段の全ケース共通)" sqref="D12 D76 D60 D44 D28" xr:uid="{B1A35BA4-3427-47B4-B722-C18B0FAFBC40}">
      <formula1>1</formula1>
      <formula2>42</formula2>
    </dataValidation>
    <dataValidation type="whole" allowBlank="1" showInputMessage="1" showErrorMessage="1" prompt="復元に使う主成分の本数(この段の全ケース共通)。破線=推定windowの平均±1σ" sqref="D108" xr:uid="{84D5ECE9-1346-4BDC-9259-1EC049A7F0A7}">
      <formula1>1</formula1>
      <formula2>42</formula2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55" xr:uid="{787AF8F1-6E01-43C2-B30F-DEF51402565D}">
      <formula1>2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topLeftCell="B1" zoomScale="56" workbookViewId="0">
      <selection activeCell="R5" sqref="R5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LiveInfo("vol",_xlfn.ANCHORARRAY($LA$3))</f>
      </c>
      <c r="E1" s="17" t="s">
        <v>55</v>
      </c>
    </row>
    <row r="2" spans="1:315" ht="22.5" x14ac:dyDescent="0.55000000000000004">
      <c r="A2" t="s">
        <v>228</v>
      </c>
      <c r="F2" s="1"/>
      <c r="BF2" s="1" t="s">
        <v>229</v>
      </c>
      <c r="LA2" t="s">
        <v>57</v>
      </c>
    </row>
    <row r="3" spans="1:315" x14ac:dyDescent="0.55000000000000004">
      <c r="A3" s="4" t="s">
        <v>191</v>
      </c>
      <c r="F3" t="s">
        <v>201</v>
      </c>
      <c r="I3" t="s">
        <v>202</v>
      </c>
      <c r="BI3" t="s">
        <v>230</v>
      </c>
      <c r="BP3" t="s">
        <v>231</v>
      </c>
      <c r="JD3" t="s">
        <v>232</v>
      </c>
      <c r="JE3" t="s">
        <v>203</v>
      </c>
      <c r="JG3" t="s">
        <v>233</v>
      </c>
      <c r="LA3" cm="1">
        <f t="array" aca="1" ref="LA3:LC194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192</v>
      </c>
      <c r="B4" s="3"/>
      <c r="F4" cm="1">
        <f t="array" aca="1" ref="F4:G8" ca="1">PcaWindow(VOL_Labels,VOL_Mode,VOL_Standardize,VOL_window,VOL_BaseDate,VOL_TargetDate,"vol")</f>
      </c>
      <c r="G4" s="7">
        <f ca="1"/>
      </c>
      <c r="I4" cm="1">
        <f t="array" aca="1" ref="I4:J7" ca="1">PcaActualInfo(VOL_Labels,VOL_Mode,VOL_TargetDate,_xlfn.ANCHORARRAY($LA$3),"vol")</f>
      </c>
      <c r="J4" s="7">
        <f ca="1"/>
      </c>
      <c r="P4" t="s">
        <v>234</v>
      </c>
      <c r="BG4" s="7"/>
      <c r="BI4" s="5" t="s">
        <v>236</v>
      </c>
      <c r="BJ4" s="5" t="s">
        <v>237</v>
      </c>
      <c r="BK4" s="5" t="s">
        <v>238</v>
      </c>
      <c r="BL4" s="5" t="s">
        <v>239</v>
      </c>
      <c r="BM4" s="5" t="s">
        <v>240</v>
      </c>
      <c r="BN4" s="5" t="s">
        <v>241</v>
      </c>
      <c r="BP4" cm="1">
        <f t="array" aca="1" ref="BP4:JB196" ca="1">PcaModel(VOL_Labels,VOL_Mode,VOL_Standardize,VOL_window,VOL_BaseDate,VOL_TargetDate,"vol")</f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J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F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B4">
        <f ca="1"/>
      </c>
      <c r="GC4">
        <f ca="1"/>
      </c>
      <c r="GD4">
        <f ca="1"/>
      </c>
      <c r="GE4">
        <f ca="1"/>
      </c>
      <c r="GF4">
        <f ca="1"/>
      </c>
      <c r="GG4">
        <f ca="1"/>
      </c>
      <c r="GH4">
        <f ca="1"/>
      </c>
      <c r="GI4">
        <f ca="1"/>
      </c>
      <c r="GJ4">
        <f ca="1"/>
      </c>
      <c r="GK4">
        <f ca="1"/>
      </c>
      <c r="GL4">
        <f ca="1"/>
      </c>
      <c r="GM4">
        <f ca="1"/>
      </c>
      <c r="GN4">
        <f ca="1"/>
      </c>
      <c r="GO4">
        <f ca="1"/>
      </c>
      <c r="GP4">
        <f ca="1"/>
      </c>
      <c r="GQ4">
        <f ca="1"/>
      </c>
      <c r="GR4">
        <f ca="1"/>
      </c>
      <c r="GS4">
        <f ca="1"/>
      </c>
      <c r="GT4">
        <f ca="1"/>
      </c>
      <c r="GU4">
        <f ca="1"/>
      </c>
      <c r="GV4">
        <f ca="1"/>
      </c>
      <c r="GW4">
        <f ca="1"/>
      </c>
      <c r="GX4">
        <f ca="1"/>
      </c>
      <c r="GY4">
        <f ca="1"/>
      </c>
      <c r="GZ4">
        <f ca="1"/>
      </c>
      <c r="HA4">
        <f ca="1"/>
      </c>
      <c r="HB4">
        <f ca="1"/>
      </c>
      <c r="HC4">
        <f ca="1"/>
      </c>
      <c r="HD4">
        <f ca="1"/>
      </c>
      <c r="HE4">
        <f ca="1"/>
      </c>
      <c r="HF4">
        <f ca="1"/>
      </c>
      <c r="HG4">
        <f ca="1"/>
      </c>
      <c r="HH4">
        <f ca="1"/>
      </c>
      <c r="HI4">
        <f ca="1"/>
      </c>
      <c r="HJ4">
        <f ca="1"/>
      </c>
      <c r="HK4">
        <f ca="1"/>
      </c>
      <c r="HL4">
        <f ca="1"/>
      </c>
      <c r="HM4">
        <f ca="1"/>
      </c>
      <c r="HN4">
        <f ca="1"/>
      </c>
      <c r="HO4">
        <f ca="1"/>
      </c>
      <c r="HP4">
        <f ca="1"/>
      </c>
      <c r="HQ4">
        <f ca="1"/>
      </c>
      <c r="HR4">
        <f ca="1"/>
      </c>
      <c r="HS4">
        <f ca="1"/>
      </c>
      <c r="HT4">
        <f ca="1"/>
      </c>
      <c r="HU4">
        <f ca="1"/>
      </c>
      <c r="HV4">
        <f ca="1"/>
      </c>
      <c r="HW4">
        <f ca="1"/>
      </c>
      <c r="HX4">
        <f ca="1"/>
      </c>
      <c r="HY4">
        <f ca="1"/>
      </c>
      <c r="HZ4">
        <f ca="1"/>
      </c>
      <c r="IA4">
        <f ca="1"/>
      </c>
      <c r="IB4">
        <f ca="1"/>
      </c>
      <c r="IC4">
        <f ca="1"/>
      </c>
      <c r="ID4">
        <f ca="1"/>
      </c>
      <c r="IE4">
        <f ca="1"/>
      </c>
      <c r="IF4">
        <f ca="1"/>
      </c>
      <c r="IG4">
        <f ca="1"/>
      </c>
      <c r="IH4">
        <f ca="1"/>
      </c>
      <c r="II4">
        <f ca="1"/>
      </c>
      <c r="IJ4">
        <f ca="1"/>
      </c>
      <c r="IK4">
        <f ca="1"/>
      </c>
      <c r="IL4">
        <f ca="1"/>
      </c>
      <c r="IM4">
        <f ca="1"/>
      </c>
      <c r="IN4">
        <f ca="1"/>
      </c>
      <c r="IO4">
        <f ca="1"/>
      </c>
      <c r="IP4">
        <f ca="1"/>
      </c>
      <c r="IQ4">
        <f ca="1"/>
      </c>
      <c r="IR4">
        <f ca="1"/>
      </c>
      <c r="IS4">
        <f ca="1"/>
      </c>
      <c r="IT4">
        <f ca="1"/>
      </c>
      <c r="IU4">
        <f ca="1"/>
      </c>
      <c r="IV4">
        <f ca="1"/>
      </c>
      <c r="IW4">
        <f ca="1"/>
      </c>
      <c r="IX4">
        <f ca="1"/>
      </c>
      <c r="IY4">
        <f ca="1"/>
      </c>
      <c r="IZ4">
        <f ca="1"/>
      </c>
      <c r="JA4">
        <f ca="1"/>
      </c>
      <c r="JB4">
        <f ca="1"/>
      </c>
      <c r="JD4" cm="1">
        <f t="array" ref="JD4:JD19">_xlfn._xlws.FILTER($A$15:$A$30,$B$15:$B$30="○")</f>
      </c>
      <c r="JE4" cm="1">
        <f t="array" ref="JE4:JE15">_xlfn._xlws.FILTER($C$15:$C$26,$D$15:$D$26="○")</f>
      </c>
      <c r="JG4" cm="1">
        <f t="array" ref="JG4:JG195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193</v>
      </c>
      <c r="B5" s="2">
        <v>250</v>
      </c>
      <c r="F5">
        <f ca="1"/>
      </c>
      <c r="G5" s="7">
        <f ca="1"/>
      </c>
      <c r="I5">
        <f ca="1"/>
      </c>
      <c r="J5">
        <f ca="1"/>
      </c>
      <c r="P5" t="s">
        <v>235</v>
      </c>
      <c r="BG5" s="7"/>
      <c r="BI5" cm="1">
        <f t="array" aca="1" ref="BI5:BI196" ca="1">_xlfn.DROP(_xlfn.TAKE(_xlfn.ANCHORARRAY($BP$4),,1),1)</f>
      </c>
      <c r="BJ5" s="11" cm="1">
        <f t="array" aca="1" ref="BJ5:BJ196" ca="1">PcaActual(VOL_Labels,VOL_Mode,VOL_TargetDate,_xlfn.ANCHORARRAY($LA$3),"vol")</f>
      </c>
      <c r="BK5" s="11" cm="1">
        <f t="array" aca="1" ref="BK5:BK196" ca="1">_xlfn.DROP(_xlfn.CHOOSECOLS(_xlfn.ANCHORARRAY($BP$4),2),1)</f>
      </c>
      <c r="BL5" s="11" cm="1">
        <f t="array" aca="1" ref="BL5:BL196" ca="1">_xlfn.DROP(_xlfn.CHOOSECOLS(_xlfn.ANCHORARRAY($BP$4),3),1)</f>
      </c>
      <c r="BM5" s="11" cm="1">
        <f t="array" aca="1" ref="BM5:BM196" ca="1">_xlfn.LET(_xlpm.m,_xlfn.ANCHORARRAY(BK5),_xlpm.s,_xlfn.ANCHORARRAY(BL5),_xlpm.x,_xlfn.ANCHORARRAY(BJ5),_xlpm.V,_xlfn.TAKE(_xlfn.DROP(_xlfn.ANCHORARRAY($BP$4),1,4),,VOL_k),_xlpm.m+_xlpm.s*MMULT(_xlpm.V,MMULT(TRANSPOSE(_xlpm.V),(_xlpm.x-_xlpm.m)/_xlpm.s)))</f>
      </c>
      <c r="BN5" s="11" cm="1">
        <f t="array" aca="1" ref="BN5:BN196" ca="1">_xlfn.ANCHORARRAY(BJ5)-_xlfn.ANCHORARRAY(BM5)</f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J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F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B5">
        <f ca="1"/>
      </c>
      <c r="GC5">
        <f ca="1"/>
      </c>
      <c r="GD5">
        <f ca="1"/>
      </c>
      <c r="GE5">
        <f ca="1"/>
      </c>
      <c r="GF5">
        <f ca="1"/>
      </c>
      <c r="GG5">
        <f ca="1"/>
      </c>
      <c r="GH5">
        <f ca="1"/>
      </c>
      <c r="GI5">
        <f ca="1"/>
      </c>
      <c r="GJ5">
        <f ca="1"/>
      </c>
      <c r="GK5">
        <f ca="1"/>
      </c>
      <c r="GL5">
        <f ca="1"/>
      </c>
      <c r="GM5">
        <f ca="1"/>
      </c>
      <c r="GN5">
        <f ca="1"/>
      </c>
      <c r="GO5">
        <f ca="1"/>
      </c>
      <c r="GP5">
        <f ca="1"/>
      </c>
      <c r="GQ5">
        <f ca="1"/>
      </c>
      <c r="GR5">
        <f ca="1"/>
      </c>
      <c r="GS5">
        <f ca="1"/>
      </c>
      <c r="GT5">
        <f ca="1"/>
      </c>
      <c r="GU5">
        <f ca="1"/>
      </c>
      <c r="GV5">
        <f ca="1"/>
      </c>
      <c r="GW5">
        <f ca="1"/>
      </c>
      <c r="GX5">
        <f ca="1"/>
      </c>
      <c r="GY5">
        <f ca="1"/>
      </c>
      <c r="GZ5">
        <f ca="1"/>
      </c>
      <c r="HA5">
        <f ca="1"/>
      </c>
      <c r="HB5">
        <f ca="1"/>
      </c>
      <c r="HC5">
        <f ca="1"/>
      </c>
      <c r="HD5">
        <f ca="1"/>
      </c>
      <c r="HE5">
        <f ca="1"/>
      </c>
      <c r="HF5">
        <f ca="1"/>
      </c>
      <c r="HG5">
        <f ca="1"/>
      </c>
      <c r="HH5">
        <f ca="1"/>
      </c>
      <c r="HI5">
        <f ca="1"/>
      </c>
      <c r="HJ5">
        <f ca="1"/>
      </c>
      <c r="HK5">
        <f ca="1"/>
      </c>
      <c r="HL5">
        <f ca="1"/>
      </c>
      <c r="HM5">
        <f ca="1"/>
      </c>
      <c r="HN5">
        <f ca="1"/>
      </c>
      <c r="HO5">
        <f ca="1"/>
      </c>
      <c r="HP5">
        <f ca="1"/>
      </c>
      <c r="HQ5">
        <f ca="1"/>
      </c>
      <c r="HR5">
        <f ca="1"/>
      </c>
      <c r="HS5">
        <f ca="1"/>
      </c>
      <c r="HT5">
        <f ca="1"/>
      </c>
      <c r="HU5">
        <f ca="1"/>
      </c>
      <c r="HV5">
        <f ca="1"/>
      </c>
      <c r="HW5">
        <f ca="1"/>
      </c>
      <c r="HX5">
        <f ca="1"/>
      </c>
      <c r="HY5">
        <f ca="1"/>
      </c>
      <c r="HZ5">
        <f ca="1"/>
      </c>
      <c r="IA5">
        <f ca="1"/>
      </c>
      <c r="IB5">
        <f ca="1"/>
      </c>
      <c r="IC5">
        <f ca="1"/>
      </c>
      <c r="ID5">
        <f ca="1"/>
      </c>
      <c r="IE5">
        <f ca="1"/>
      </c>
      <c r="IF5">
        <f ca="1"/>
      </c>
      <c r="IG5">
        <f ca="1"/>
      </c>
      <c r="IH5">
        <f ca="1"/>
      </c>
      <c r="II5">
        <f ca="1"/>
      </c>
      <c r="IJ5">
        <f ca="1"/>
      </c>
      <c r="IK5">
        <f ca="1"/>
      </c>
      <c r="IL5">
        <f ca="1"/>
      </c>
      <c r="IM5">
        <f ca="1"/>
      </c>
      <c r="IN5">
        <f ca="1"/>
      </c>
      <c r="IO5">
        <f ca="1"/>
      </c>
      <c r="IP5">
        <f ca="1"/>
      </c>
      <c r="IQ5">
        <f ca="1"/>
      </c>
      <c r="IR5">
        <f ca="1"/>
      </c>
      <c r="IS5">
        <f ca="1"/>
      </c>
      <c r="IT5">
        <f ca="1"/>
      </c>
      <c r="IU5">
        <f ca="1"/>
      </c>
      <c r="IV5">
        <f ca="1"/>
      </c>
      <c r="IW5">
        <f ca="1"/>
      </c>
      <c r="IX5">
        <f ca="1"/>
      </c>
      <c r="IY5">
        <f ca="1"/>
      </c>
      <c r="IZ5">
        <f ca="1"/>
      </c>
      <c r="JA5">
        <f ca="1"/>
      </c>
      <c r="JB5">
        <f ca="1"/>
      </c>
      <c r="LA5">
        <f ca="1"/>
      </c>
      <c r="LB5">
        <f ca="1"/>
      </c>
      <c r="LC5">
        <f ca="1"/>
      </c>
    </row>
    <row r="6" spans="1:315" x14ac:dyDescent="0.55000000000000004">
      <c r="A6" t="s">
        <v>194</v>
      </c>
      <c r="B6" s="2" t="s">
        <v>226</v>
      </c>
      <c r="F6">
        <f ca="1"/>
      </c>
      <c r="G6">
        <f ca="1"/>
      </c>
      <c r="I6">
        <f ca="1"/>
      </c>
      <c r="J6" s="7">
        <f ca="1"/>
      </c>
      <c r="BI6">
        <f ca="1"/>
      </c>
      <c r="BJ6" s="11">
        <f ca="1"/>
      </c>
      <c r="BK6" s="11">
        <f ca="1"/>
      </c>
      <c r="BL6" s="11">
        <f ca="1"/>
      </c>
      <c r="BM6" s="11">
        <f ca="1"/>
      </c>
      <c r="BN6" s="11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J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F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B6">
        <f ca="1"/>
      </c>
      <c r="GC6">
        <f ca="1"/>
      </c>
      <c r="GD6">
        <f ca="1"/>
      </c>
      <c r="GE6">
        <f ca="1"/>
      </c>
      <c r="GF6">
        <f ca="1"/>
      </c>
      <c r="GG6">
        <f ca="1"/>
      </c>
      <c r="GH6">
        <f ca="1"/>
      </c>
      <c r="GI6">
        <f ca="1"/>
      </c>
      <c r="GJ6">
        <f ca="1"/>
      </c>
      <c r="GK6">
        <f ca="1"/>
      </c>
      <c r="GL6">
        <f ca="1"/>
      </c>
      <c r="GM6">
        <f ca="1"/>
      </c>
      <c r="GN6">
        <f ca="1"/>
      </c>
      <c r="GO6">
        <f ca="1"/>
      </c>
      <c r="GP6">
        <f ca="1"/>
      </c>
      <c r="GQ6">
        <f ca="1"/>
      </c>
      <c r="GR6">
        <f ca="1"/>
      </c>
      <c r="GS6">
        <f ca="1"/>
      </c>
      <c r="GT6">
        <f ca="1"/>
      </c>
      <c r="GU6">
        <f ca="1"/>
      </c>
      <c r="GV6">
        <f ca="1"/>
      </c>
      <c r="GW6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C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R6">
        <f ca="1"/>
      </c>
      <c r="HS6">
        <f ca="1"/>
      </c>
      <c r="HT6">
        <f ca="1"/>
      </c>
      <c r="HU6">
        <f ca="1"/>
      </c>
      <c r="HV6">
        <f ca="1"/>
      </c>
      <c r="HW6">
        <f ca="1"/>
      </c>
      <c r="HX6">
        <f ca="1"/>
      </c>
      <c r="HY6">
        <f ca="1"/>
      </c>
      <c r="HZ6">
        <f ca="1"/>
      </c>
      <c r="IA6">
        <f ca="1"/>
      </c>
      <c r="IB6">
        <f ca="1"/>
      </c>
      <c r="IC6">
        <f ca="1"/>
      </c>
      <c r="ID6">
        <f ca="1"/>
      </c>
      <c r="IE6">
        <f ca="1"/>
      </c>
      <c r="IF6">
        <f ca="1"/>
      </c>
      <c r="IG6">
        <f ca="1"/>
      </c>
      <c r="IH6">
        <f ca="1"/>
      </c>
      <c r="II6">
        <f ca="1"/>
      </c>
      <c r="IJ6">
        <f ca="1"/>
      </c>
      <c r="IK6">
        <f ca="1"/>
      </c>
      <c r="IL6">
        <f ca="1"/>
      </c>
      <c r="IM6">
        <f ca="1"/>
      </c>
      <c r="IN6">
        <f ca="1"/>
      </c>
      <c r="IO6">
        <f ca="1"/>
      </c>
      <c r="IP6">
        <f ca="1"/>
      </c>
      <c r="IQ6">
        <f ca="1"/>
      </c>
      <c r="IR6">
        <f ca="1"/>
      </c>
      <c r="IS6">
        <f ca="1"/>
      </c>
      <c r="IT6">
        <f ca="1"/>
      </c>
      <c r="IU6">
        <f ca="1"/>
      </c>
      <c r="IV6">
        <f ca="1"/>
      </c>
      <c r="IW6">
        <f ca="1"/>
      </c>
      <c r="IX6">
        <f ca="1"/>
      </c>
      <c r="IY6">
        <f ca="1"/>
      </c>
      <c r="IZ6">
        <f ca="1"/>
      </c>
      <c r="JA6">
        <f ca="1"/>
      </c>
      <c r="JB6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195</v>
      </c>
      <c r="B7" s="2" t="s">
        <v>227</v>
      </c>
      <c r="F7">
        <f ca="1"/>
      </c>
      <c r="G7">
        <f ca="1"/>
      </c>
      <c r="I7">
        <f ca="1"/>
      </c>
      <c r="J7" s="8">
        <f ca="1"/>
      </c>
      <c r="BI7">
        <f ca="1"/>
      </c>
      <c r="BJ7" s="11">
        <f ca="1"/>
      </c>
      <c r="BK7" s="11">
        <f ca="1"/>
      </c>
      <c r="BL7" s="11">
        <f ca="1"/>
      </c>
      <c r="BM7" s="11">
        <f ca="1"/>
      </c>
      <c r="BN7" s="11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J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F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B7">
        <f ca="1"/>
      </c>
      <c r="GC7">
        <f ca="1"/>
      </c>
      <c r="GD7">
        <f ca="1"/>
      </c>
      <c r="GE7">
        <f ca="1"/>
      </c>
      <c r="GF7">
        <f ca="1"/>
      </c>
      <c r="GG7">
        <f ca="1"/>
      </c>
      <c r="GH7">
        <f ca="1"/>
      </c>
      <c r="GI7">
        <f ca="1"/>
      </c>
      <c r="GJ7">
        <f ca="1"/>
      </c>
      <c r="GK7">
        <f ca="1"/>
      </c>
      <c r="GL7">
        <f ca="1"/>
      </c>
      <c r="GM7">
        <f ca="1"/>
      </c>
      <c r="GN7">
        <f ca="1"/>
      </c>
      <c r="GO7">
        <f ca="1"/>
      </c>
      <c r="GP7">
        <f ca="1"/>
      </c>
      <c r="GQ7">
        <f ca="1"/>
      </c>
      <c r="GR7">
        <f ca="1"/>
      </c>
      <c r="GS7">
        <f ca="1"/>
      </c>
      <c r="GT7">
        <f ca="1"/>
      </c>
      <c r="GU7">
        <f ca="1"/>
      </c>
      <c r="GV7">
        <f ca="1"/>
      </c>
      <c r="GW7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C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R7">
        <f ca="1"/>
      </c>
      <c r="HS7">
        <f ca="1"/>
      </c>
      <c r="HT7">
        <f ca="1"/>
      </c>
      <c r="HU7">
        <f ca="1"/>
      </c>
      <c r="HV7">
        <f ca="1"/>
      </c>
      <c r="HW7">
        <f ca="1"/>
      </c>
      <c r="HX7">
        <f ca="1"/>
      </c>
      <c r="HY7">
        <f ca="1"/>
      </c>
      <c r="HZ7">
        <f ca="1"/>
      </c>
      <c r="IA7">
        <f ca="1"/>
      </c>
      <c r="IB7">
        <f ca="1"/>
      </c>
      <c r="IC7">
        <f ca="1"/>
      </c>
      <c r="ID7">
        <f ca="1"/>
      </c>
      <c r="IE7">
        <f ca="1"/>
      </c>
      <c r="IF7">
        <f ca="1"/>
      </c>
      <c r="IG7">
        <f ca="1"/>
      </c>
      <c r="IH7">
        <f ca="1"/>
      </c>
      <c r="II7">
        <f ca="1"/>
      </c>
      <c r="IJ7">
        <f ca="1"/>
      </c>
      <c r="IK7">
        <f ca="1"/>
      </c>
      <c r="IL7">
        <f ca="1"/>
      </c>
      <c r="IM7">
        <f ca="1"/>
      </c>
      <c r="IN7">
        <f ca="1"/>
      </c>
      <c r="IO7">
        <f ca="1"/>
      </c>
      <c r="IP7">
        <f ca="1"/>
      </c>
      <c r="IQ7">
        <f ca="1"/>
      </c>
      <c r="IR7">
        <f ca="1"/>
      </c>
      <c r="IS7">
        <f ca="1"/>
      </c>
      <c r="IT7">
        <f ca="1"/>
      </c>
      <c r="IU7">
        <f ca="1"/>
      </c>
      <c r="IV7">
        <f ca="1"/>
      </c>
      <c r="IW7">
        <f ca="1"/>
      </c>
      <c r="IX7">
        <f ca="1"/>
      </c>
      <c r="IY7">
        <f ca="1"/>
      </c>
      <c r="IZ7">
        <f ca="1"/>
      </c>
      <c r="JA7">
        <f ca="1"/>
      </c>
      <c r="JB7">
        <f ca="1"/>
      </c>
      <c r="LA7">
        <f ca="1"/>
      </c>
      <c r="LB7">
        <f ca="1"/>
      </c>
      <c r="LC7">
        <f ca="1"/>
      </c>
    </row>
    <row r="8" spans="1:315" x14ac:dyDescent="0.55000000000000004">
      <c r="F8">
        <f ca="1"/>
      </c>
      <c r="G8" s="8">
        <f ca="1"/>
      </c>
      <c r="BI8">
        <f ca="1"/>
      </c>
      <c r="BJ8" s="11">
        <f ca="1"/>
      </c>
      <c r="BK8" s="11">
        <f ca="1"/>
      </c>
      <c r="BL8" s="11">
        <f ca="1"/>
      </c>
      <c r="BM8" s="11">
        <f ca="1"/>
      </c>
      <c r="BN8" s="11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J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F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B8">
        <f ca="1"/>
      </c>
      <c r="GC8">
        <f ca="1"/>
      </c>
      <c r="GD8">
        <f ca="1"/>
      </c>
      <c r="GE8">
        <f ca="1"/>
      </c>
      <c r="GF8">
        <f ca="1"/>
      </c>
      <c r="GG8">
        <f ca="1"/>
      </c>
      <c r="GH8">
        <f ca="1"/>
      </c>
      <c r="GI8">
        <f ca="1"/>
      </c>
      <c r="GJ8">
        <f ca="1"/>
      </c>
      <c r="GK8">
        <f ca="1"/>
      </c>
      <c r="GL8">
        <f ca="1"/>
      </c>
      <c r="GM8">
        <f ca="1"/>
      </c>
      <c r="GN8">
        <f ca="1"/>
      </c>
      <c r="GO8">
        <f ca="1"/>
      </c>
      <c r="GP8">
        <f ca="1"/>
      </c>
      <c r="GQ8">
        <f ca="1"/>
      </c>
      <c r="GR8">
        <f ca="1"/>
      </c>
      <c r="GS8">
        <f ca="1"/>
      </c>
      <c r="GT8">
        <f ca="1"/>
      </c>
      <c r="GU8">
        <f ca="1"/>
      </c>
      <c r="GV8">
        <f ca="1"/>
      </c>
      <c r="GW8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C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R8">
        <f ca="1"/>
      </c>
      <c r="HS8">
        <f ca="1"/>
      </c>
      <c r="HT8">
        <f ca="1"/>
      </c>
      <c r="HU8">
        <f ca="1"/>
      </c>
      <c r="HV8">
        <f ca="1"/>
      </c>
      <c r="HW8">
        <f ca="1"/>
      </c>
      <c r="HX8">
        <f ca="1"/>
      </c>
      <c r="HY8">
        <f ca="1"/>
      </c>
      <c r="HZ8">
        <f ca="1"/>
      </c>
      <c r="IA8">
        <f ca="1"/>
      </c>
      <c r="IB8">
        <f ca="1"/>
      </c>
      <c r="IC8">
        <f ca="1"/>
      </c>
      <c r="ID8">
        <f ca="1"/>
      </c>
      <c r="IE8">
        <f ca="1"/>
      </c>
      <c r="IF8">
        <f ca="1"/>
      </c>
      <c r="IG8">
        <f ca="1"/>
      </c>
      <c r="IH8">
        <f ca="1"/>
      </c>
      <c r="II8">
        <f ca="1"/>
      </c>
      <c r="IJ8">
        <f ca="1"/>
      </c>
      <c r="IK8">
        <f ca="1"/>
      </c>
      <c r="IL8">
        <f ca="1"/>
      </c>
      <c r="IM8">
        <f ca="1"/>
      </c>
      <c r="IN8">
        <f ca="1"/>
      </c>
      <c r="IO8">
        <f ca="1"/>
      </c>
      <c r="IP8">
        <f ca="1"/>
      </c>
      <c r="IQ8">
        <f ca="1"/>
      </c>
      <c r="IR8">
        <f ca="1"/>
      </c>
      <c r="IS8">
        <f ca="1"/>
      </c>
      <c r="IT8">
        <f ca="1"/>
      </c>
      <c r="IU8">
        <f ca="1"/>
      </c>
      <c r="IV8">
        <f ca="1"/>
      </c>
      <c r="IW8">
        <f ca="1"/>
      </c>
      <c r="IX8">
        <f ca="1"/>
      </c>
      <c r="IY8">
        <f ca="1"/>
      </c>
      <c r="IZ8">
        <f ca="1"/>
      </c>
      <c r="JA8">
        <f ca="1"/>
      </c>
      <c r="JB8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196</v>
      </c>
      <c r="BI9">
        <f ca="1"/>
      </c>
      <c r="BJ9" s="11">
        <f ca="1"/>
      </c>
      <c r="BK9" s="11">
        <f ca="1"/>
      </c>
      <c r="BL9" s="11">
        <f ca="1"/>
      </c>
      <c r="BM9" s="11">
        <f ca="1"/>
      </c>
      <c r="BN9" s="11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J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F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B9">
        <f ca="1"/>
      </c>
      <c r="GC9">
        <f ca="1"/>
      </c>
      <c r="GD9">
        <f ca="1"/>
      </c>
      <c r="GE9">
        <f ca="1"/>
      </c>
      <c r="GF9">
        <f ca="1"/>
      </c>
      <c r="GG9">
        <f ca="1"/>
      </c>
      <c r="GH9">
        <f ca="1"/>
      </c>
      <c r="GI9">
        <f ca="1"/>
      </c>
      <c r="GJ9">
        <f ca="1"/>
      </c>
      <c r="GK9">
        <f ca="1"/>
      </c>
      <c r="GL9">
        <f ca="1"/>
      </c>
      <c r="GM9">
        <f ca="1"/>
      </c>
      <c r="GN9">
        <f ca="1"/>
      </c>
      <c r="GO9">
        <f ca="1"/>
      </c>
      <c r="GP9">
        <f ca="1"/>
      </c>
      <c r="GQ9">
        <f ca="1"/>
      </c>
      <c r="GR9">
        <f ca="1"/>
      </c>
      <c r="GS9">
        <f ca="1"/>
      </c>
      <c r="GT9">
        <f ca="1"/>
      </c>
      <c r="GU9">
        <f ca="1"/>
      </c>
      <c r="GV9">
        <f ca="1"/>
      </c>
      <c r="GW9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C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R9">
        <f ca="1"/>
      </c>
      <c r="HS9">
        <f ca="1"/>
      </c>
      <c r="HT9">
        <f ca="1"/>
      </c>
      <c r="HU9">
        <f ca="1"/>
      </c>
      <c r="HV9">
        <f ca="1"/>
      </c>
      <c r="HW9">
        <f ca="1"/>
      </c>
      <c r="HX9">
        <f ca="1"/>
      </c>
      <c r="HY9">
        <f ca="1"/>
      </c>
      <c r="HZ9">
        <f ca="1"/>
      </c>
      <c r="IA9">
        <f ca="1"/>
      </c>
      <c r="IB9">
        <f ca="1"/>
      </c>
      <c r="IC9">
        <f ca="1"/>
      </c>
      <c r="ID9">
        <f ca="1"/>
      </c>
      <c r="IE9">
        <f ca="1"/>
      </c>
      <c r="IF9">
        <f ca="1"/>
      </c>
      <c r="IG9">
        <f ca="1"/>
      </c>
      <c r="IH9">
        <f ca="1"/>
      </c>
      <c r="II9">
        <f ca="1"/>
      </c>
      <c r="IJ9">
        <f ca="1"/>
      </c>
      <c r="IK9">
        <f ca="1"/>
      </c>
      <c r="IL9">
        <f ca="1"/>
      </c>
      <c r="IM9">
        <f ca="1"/>
      </c>
      <c r="IN9">
        <f ca="1"/>
      </c>
      <c r="IO9">
        <f ca="1"/>
      </c>
      <c r="IP9">
        <f ca="1"/>
      </c>
      <c r="IQ9">
        <f ca="1"/>
      </c>
      <c r="IR9">
        <f ca="1"/>
      </c>
      <c r="IS9">
        <f ca="1"/>
      </c>
      <c r="IT9">
        <f ca="1"/>
      </c>
      <c r="IU9">
        <f ca="1"/>
      </c>
      <c r="IV9">
        <f ca="1"/>
      </c>
      <c r="IW9">
        <f ca="1"/>
      </c>
      <c r="IX9">
        <f ca="1"/>
      </c>
      <c r="IY9">
        <f ca="1"/>
      </c>
      <c r="IZ9">
        <f ca="1"/>
      </c>
      <c r="JA9">
        <f ca="1"/>
      </c>
      <c r="JB9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197</v>
      </c>
      <c r="B10" s="3"/>
      <c r="F10" s="4" t="s">
        <v>242</v>
      </c>
      <c r="U10" s="4" t="s">
        <v>243</v>
      </c>
      <c r="AJ10" s="4" t="s">
        <v>244</v>
      </c>
      <c r="BI10">
        <f ca="1"/>
      </c>
      <c r="BJ10" s="11">
        <f ca="1"/>
      </c>
      <c r="BK10" s="11">
        <f ca="1"/>
      </c>
      <c r="BL10" s="11">
        <f ca="1"/>
      </c>
      <c r="BM10" s="11">
        <f ca="1"/>
      </c>
      <c r="BN10" s="11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J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F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B10">
        <f ca="1"/>
      </c>
      <c r="GC10">
        <f ca="1"/>
      </c>
      <c r="GD10">
        <f ca="1"/>
      </c>
      <c r="GE10">
        <f ca="1"/>
      </c>
      <c r="GF10">
        <f ca="1"/>
      </c>
      <c r="GG10">
        <f ca="1"/>
      </c>
      <c r="GH10">
        <f ca="1"/>
      </c>
      <c r="GI10">
        <f ca="1"/>
      </c>
      <c r="GJ10">
        <f ca="1"/>
      </c>
      <c r="GK10">
        <f ca="1"/>
      </c>
      <c r="GL10">
        <f ca="1"/>
      </c>
      <c r="GM10">
        <f ca="1"/>
      </c>
      <c r="GN10">
        <f ca="1"/>
      </c>
      <c r="GO10">
        <f ca="1"/>
      </c>
      <c r="GP10">
        <f ca="1"/>
      </c>
      <c r="GQ10">
        <f ca="1"/>
      </c>
      <c r="GR10">
        <f ca="1"/>
      </c>
      <c r="GS10">
        <f ca="1"/>
      </c>
      <c r="GT10">
        <f ca="1"/>
      </c>
      <c r="GU10">
        <f ca="1"/>
      </c>
      <c r="GV10">
        <f ca="1"/>
      </c>
      <c r="GW10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C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R10">
        <f ca="1"/>
      </c>
      <c r="HS10">
        <f ca="1"/>
      </c>
      <c r="HT10">
        <f ca="1"/>
      </c>
      <c r="HU10">
        <f ca="1"/>
      </c>
      <c r="HV10">
        <f ca="1"/>
      </c>
      <c r="HW10">
        <f ca="1"/>
      </c>
      <c r="HX10">
        <f ca="1"/>
      </c>
      <c r="HY10">
        <f ca="1"/>
      </c>
      <c r="HZ10">
        <f ca="1"/>
      </c>
      <c r="IA10">
        <f ca="1"/>
      </c>
      <c r="IB10">
        <f ca="1"/>
      </c>
      <c r="IC10">
        <f ca="1"/>
      </c>
      <c r="ID10">
        <f ca="1"/>
      </c>
      <c r="IE10">
        <f ca="1"/>
      </c>
      <c r="IF10">
        <f ca="1"/>
      </c>
      <c r="IG10">
        <f ca="1"/>
      </c>
      <c r="IH10">
        <f ca="1"/>
      </c>
      <c r="II10">
        <f ca="1"/>
      </c>
      <c r="IJ10">
        <f ca="1"/>
      </c>
      <c r="IK10">
        <f ca="1"/>
      </c>
      <c r="IL10">
        <f ca="1"/>
      </c>
      <c r="IM10">
        <f ca="1"/>
      </c>
      <c r="IN10">
        <f ca="1"/>
      </c>
      <c r="IO10">
        <f ca="1"/>
      </c>
      <c r="IP10">
        <f ca="1"/>
      </c>
      <c r="IQ10">
        <f ca="1"/>
      </c>
      <c r="IR10">
        <f ca="1"/>
      </c>
      <c r="IS10">
        <f ca="1"/>
      </c>
      <c r="IT10">
        <f ca="1"/>
      </c>
      <c r="IU10">
        <f ca="1"/>
      </c>
      <c r="IV10">
        <f ca="1"/>
      </c>
      <c r="IW10">
        <f ca="1"/>
      </c>
      <c r="IX10">
        <f ca="1"/>
      </c>
      <c r="IY10">
        <f ca="1"/>
      </c>
      <c r="IZ10">
        <f ca="1"/>
      </c>
      <c r="JA10">
        <f ca="1"/>
      </c>
      <c r="JB10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198</v>
      </c>
      <c r="B11" s="2">
        <v>3</v>
      </c>
      <c r="F11" s="5" t="s">
        <v>245</v>
      </c>
      <c r="G11" cm="1">
        <f t="array" ref="G11:R11">TRANSPOSE(VOL_Tenors)</f>
      </c>
      <c r="U11" s="5" t="s">
        <v>245</v>
      </c>
      <c r="V11" cm="1">
        <f t="array" ref="V11:AG11">TRANSPOSE(VOL_Tenors)</f>
      </c>
      <c r="AJ11" s="5" t="s">
        <v>220</v>
      </c>
      <c r="AK11" s="5" t="s">
        <v>221</v>
      </c>
      <c r="AL11" s="5" t="s">
        <v>222</v>
      </c>
      <c r="AM11" s="5" t="s">
        <v>223</v>
      </c>
      <c r="AN11" s="5" t="s">
        <v>224</v>
      </c>
      <c r="AO11" s="5" t="s">
        <v>225</v>
      </c>
      <c r="BG11" s="7"/>
      <c r="BI11">
        <f ca="1"/>
      </c>
      <c r="BJ11" s="11">
        <f ca="1"/>
      </c>
      <c r="BK11" s="11">
        <f ca="1"/>
      </c>
      <c r="BL11" s="11">
        <f ca="1"/>
      </c>
      <c r="BM11" s="11">
        <f ca="1"/>
      </c>
      <c r="BN11" s="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J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F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B11">
        <f ca="1"/>
      </c>
      <c r="GC11">
        <f ca="1"/>
      </c>
      <c r="GD11">
        <f ca="1"/>
      </c>
      <c r="GE11">
        <f ca="1"/>
      </c>
      <c r="GF11">
        <f ca="1"/>
      </c>
      <c r="GG11">
        <f ca="1"/>
      </c>
      <c r="GH11">
        <f ca="1"/>
      </c>
      <c r="GI11">
        <f ca="1"/>
      </c>
      <c r="GJ11">
        <f ca="1"/>
      </c>
      <c r="GK11">
        <f ca="1"/>
      </c>
      <c r="GL11">
        <f ca="1"/>
      </c>
      <c r="GM11">
        <f ca="1"/>
      </c>
      <c r="GN11">
        <f ca="1"/>
      </c>
      <c r="GO11">
        <f ca="1"/>
      </c>
      <c r="GP11">
        <f ca="1"/>
      </c>
      <c r="GQ11">
        <f ca="1"/>
      </c>
      <c r="GR11">
        <f ca="1"/>
      </c>
      <c r="GS11">
        <f ca="1"/>
      </c>
      <c r="GT11">
        <f ca="1"/>
      </c>
      <c r="GU11">
        <f ca="1"/>
      </c>
      <c r="GV11">
        <f ca="1"/>
      </c>
      <c r="GW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C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R11">
        <f ca="1"/>
      </c>
      <c r="HS11">
        <f ca="1"/>
      </c>
      <c r="HT11">
        <f ca="1"/>
      </c>
      <c r="HU11">
        <f ca="1"/>
      </c>
      <c r="HV11">
        <f ca="1"/>
      </c>
      <c r="HW11">
        <f ca="1"/>
      </c>
      <c r="HX11">
        <f ca="1"/>
      </c>
      <c r="HY11">
        <f ca="1"/>
      </c>
      <c r="HZ11">
        <f ca="1"/>
      </c>
      <c r="IA11">
        <f ca="1"/>
      </c>
      <c r="IB11">
        <f ca="1"/>
      </c>
      <c r="IC11">
        <f ca="1"/>
      </c>
      <c r="ID11">
        <f ca="1"/>
      </c>
      <c r="IE11">
        <f ca="1"/>
      </c>
      <c r="IF11">
        <f ca="1"/>
      </c>
      <c r="IG11">
        <f ca="1"/>
      </c>
      <c r="IH11">
        <f ca="1"/>
      </c>
      <c r="II11">
        <f ca="1"/>
      </c>
      <c r="IJ11">
        <f ca="1"/>
      </c>
      <c r="IK11">
        <f ca="1"/>
      </c>
      <c r="IL11">
        <f ca="1"/>
      </c>
      <c r="IM11">
        <f ca="1"/>
      </c>
      <c r="IN11">
        <f ca="1"/>
      </c>
      <c r="IO11">
        <f ca="1"/>
      </c>
      <c r="IP11">
        <f ca="1"/>
      </c>
      <c r="IQ11">
        <f ca="1"/>
      </c>
      <c r="IR11">
        <f ca="1"/>
      </c>
      <c r="IS11">
        <f ca="1"/>
      </c>
      <c r="IT11">
        <f ca="1"/>
      </c>
      <c r="IU11">
        <f ca="1"/>
      </c>
      <c r="IV11">
        <f ca="1"/>
      </c>
      <c r="IW11">
        <f ca="1"/>
      </c>
      <c r="IX11">
        <f ca="1"/>
      </c>
      <c r="IY11">
        <f ca="1"/>
      </c>
      <c r="IZ11">
        <f ca="1"/>
      </c>
      <c r="JA11">
        <f ca="1"/>
      </c>
      <c r="JB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7">VOL_Expiries</f>
      </c>
      <c r="G12" s="11" cm="1">
        <f t="array" aca="1" ref="G12:R27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7">VOL_Expiries</f>
      </c>
      <c r="V12" s="14" cm="1">
        <f t="array" aca="1" ref="V12:AG27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aca="1" ref="AJ12:AJ21" ca="1">_xlfn.TAKE(_xlfn.DROP(_xlfn.TAKE(_xlfn.ANCHORARRAY($BF$17),,1),1),10)</f>
      </c>
      <c r="AK12" s="11" cm="1">
        <f t="array" aca="1" ref="AK12:AK21" ca="1">_xlfn.TAKE(_xlfn.DROP(_xlfn.CHOOSECOLS(_xlfn.ANCHORARRAY($BF$17),2),1),10)</f>
      </c>
      <c r="AL12" s="12" cm="1">
        <f t="array" aca="1" ref="AL12:AL21" ca="1">_xlfn.ANCHORARRAY(AK12)/SUM(_xlfn.DROP(_xlfn.CHOOSECOLS(_xlfn.ANCHORARRAY($BF$17),2),1))</f>
      </c>
      <c r="AM12" s="12" cm="1">
        <f t="array" aca="1" ref="AM12:AM21" ca="1">_xlfn.SCAN(0,_xlfn.ANCHORARRAY(AL12),_xlfn.LAMBDA(_xlpm.a,_xlpm.b,_xlpm.a+_xlpm.b))</f>
      </c>
      <c r="AN12" s="11" cm="1">
        <f t="array" aca="1" ref="AN12:AN21" ca="1">_xlfn.TAKE(MMULT(TRANSPOSE(_xlfn.DROP(_xlfn.ANCHORARRAY($BP$4),1,4)),(_xlfn.ANCHORARRAY($BJ$5)-_xlfn.ANCHORARRAY($BK$5))/_xlfn.ANCHORARRAY($BL$5)),10)</f>
      </c>
      <c r="AO12" s="14" cm="1">
        <f t="array" aca="1" ref="AO12:AO21" ca="1">IF(_xlfn.SEQUENCE(ROWS(_xlfn.ANCHORARRAY(AJ12)))&lt;=VOL_k,"Yes","")</f>
      </c>
      <c r="BI12">
        <f ca="1"/>
      </c>
      <c r="BJ12" s="11">
        <f ca="1"/>
      </c>
      <c r="BK12" s="11">
        <f ca="1"/>
      </c>
      <c r="BL12" s="11">
        <f ca="1"/>
      </c>
      <c r="BM12" s="11">
        <f ca="1"/>
      </c>
      <c r="BN12" s="11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J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F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B12">
        <f ca="1"/>
      </c>
      <c r="GC12">
        <f ca="1"/>
      </c>
      <c r="GD12">
        <f ca="1"/>
      </c>
      <c r="GE12">
        <f ca="1"/>
      </c>
      <c r="GF12">
        <f ca="1"/>
      </c>
      <c r="GG12">
        <f ca="1"/>
      </c>
      <c r="GH12">
        <f ca="1"/>
      </c>
      <c r="GI12">
        <f ca="1"/>
      </c>
      <c r="GJ12">
        <f ca="1"/>
      </c>
      <c r="GK12">
        <f ca="1"/>
      </c>
      <c r="GL12">
        <f ca="1"/>
      </c>
      <c r="GM12">
        <f ca="1"/>
      </c>
      <c r="GN12">
        <f ca="1"/>
      </c>
      <c r="GO12">
        <f ca="1"/>
      </c>
      <c r="GP12">
        <f ca="1"/>
      </c>
      <c r="GQ12">
        <f ca="1"/>
      </c>
      <c r="GR12">
        <f ca="1"/>
      </c>
      <c r="GS12">
        <f ca="1"/>
      </c>
      <c r="GT12">
        <f ca="1"/>
      </c>
      <c r="GU12">
        <f ca="1"/>
      </c>
      <c r="GV12">
        <f ca="1"/>
      </c>
      <c r="GW12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C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R12">
        <f ca="1"/>
      </c>
      <c r="HS12">
        <f ca="1"/>
      </c>
      <c r="HT12">
        <f ca="1"/>
      </c>
      <c r="HU12">
        <f ca="1"/>
      </c>
      <c r="HV12">
        <f ca="1"/>
      </c>
      <c r="HW12">
        <f ca="1"/>
      </c>
      <c r="HX12">
        <f ca="1"/>
      </c>
      <c r="HY12">
        <f ca="1"/>
      </c>
      <c r="HZ12">
        <f ca="1"/>
      </c>
      <c r="IA12">
        <f ca="1"/>
      </c>
      <c r="IB12">
        <f ca="1"/>
      </c>
      <c r="IC12">
        <f ca="1"/>
      </c>
      <c r="ID12">
        <f ca="1"/>
      </c>
      <c r="IE12">
        <f ca="1"/>
      </c>
      <c r="IF12">
        <f ca="1"/>
      </c>
      <c r="IG12">
        <f ca="1"/>
      </c>
      <c r="IH12">
        <f ca="1"/>
      </c>
      <c r="II12">
        <f ca="1"/>
      </c>
      <c r="IJ12">
        <f ca="1"/>
      </c>
      <c r="IK12">
        <f ca="1"/>
      </c>
      <c r="IL12">
        <f ca="1"/>
      </c>
      <c r="IM12">
        <f ca="1"/>
      </c>
      <c r="IN12">
        <f ca="1"/>
      </c>
      <c r="IO12">
        <f ca="1"/>
      </c>
      <c r="IP12">
        <f ca="1"/>
      </c>
      <c r="IQ12">
        <f ca="1"/>
      </c>
      <c r="IR12">
        <f ca="1"/>
      </c>
      <c r="IS12">
        <f ca="1"/>
      </c>
      <c r="IT12">
        <f ca="1"/>
      </c>
      <c r="IU12">
        <f ca="1"/>
      </c>
      <c r="IV12">
        <f ca="1"/>
      </c>
      <c r="IW12">
        <f ca="1"/>
      </c>
      <c r="IX12">
        <f ca="1"/>
      </c>
      <c r="IY12">
        <f ca="1"/>
      </c>
      <c r="IZ12">
        <f ca="1"/>
      </c>
      <c r="JA12">
        <f ca="1"/>
      </c>
      <c r="JB12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246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>
        <f ca="1"/>
      </c>
      <c r="AK13" s="11">
        <f ca="1"/>
      </c>
      <c r="AL13" s="12">
        <f ca="1"/>
      </c>
      <c r="AM13" s="12">
        <f ca="1"/>
      </c>
      <c r="AN13" s="11">
        <f ca="1"/>
      </c>
      <c r="AO13" s="14">
        <f ca="1"/>
      </c>
      <c r="BG13" s="7"/>
      <c r="BI13">
        <f ca="1"/>
      </c>
      <c r="BJ13" s="11">
        <f ca="1"/>
      </c>
      <c r="BK13" s="11">
        <f ca="1"/>
      </c>
      <c r="BL13" s="11">
        <f ca="1"/>
      </c>
      <c r="BM13" s="11">
        <f ca="1"/>
      </c>
      <c r="BN13" s="11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J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F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B13">
        <f ca="1"/>
      </c>
      <c r="GC13">
        <f ca="1"/>
      </c>
      <c r="GD13">
        <f ca="1"/>
      </c>
      <c r="GE13">
        <f ca="1"/>
      </c>
      <c r="GF13">
        <f ca="1"/>
      </c>
      <c r="GG13">
        <f ca="1"/>
      </c>
      <c r="GH13">
        <f ca="1"/>
      </c>
      <c r="GI13">
        <f ca="1"/>
      </c>
      <c r="GJ13">
        <f ca="1"/>
      </c>
      <c r="GK13">
        <f ca="1"/>
      </c>
      <c r="GL13">
        <f ca="1"/>
      </c>
      <c r="GM13">
        <f ca="1"/>
      </c>
      <c r="GN13">
        <f ca="1"/>
      </c>
      <c r="GO13">
        <f ca="1"/>
      </c>
      <c r="GP13">
        <f ca="1"/>
      </c>
      <c r="GQ13">
        <f ca="1"/>
      </c>
      <c r="GR13">
        <f ca="1"/>
      </c>
      <c r="GS13">
        <f ca="1"/>
      </c>
      <c r="GT13">
        <f ca="1"/>
      </c>
      <c r="GU13">
        <f ca="1"/>
      </c>
      <c r="GV13">
        <f ca="1"/>
      </c>
      <c r="GW13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C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R13">
        <f ca="1"/>
      </c>
      <c r="HS13">
        <f ca="1"/>
      </c>
      <c r="HT13">
        <f ca="1"/>
      </c>
      <c r="HU13">
        <f ca="1"/>
      </c>
      <c r="HV13">
        <f ca="1"/>
      </c>
      <c r="HW13">
        <f ca="1"/>
      </c>
      <c r="HX13">
        <f ca="1"/>
      </c>
      <c r="HY13">
        <f ca="1"/>
      </c>
      <c r="HZ13">
        <f ca="1"/>
      </c>
      <c r="IA13">
        <f ca="1"/>
      </c>
      <c r="IB13">
        <f ca="1"/>
      </c>
      <c r="IC13">
        <f ca="1"/>
      </c>
      <c r="ID13">
        <f ca="1"/>
      </c>
      <c r="IE13">
        <f ca="1"/>
      </c>
      <c r="IF13">
        <f ca="1"/>
      </c>
      <c r="IG13">
        <f ca="1"/>
      </c>
      <c r="IH13">
        <f ca="1"/>
      </c>
      <c r="II13">
        <f ca="1"/>
      </c>
      <c r="IJ13">
        <f ca="1"/>
      </c>
      <c r="IK13">
        <f ca="1"/>
      </c>
      <c r="IL13">
        <f ca="1"/>
      </c>
      <c r="IM13">
        <f ca="1"/>
      </c>
      <c r="IN13">
        <f ca="1"/>
      </c>
      <c r="IO13">
        <f ca="1"/>
      </c>
      <c r="IP13">
        <f ca="1"/>
      </c>
      <c r="IQ13">
        <f ca="1"/>
      </c>
      <c r="IR13">
        <f ca="1"/>
      </c>
      <c r="IS13">
        <f ca="1"/>
      </c>
      <c r="IT13">
        <f ca="1"/>
      </c>
      <c r="IU13">
        <f ca="1"/>
      </c>
      <c r="IV13">
        <f ca="1"/>
      </c>
      <c r="IW13">
        <f ca="1"/>
      </c>
      <c r="IX13">
        <f ca="1"/>
      </c>
      <c r="IY13">
        <f ca="1"/>
      </c>
      <c r="IZ13">
        <f ca="1"/>
      </c>
      <c r="JA13">
        <f ca="1"/>
      </c>
      <c r="JB13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247</v>
      </c>
      <c r="B14" s="5" t="s">
        <v>210</v>
      </c>
      <c r="C14" s="5" t="s">
        <v>209</v>
      </c>
      <c r="D14" s="5" t="s">
        <v>210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>
        <f ca="1"/>
      </c>
      <c r="AK14" s="11">
        <f ca="1"/>
      </c>
      <c r="AL14" s="12">
        <f ca="1"/>
      </c>
      <c r="AM14" s="12">
        <f ca="1"/>
      </c>
      <c r="AN14" s="11">
        <f ca="1"/>
      </c>
      <c r="AO14" s="14">
        <f ca="1"/>
      </c>
      <c r="BI14">
        <f ca="1"/>
      </c>
      <c r="BJ14" s="11">
        <f ca="1"/>
      </c>
      <c r="BK14" s="11">
        <f ca="1"/>
      </c>
      <c r="BL14" s="11">
        <f ca="1"/>
      </c>
      <c r="BM14" s="11">
        <f ca="1"/>
      </c>
      <c r="BN14" s="11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J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F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B14">
        <f ca="1"/>
      </c>
      <c r="GC14">
        <f ca="1"/>
      </c>
      <c r="GD14">
        <f ca="1"/>
      </c>
      <c r="GE14">
        <f ca="1"/>
      </c>
      <c r="GF14">
        <f ca="1"/>
      </c>
      <c r="GG14">
        <f ca="1"/>
      </c>
      <c r="GH14">
        <f ca="1"/>
      </c>
      <c r="GI14">
        <f ca="1"/>
      </c>
      <c r="GJ14">
        <f ca="1"/>
      </c>
      <c r="GK14">
        <f ca="1"/>
      </c>
      <c r="GL14">
        <f ca="1"/>
      </c>
      <c r="GM14">
        <f ca="1"/>
      </c>
      <c r="GN14">
        <f ca="1"/>
      </c>
      <c r="GO14">
        <f ca="1"/>
      </c>
      <c r="GP14">
        <f ca="1"/>
      </c>
      <c r="GQ14">
        <f ca="1"/>
      </c>
      <c r="GR14">
        <f ca="1"/>
      </c>
      <c r="GS14">
        <f ca="1"/>
      </c>
      <c r="GT14">
        <f ca="1"/>
      </c>
      <c r="GU14">
        <f ca="1"/>
      </c>
      <c r="GV14">
        <f ca="1"/>
      </c>
      <c r="GW14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C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R14">
        <f ca="1"/>
      </c>
      <c r="HS14">
        <f ca="1"/>
      </c>
      <c r="HT14">
        <f ca="1"/>
      </c>
      <c r="HU14">
        <f ca="1"/>
      </c>
      <c r="HV14">
        <f ca="1"/>
      </c>
      <c r="HW14">
        <f ca="1"/>
      </c>
      <c r="HX14">
        <f ca="1"/>
      </c>
      <c r="HY14">
        <f ca="1"/>
      </c>
      <c r="HZ14">
        <f ca="1"/>
      </c>
      <c r="IA14">
        <f ca="1"/>
      </c>
      <c r="IB14">
        <f ca="1"/>
      </c>
      <c r="IC14">
        <f ca="1"/>
      </c>
      <c r="ID14">
        <f ca="1"/>
      </c>
      <c r="IE14">
        <f ca="1"/>
      </c>
      <c r="IF14">
        <f ca="1"/>
      </c>
      <c r="IG14">
        <f ca="1"/>
      </c>
      <c r="IH14">
        <f ca="1"/>
      </c>
      <c r="II14">
        <f ca="1"/>
      </c>
      <c r="IJ14">
        <f ca="1"/>
      </c>
      <c r="IK14">
        <f ca="1"/>
      </c>
      <c r="IL14">
        <f ca="1"/>
      </c>
      <c r="IM14">
        <f ca="1"/>
      </c>
      <c r="IN14">
        <f ca="1"/>
      </c>
      <c r="IO14">
        <f ca="1"/>
      </c>
      <c r="IP14">
        <f ca="1"/>
      </c>
      <c r="IQ14">
        <f ca="1"/>
      </c>
      <c r="IR14">
        <f ca="1"/>
      </c>
      <c r="IS14">
        <f ca="1"/>
      </c>
      <c r="IT14">
        <f ca="1"/>
      </c>
      <c r="IU14">
        <f ca="1"/>
      </c>
      <c r="IV14">
        <f ca="1"/>
      </c>
      <c r="IW14">
        <f ca="1"/>
      </c>
      <c r="IX14">
        <f ca="1"/>
      </c>
      <c r="IY14">
        <f ca="1"/>
      </c>
      <c r="IZ14">
        <f ca="1"/>
      </c>
      <c r="JA14">
        <f ca="1"/>
      </c>
      <c r="JB14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2</v>
      </c>
      <c r="B15" s="6" t="s">
        <v>42</v>
      </c>
      <c r="C15" t="s">
        <v>49</v>
      </c>
      <c r="D15" s="6" t="s">
        <v>42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>
        <f ca="1"/>
      </c>
      <c r="AK15" s="11">
        <f ca="1"/>
      </c>
      <c r="AL15" s="12">
        <f ca="1"/>
      </c>
      <c r="AM15" s="12">
        <f ca="1"/>
      </c>
      <c r="AN15" s="11">
        <f ca="1"/>
      </c>
      <c r="AO15" s="14">
        <f ca="1"/>
      </c>
      <c r="BI15">
        <f ca="1"/>
      </c>
      <c r="BJ15" s="11">
        <f ca="1"/>
      </c>
      <c r="BK15" s="11">
        <f ca="1"/>
      </c>
      <c r="BL15" s="11">
        <f ca="1"/>
      </c>
      <c r="BM15" s="11">
        <f ca="1"/>
      </c>
      <c r="BN15" s="11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J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F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B15">
        <f ca="1"/>
      </c>
      <c r="GC15">
        <f ca="1"/>
      </c>
      <c r="GD15">
        <f ca="1"/>
      </c>
      <c r="GE15">
        <f ca="1"/>
      </c>
      <c r="GF15">
        <f ca="1"/>
      </c>
      <c r="GG15">
        <f ca="1"/>
      </c>
      <c r="GH15">
        <f ca="1"/>
      </c>
      <c r="GI15">
        <f ca="1"/>
      </c>
      <c r="GJ15">
        <f ca="1"/>
      </c>
      <c r="GK15">
        <f ca="1"/>
      </c>
      <c r="GL15">
        <f ca="1"/>
      </c>
      <c r="GM15">
        <f ca="1"/>
      </c>
      <c r="GN15">
        <f ca="1"/>
      </c>
      <c r="GO15">
        <f ca="1"/>
      </c>
      <c r="GP15">
        <f ca="1"/>
      </c>
      <c r="GQ15">
        <f ca="1"/>
      </c>
      <c r="GR15">
        <f ca="1"/>
      </c>
      <c r="GS15">
        <f ca="1"/>
      </c>
      <c r="GT15">
        <f ca="1"/>
      </c>
      <c r="GU15">
        <f ca="1"/>
      </c>
      <c r="GV15">
        <f ca="1"/>
      </c>
      <c r="GW15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C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R15">
        <f ca="1"/>
      </c>
      <c r="HS15">
        <f ca="1"/>
      </c>
      <c r="HT15">
        <f ca="1"/>
      </c>
      <c r="HU15">
        <f ca="1"/>
      </c>
      <c r="HV15">
        <f ca="1"/>
      </c>
      <c r="HW15">
        <f ca="1"/>
      </c>
      <c r="HX15">
        <f ca="1"/>
      </c>
      <c r="HY15">
        <f ca="1"/>
      </c>
      <c r="HZ15">
        <f ca="1"/>
      </c>
      <c r="IA15">
        <f ca="1"/>
      </c>
      <c r="IB15">
        <f ca="1"/>
      </c>
      <c r="IC15">
        <f ca="1"/>
      </c>
      <c r="ID15">
        <f ca="1"/>
      </c>
      <c r="IE15">
        <f ca="1"/>
      </c>
      <c r="IF15">
        <f ca="1"/>
      </c>
      <c r="IG15">
        <f ca="1"/>
      </c>
      <c r="IH15">
        <f ca="1"/>
      </c>
      <c r="II15">
        <f ca="1"/>
      </c>
      <c r="IJ15">
        <f ca="1"/>
      </c>
      <c r="IK15">
        <f ca="1"/>
      </c>
      <c r="IL15">
        <f ca="1"/>
      </c>
      <c r="IM15">
        <f ca="1"/>
      </c>
      <c r="IN15">
        <f ca="1"/>
      </c>
      <c r="IO15">
        <f ca="1"/>
      </c>
      <c r="IP15">
        <f ca="1"/>
      </c>
      <c r="IQ15">
        <f ca="1"/>
      </c>
      <c r="IR15">
        <f ca="1"/>
      </c>
      <c r="IS15">
        <f ca="1"/>
      </c>
      <c r="IT15">
        <f ca="1"/>
      </c>
      <c r="IU15">
        <f ca="1"/>
      </c>
      <c r="IV15">
        <f ca="1"/>
      </c>
      <c r="IW15">
        <f ca="1"/>
      </c>
      <c r="IX15">
        <f ca="1"/>
      </c>
      <c r="IY15">
        <f ca="1"/>
      </c>
      <c r="IZ15">
        <f ca="1"/>
      </c>
      <c r="JA15">
        <f ca="1"/>
      </c>
      <c r="JB15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</v>
      </c>
      <c r="B16" s="6" t="s">
        <v>42</v>
      </c>
      <c r="C16" t="s">
        <v>50</v>
      </c>
      <c r="D16" s="6" t="s">
        <v>42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>
        <f ca="1"/>
      </c>
      <c r="AK16" s="11">
        <f ca="1"/>
      </c>
      <c r="AL16" s="12">
        <f ca="1"/>
      </c>
      <c r="AM16" s="12">
        <f ca="1"/>
      </c>
      <c r="AN16" s="11">
        <f ca="1"/>
      </c>
      <c r="AO16" s="14">
        <f ca="1"/>
      </c>
      <c r="BF16" t="s">
        <v>211</v>
      </c>
      <c r="BI16">
        <f ca="1"/>
      </c>
      <c r="BJ16" s="11">
        <f ca="1"/>
      </c>
      <c r="BK16" s="11">
        <f ca="1"/>
      </c>
      <c r="BL16" s="11">
        <f ca="1"/>
      </c>
      <c r="BM16" s="11">
        <f ca="1"/>
      </c>
      <c r="BN16" s="11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J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F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B16">
        <f ca="1"/>
      </c>
      <c r="GC16">
        <f ca="1"/>
      </c>
      <c r="GD16">
        <f ca="1"/>
      </c>
      <c r="GE16">
        <f ca="1"/>
      </c>
      <c r="GF16">
        <f ca="1"/>
      </c>
      <c r="GG16">
        <f ca="1"/>
      </c>
      <c r="GH16">
        <f ca="1"/>
      </c>
      <c r="GI16">
        <f ca="1"/>
      </c>
      <c r="GJ16">
        <f ca="1"/>
      </c>
      <c r="GK16">
        <f ca="1"/>
      </c>
      <c r="GL16">
        <f ca="1"/>
      </c>
      <c r="GM16">
        <f ca="1"/>
      </c>
      <c r="GN16">
        <f ca="1"/>
      </c>
      <c r="GO16">
        <f ca="1"/>
      </c>
      <c r="GP16">
        <f ca="1"/>
      </c>
      <c r="GQ16">
        <f ca="1"/>
      </c>
      <c r="GR16">
        <f ca="1"/>
      </c>
      <c r="GS16">
        <f ca="1"/>
      </c>
      <c r="GT16">
        <f ca="1"/>
      </c>
      <c r="GU16">
        <f ca="1"/>
      </c>
      <c r="GV16">
        <f ca="1"/>
      </c>
      <c r="GW16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C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R16">
        <f ca="1"/>
      </c>
      <c r="HS16">
        <f ca="1"/>
      </c>
      <c r="HT16">
        <f ca="1"/>
      </c>
      <c r="HU16">
        <f ca="1"/>
      </c>
      <c r="HV16">
        <f ca="1"/>
      </c>
      <c r="HW16">
        <f ca="1"/>
      </c>
      <c r="HX16">
        <f ca="1"/>
      </c>
      <c r="HY16">
        <f ca="1"/>
      </c>
      <c r="HZ16">
        <f ca="1"/>
      </c>
      <c r="IA16">
        <f ca="1"/>
      </c>
      <c r="IB16">
        <f ca="1"/>
      </c>
      <c r="IC16">
        <f ca="1"/>
      </c>
      <c r="ID16">
        <f ca="1"/>
      </c>
      <c r="IE16">
        <f ca="1"/>
      </c>
      <c r="IF16">
        <f ca="1"/>
      </c>
      <c r="IG16">
        <f ca="1"/>
      </c>
      <c r="IH16">
        <f ca="1"/>
      </c>
      <c r="II16">
        <f ca="1"/>
      </c>
      <c r="IJ16">
        <f ca="1"/>
      </c>
      <c r="IK16">
        <f ca="1"/>
      </c>
      <c r="IL16">
        <f ca="1"/>
      </c>
      <c r="IM16">
        <f ca="1"/>
      </c>
      <c r="IN16">
        <f ca="1"/>
      </c>
      <c r="IO16">
        <f ca="1"/>
      </c>
      <c r="IP16">
        <f ca="1"/>
      </c>
      <c r="IQ16">
        <f ca="1"/>
      </c>
      <c r="IR16">
        <f ca="1"/>
      </c>
      <c r="IS16">
        <f ca="1"/>
      </c>
      <c r="IT16">
        <f ca="1"/>
      </c>
      <c r="IU16">
        <f ca="1"/>
      </c>
      <c r="IV16">
        <f ca="1"/>
      </c>
      <c r="IW16">
        <f ca="1"/>
      </c>
      <c r="IX16">
        <f ca="1"/>
      </c>
      <c r="IY16">
        <f ca="1"/>
      </c>
      <c r="IZ16">
        <f ca="1"/>
      </c>
      <c r="JA16">
        <f ca="1"/>
      </c>
      <c r="JB16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4</v>
      </c>
      <c r="B17" s="6" t="s">
        <v>42</v>
      </c>
      <c r="C17" t="s">
        <v>51</v>
      </c>
      <c r="D17" s="6" t="s">
        <v>42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>
        <f ca="1"/>
      </c>
      <c r="AK17" s="11">
        <f ca="1"/>
      </c>
      <c r="AL17" s="12">
        <f ca="1"/>
      </c>
      <c r="AM17" s="12">
        <f ca="1"/>
      </c>
      <c r="AN17" s="11">
        <f ca="1"/>
      </c>
      <c r="AO17" s="14">
        <f ca="1"/>
      </c>
      <c r="BF17" cm="1">
        <f t="array" aca="1" ref="BF17:BG209" ca="1">PcaEigen(VOL_Labels,VOL_Mode,VOL_Standardize,VOL_window,VOL_BaseDate,VOL_TargetDate,"vol")</f>
      </c>
      <c r="BG17">
        <f ca="1"/>
      </c>
      <c r="BI17">
        <f ca="1"/>
      </c>
      <c r="BJ17" s="11">
        <f ca="1"/>
      </c>
      <c r="BK17" s="11">
        <f ca="1"/>
      </c>
      <c r="BL17" s="11">
        <f ca="1"/>
      </c>
      <c r="BM17" s="11">
        <f ca="1"/>
      </c>
      <c r="BN17" s="11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J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F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B17">
        <f ca="1"/>
      </c>
      <c r="GC17">
        <f ca="1"/>
      </c>
      <c r="GD17">
        <f ca="1"/>
      </c>
      <c r="GE17">
        <f ca="1"/>
      </c>
      <c r="GF17">
        <f ca="1"/>
      </c>
      <c r="GG17">
        <f ca="1"/>
      </c>
      <c r="GH17">
        <f ca="1"/>
      </c>
      <c r="GI17">
        <f ca="1"/>
      </c>
      <c r="GJ17">
        <f ca="1"/>
      </c>
      <c r="GK17">
        <f ca="1"/>
      </c>
      <c r="GL17">
        <f ca="1"/>
      </c>
      <c r="GM17">
        <f ca="1"/>
      </c>
      <c r="GN17">
        <f ca="1"/>
      </c>
      <c r="GO17">
        <f ca="1"/>
      </c>
      <c r="GP17">
        <f ca="1"/>
      </c>
      <c r="GQ17">
        <f ca="1"/>
      </c>
      <c r="GR17">
        <f ca="1"/>
      </c>
      <c r="GS17">
        <f ca="1"/>
      </c>
      <c r="GT17">
        <f ca="1"/>
      </c>
      <c r="GU17">
        <f ca="1"/>
      </c>
      <c r="GV17">
        <f ca="1"/>
      </c>
      <c r="GW17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C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R17">
        <f ca="1"/>
      </c>
      <c r="HS17">
        <f ca="1"/>
      </c>
      <c r="HT17">
        <f ca="1"/>
      </c>
      <c r="HU17">
        <f ca="1"/>
      </c>
      <c r="HV17">
        <f ca="1"/>
      </c>
      <c r="HW17">
        <f ca="1"/>
      </c>
      <c r="HX17">
        <f ca="1"/>
      </c>
      <c r="HY17">
        <f ca="1"/>
      </c>
      <c r="HZ17">
        <f ca="1"/>
      </c>
      <c r="IA17">
        <f ca="1"/>
      </c>
      <c r="IB17">
        <f ca="1"/>
      </c>
      <c r="IC17">
        <f ca="1"/>
      </c>
      <c r="ID17">
        <f ca="1"/>
      </c>
      <c r="IE17">
        <f ca="1"/>
      </c>
      <c r="IF17">
        <f ca="1"/>
      </c>
      <c r="IG17">
        <f ca="1"/>
      </c>
      <c r="IH17">
        <f ca="1"/>
      </c>
      <c r="II17">
        <f ca="1"/>
      </c>
      <c r="IJ17">
        <f ca="1"/>
      </c>
      <c r="IK17">
        <f ca="1"/>
      </c>
      <c r="IL17">
        <f ca="1"/>
      </c>
      <c r="IM17">
        <f ca="1"/>
      </c>
      <c r="IN17">
        <f ca="1"/>
      </c>
      <c r="IO17">
        <f ca="1"/>
      </c>
      <c r="IP17">
        <f ca="1"/>
      </c>
      <c r="IQ17">
        <f ca="1"/>
      </c>
      <c r="IR17">
        <f ca="1"/>
      </c>
      <c r="IS17">
        <f ca="1"/>
      </c>
      <c r="IT17">
        <f ca="1"/>
      </c>
      <c r="IU17">
        <f ca="1"/>
      </c>
      <c r="IV17">
        <f ca="1"/>
      </c>
      <c r="IW17">
        <f ca="1"/>
      </c>
      <c r="IX17">
        <f ca="1"/>
      </c>
      <c r="IY17">
        <f ca="1"/>
      </c>
      <c r="IZ17">
        <f ca="1"/>
      </c>
      <c r="JA17">
        <f ca="1"/>
      </c>
      <c r="JB17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7</v>
      </c>
      <c r="B18" s="6" t="s">
        <v>42</v>
      </c>
      <c r="C18" t="s">
        <v>18</v>
      </c>
      <c r="D18" s="6" t="s">
        <v>42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>
        <f ca="1"/>
      </c>
      <c r="AK18" s="11">
        <f ca="1"/>
      </c>
      <c r="AL18" s="12">
        <f ca="1"/>
      </c>
      <c r="AM18" s="12">
        <f ca="1"/>
      </c>
      <c r="AN18" s="11">
        <f ca="1"/>
      </c>
      <c r="AO18" s="14">
        <f ca="1"/>
      </c>
      <c r="BF18">
        <f ca="1"/>
      </c>
      <c r="BG18">
        <f ca="1"/>
      </c>
      <c r="BI18">
        <f ca="1"/>
      </c>
      <c r="BJ18" s="11">
        <f ca="1"/>
      </c>
      <c r="BK18" s="11">
        <f ca="1"/>
      </c>
      <c r="BL18" s="11">
        <f ca="1"/>
      </c>
      <c r="BM18" s="11">
        <f ca="1"/>
      </c>
      <c r="BN18" s="11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J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F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B18">
        <f ca="1"/>
      </c>
      <c r="GC18">
        <f ca="1"/>
      </c>
      <c r="GD18">
        <f ca="1"/>
      </c>
      <c r="GE18">
        <f ca="1"/>
      </c>
      <c r="GF18">
        <f ca="1"/>
      </c>
      <c r="GG18">
        <f ca="1"/>
      </c>
      <c r="GH18">
        <f ca="1"/>
      </c>
      <c r="GI18">
        <f ca="1"/>
      </c>
      <c r="GJ18">
        <f ca="1"/>
      </c>
      <c r="GK18">
        <f ca="1"/>
      </c>
      <c r="GL18">
        <f ca="1"/>
      </c>
      <c r="GM18">
        <f ca="1"/>
      </c>
      <c r="GN18">
        <f ca="1"/>
      </c>
      <c r="GO18">
        <f ca="1"/>
      </c>
      <c r="GP18">
        <f ca="1"/>
      </c>
      <c r="GQ18">
        <f ca="1"/>
      </c>
      <c r="GR18">
        <f ca="1"/>
      </c>
      <c r="GS18">
        <f ca="1"/>
      </c>
      <c r="GT18">
        <f ca="1"/>
      </c>
      <c r="GU18">
        <f ca="1"/>
      </c>
      <c r="GV18">
        <f ca="1"/>
      </c>
      <c r="GW18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C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R18">
        <f ca="1"/>
      </c>
      <c r="HS18">
        <f ca="1"/>
      </c>
      <c r="HT18">
        <f ca="1"/>
      </c>
      <c r="HU18">
        <f ca="1"/>
      </c>
      <c r="HV18">
        <f ca="1"/>
      </c>
      <c r="HW18">
        <f ca="1"/>
      </c>
      <c r="HX18">
        <f ca="1"/>
      </c>
      <c r="HY18">
        <f ca="1"/>
      </c>
      <c r="HZ18">
        <f ca="1"/>
      </c>
      <c r="IA18">
        <f ca="1"/>
      </c>
      <c r="IB18">
        <f ca="1"/>
      </c>
      <c r="IC18">
        <f ca="1"/>
      </c>
      <c r="ID18">
        <f ca="1"/>
      </c>
      <c r="IE18">
        <f ca="1"/>
      </c>
      <c r="IF18">
        <f ca="1"/>
      </c>
      <c r="IG18">
        <f ca="1"/>
      </c>
      <c r="IH18">
        <f ca="1"/>
      </c>
      <c r="II18">
        <f ca="1"/>
      </c>
      <c r="IJ18">
        <f ca="1"/>
      </c>
      <c r="IK18">
        <f ca="1"/>
      </c>
      <c r="IL18">
        <f ca="1"/>
      </c>
      <c r="IM18">
        <f ca="1"/>
      </c>
      <c r="IN18">
        <f ca="1"/>
      </c>
      <c r="IO18">
        <f ca="1"/>
      </c>
      <c r="IP18">
        <f ca="1"/>
      </c>
      <c r="IQ18">
        <f ca="1"/>
      </c>
      <c r="IR18">
        <f ca="1"/>
      </c>
      <c r="IS18">
        <f ca="1"/>
      </c>
      <c r="IT18">
        <f ca="1"/>
      </c>
      <c r="IU18">
        <f ca="1"/>
      </c>
      <c r="IV18">
        <f ca="1"/>
      </c>
      <c r="IW18">
        <f ca="1"/>
      </c>
      <c r="IX18">
        <f ca="1"/>
      </c>
      <c r="IY18">
        <f ca="1"/>
      </c>
      <c r="IZ18">
        <f ca="1"/>
      </c>
      <c r="JA18">
        <f ca="1"/>
      </c>
      <c r="JB18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10</v>
      </c>
      <c r="B19" s="6" t="s">
        <v>42</v>
      </c>
      <c r="C19" t="s">
        <v>19</v>
      </c>
      <c r="D19" s="6" t="s">
        <v>42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>
        <f ca="1"/>
      </c>
      <c r="AK19" s="11">
        <f ca="1"/>
      </c>
      <c r="AL19" s="12">
        <f ca="1"/>
      </c>
      <c r="AM19" s="12">
        <f ca="1"/>
      </c>
      <c r="AN19" s="11">
        <f ca="1"/>
      </c>
      <c r="AO19" s="14">
        <f ca="1"/>
      </c>
      <c r="BF19">
        <f ca="1"/>
      </c>
      <c r="BG19">
        <f ca="1"/>
      </c>
      <c r="BI19">
        <f ca="1"/>
      </c>
      <c r="BJ19" s="11">
        <f ca="1"/>
      </c>
      <c r="BK19" s="11">
        <f ca="1"/>
      </c>
      <c r="BL19" s="11">
        <f ca="1"/>
      </c>
      <c r="BM19" s="11">
        <f ca="1"/>
      </c>
      <c r="BN19" s="11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J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F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B19">
        <f ca="1"/>
      </c>
      <c r="GC19">
        <f ca="1"/>
      </c>
      <c r="GD19">
        <f ca="1"/>
      </c>
      <c r="GE19">
        <f ca="1"/>
      </c>
      <c r="GF19">
        <f ca="1"/>
      </c>
      <c r="GG19">
        <f ca="1"/>
      </c>
      <c r="GH19">
        <f ca="1"/>
      </c>
      <c r="GI19">
        <f ca="1"/>
      </c>
      <c r="GJ19">
        <f ca="1"/>
      </c>
      <c r="GK19">
        <f ca="1"/>
      </c>
      <c r="GL19">
        <f ca="1"/>
      </c>
      <c r="GM19">
        <f ca="1"/>
      </c>
      <c r="GN19">
        <f ca="1"/>
      </c>
      <c r="GO19">
        <f ca="1"/>
      </c>
      <c r="GP19">
        <f ca="1"/>
      </c>
      <c r="GQ19">
        <f ca="1"/>
      </c>
      <c r="GR19">
        <f ca="1"/>
      </c>
      <c r="GS19">
        <f ca="1"/>
      </c>
      <c r="GT19">
        <f ca="1"/>
      </c>
      <c r="GU19">
        <f ca="1"/>
      </c>
      <c r="GV19">
        <f ca="1"/>
      </c>
      <c r="GW19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C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R19">
        <f ca="1"/>
      </c>
      <c r="HS19">
        <f ca="1"/>
      </c>
      <c r="HT19">
        <f ca="1"/>
      </c>
      <c r="HU19">
        <f ca="1"/>
      </c>
      <c r="HV19">
        <f ca="1"/>
      </c>
      <c r="HW19">
        <f ca="1"/>
      </c>
      <c r="HX19">
        <f ca="1"/>
      </c>
      <c r="HY19">
        <f ca="1"/>
      </c>
      <c r="HZ19">
        <f ca="1"/>
      </c>
      <c r="IA19">
        <f ca="1"/>
      </c>
      <c r="IB19">
        <f ca="1"/>
      </c>
      <c r="IC19">
        <f ca="1"/>
      </c>
      <c r="ID19">
        <f ca="1"/>
      </c>
      <c r="IE19">
        <f ca="1"/>
      </c>
      <c r="IF19">
        <f ca="1"/>
      </c>
      <c r="IG19">
        <f ca="1"/>
      </c>
      <c r="IH19">
        <f ca="1"/>
      </c>
      <c r="II19">
        <f ca="1"/>
      </c>
      <c r="IJ19">
        <f ca="1"/>
      </c>
      <c r="IK19">
        <f ca="1"/>
      </c>
      <c r="IL19">
        <f ca="1"/>
      </c>
      <c r="IM19">
        <f ca="1"/>
      </c>
      <c r="IN19">
        <f ca="1"/>
      </c>
      <c r="IO19">
        <f ca="1"/>
      </c>
      <c r="IP19">
        <f ca="1"/>
      </c>
      <c r="IQ19">
        <f ca="1"/>
      </c>
      <c r="IR19">
        <f ca="1"/>
      </c>
      <c r="IS19">
        <f ca="1"/>
      </c>
      <c r="IT19">
        <f ca="1"/>
      </c>
      <c r="IU19">
        <f ca="1"/>
      </c>
      <c r="IV19">
        <f ca="1"/>
      </c>
      <c r="IW19">
        <f ca="1"/>
      </c>
      <c r="IX19">
        <f ca="1"/>
      </c>
      <c r="IY19">
        <f ca="1"/>
      </c>
      <c r="IZ19">
        <f ca="1"/>
      </c>
      <c r="JA19">
        <f ca="1"/>
      </c>
      <c r="JB19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49</v>
      </c>
      <c r="B20" s="6" t="s">
        <v>42</v>
      </c>
      <c r="C20" t="s">
        <v>20</v>
      </c>
      <c r="D20" s="6" t="s">
        <v>42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>
        <f ca="1"/>
      </c>
      <c r="AK20" s="11">
        <f ca="1"/>
      </c>
      <c r="AL20" s="12">
        <f ca="1"/>
      </c>
      <c r="AM20" s="12">
        <f ca="1"/>
      </c>
      <c r="AN20" s="11">
        <f ca="1"/>
      </c>
      <c r="AO20" s="14">
        <f ca="1"/>
      </c>
      <c r="BF20">
        <f ca="1"/>
      </c>
      <c r="BG20">
        <f ca="1"/>
      </c>
      <c r="BI20">
        <f ca="1"/>
      </c>
      <c r="BJ20" s="11">
        <f ca="1"/>
      </c>
      <c r="BK20" s="11">
        <f ca="1"/>
      </c>
      <c r="BL20" s="11">
        <f ca="1"/>
      </c>
      <c r="BM20" s="11">
        <f ca="1"/>
      </c>
      <c r="BN20" s="11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J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F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B20">
        <f ca="1"/>
      </c>
      <c r="GC20">
        <f ca="1"/>
      </c>
      <c r="GD20">
        <f ca="1"/>
      </c>
      <c r="GE20">
        <f ca="1"/>
      </c>
      <c r="GF20">
        <f ca="1"/>
      </c>
      <c r="GG20">
        <f ca="1"/>
      </c>
      <c r="GH20">
        <f ca="1"/>
      </c>
      <c r="GI20">
        <f ca="1"/>
      </c>
      <c r="GJ20">
        <f ca="1"/>
      </c>
      <c r="GK20">
        <f ca="1"/>
      </c>
      <c r="GL20">
        <f ca="1"/>
      </c>
      <c r="GM20">
        <f ca="1"/>
      </c>
      <c r="GN20">
        <f ca="1"/>
      </c>
      <c r="GO20">
        <f ca="1"/>
      </c>
      <c r="GP20">
        <f ca="1"/>
      </c>
      <c r="GQ20">
        <f ca="1"/>
      </c>
      <c r="GR20">
        <f ca="1"/>
      </c>
      <c r="GS20">
        <f ca="1"/>
      </c>
      <c r="GT20">
        <f ca="1"/>
      </c>
      <c r="GU20">
        <f ca="1"/>
      </c>
      <c r="GV20">
        <f ca="1"/>
      </c>
      <c r="GW20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C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R20">
        <f ca="1"/>
      </c>
      <c r="HS20">
        <f ca="1"/>
      </c>
      <c r="HT20">
        <f ca="1"/>
      </c>
      <c r="HU20">
        <f ca="1"/>
      </c>
      <c r="HV20">
        <f ca="1"/>
      </c>
      <c r="HW20">
        <f ca="1"/>
      </c>
      <c r="HX20">
        <f ca="1"/>
      </c>
      <c r="HY20">
        <f ca="1"/>
      </c>
      <c r="HZ20">
        <f ca="1"/>
      </c>
      <c r="IA20">
        <f ca="1"/>
      </c>
      <c r="IB20">
        <f ca="1"/>
      </c>
      <c r="IC20">
        <f ca="1"/>
      </c>
      <c r="ID20">
        <f ca="1"/>
      </c>
      <c r="IE20">
        <f ca="1"/>
      </c>
      <c r="IF20">
        <f ca="1"/>
      </c>
      <c r="IG20">
        <f ca="1"/>
      </c>
      <c r="IH20">
        <f ca="1"/>
      </c>
      <c r="II20">
        <f ca="1"/>
      </c>
      <c r="IJ20">
        <f ca="1"/>
      </c>
      <c r="IK20">
        <f ca="1"/>
      </c>
      <c r="IL20">
        <f ca="1"/>
      </c>
      <c r="IM20">
        <f ca="1"/>
      </c>
      <c r="IN20">
        <f ca="1"/>
      </c>
      <c r="IO20">
        <f ca="1"/>
      </c>
      <c r="IP20">
        <f ca="1"/>
      </c>
      <c r="IQ20">
        <f ca="1"/>
      </c>
      <c r="IR20">
        <f ca="1"/>
      </c>
      <c r="IS20">
        <f ca="1"/>
      </c>
      <c r="IT20">
        <f ca="1"/>
      </c>
      <c r="IU20">
        <f ca="1"/>
      </c>
      <c r="IV20">
        <f ca="1"/>
      </c>
      <c r="IW20">
        <f ca="1"/>
      </c>
      <c r="IX20">
        <f ca="1"/>
      </c>
      <c r="IY20">
        <f ca="1"/>
      </c>
      <c r="IZ20">
        <f ca="1"/>
      </c>
      <c r="JA20">
        <f ca="1"/>
      </c>
      <c r="JB20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50</v>
      </c>
      <c r="B21" s="6" t="s">
        <v>42</v>
      </c>
      <c r="C21" t="s">
        <v>21</v>
      </c>
      <c r="D21" s="6" t="s">
        <v>42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>
        <f ca="1"/>
      </c>
      <c r="AK21" s="11">
        <f ca="1"/>
      </c>
      <c r="AL21" s="12">
        <f ca="1"/>
      </c>
      <c r="AM21" s="12">
        <f ca="1"/>
      </c>
      <c r="AN21" s="11">
        <f ca="1"/>
      </c>
      <c r="AO21" s="14">
        <f ca="1"/>
      </c>
      <c r="BF21">
        <f ca="1"/>
      </c>
      <c r="BG21">
        <f ca="1"/>
      </c>
      <c r="BI21">
        <f ca="1"/>
      </c>
      <c r="BJ21" s="11">
        <f ca="1"/>
      </c>
      <c r="BK21" s="11">
        <f ca="1"/>
      </c>
      <c r="BL21" s="11">
        <f ca="1"/>
      </c>
      <c r="BM21" s="11">
        <f ca="1"/>
      </c>
      <c r="BN21" s="1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J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F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B21">
        <f ca="1"/>
      </c>
      <c r="GC21">
        <f ca="1"/>
      </c>
      <c r="GD21">
        <f ca="1"/>
      </c>
      <c r="GE21">
        <f ca="1"/>
      </c>
      <c r="GF21">
        <f ca="1"/>
      </c>
      <c r="GG21">
        <f ca="1"/>
      </c>
      <c r="GH21">
        <f ca="1"/>
      </c>
      <c r="GI21">
        <f ca="1"/>
      </c>
      <c r="GJ21">
        <f ca="1"/>
      </c>
      <c r="GK21">
        <f ca="1"/>
      </c>
      <c r="GL21">
        <f ca="1"/>
      </c>
      <c r="GM21">
        <f ca="1"/>
      </c>
      <c r="GN21">
        <f ca="1"/>
      </c>
      <c r="GO21">
        <f ca="1"/>
      </c>
      <c r="GP21">
        <f ca="1"/>
      </c>
      <c r="GQ21">
        <f ca="1"/>
      </c>
      <c r="GR21">
        <f ca="1"/>
      </c>
      <c r="GS21">
        <f ca="1"/>
      </c>
      <c r="GT21">
        <f ca="1"/>
      </c>
      <c r="GU21">
        <f ca="1"/>
      </c>
      <c r="GV21">
        <f ca="1"/>
      </c>
      <c r="GW2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C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R21">
        <f ca="1"/>
      </c>
      <c r="HS21">
        <f ca="1"/>
      </c>
      <c r="HT21">
        <f ca="1"/>
      </c>
      <c r="HU21">
        <f ca="1"/>
      </c>
      <c r="HV21">
        <f ca="1"/>
      </c>
      <c r="HW21">
        <f ca="1"/>
      </c>
      <c r="HX21">
        <f ca="1"/>
      </c>
      <c r="HY21">
        <f ca="1"/>
      </c>
      <c r="HZ21">
        <f ca="1"/>
      </c>
      <c r="IA21">
        <f ca="1"/>
      </c>
      <c r="IB21">
        <f ca="1"/>
      </c>
      <c r="IC21">
        <f ca="1"/>
      </c>
      <c r="ID21">
        <f ca="1"/>
      </c>
      <c r="IE21">
        <f ca="1"/>
      </c>
      <c r="IF21">
        <f ca="1"/>
      </c>
      <c r="IG21">
        <f ca="1"/>
      </c>
      <c r="IH21">
        <f ca="1"/>
      </c>
      <c r="II21">
        <f ca="1"/>
      </c>
      <c r="IJ21">
        <f ca="1"/>
      </c>
      <c r="IK21">
        <f ca="1"/>
      </c>
      <c r="IL21">
        <f ca="1"/>
      </c>
      <c r="IM21">
        <f ca="1"/>
      </c>
      <c r="IN21">
        <f ca="1"/>
      </c>
      <c r="IO21">
        <f ca="1"/>
      </c>
      <c r="IP21">
        <f ca="1"/>
      </c>
      <c r="IQ21">
        <f ca="1"/>
      </c>
      <c r="IR21">
        <f ca="1"/>
      </c>
      <c r="IS21">
        <f ca="1"/>
      </c>
      <c r="IT21">
        <f ca="1"/>
      </c>
      <c r="IU21">
        <f ca="1"/>
      </c>
      <c r="IV21">
        <f ca="1"/>
      </c>
      <c r="IW21">
        <f ca="1"/>
      </c>
      <c r="IX21">
        <f ca="1"/>
      </c>
      <c r="IY21">
        <f ca="1"/>
      </c>
      <c r="IZ21">
        <f ca="1"/>
      </c>
      <c r="JA21">
        <f ca="1"/>
      </c>
      <c r="JB2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51</v>
      </c>
      <c r="B22" s="6" t="s">
        <v>42</v>
      </c>
      <c r="C22" t="s">
        <v>22</v>
      </c>
      <c r="D22" s="6" t="s">
        <v>42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F22">
        <f ca="1"/>
      </c>
      <c r="BG22">
        <f ca="1"/>
      </c>
      <c r="BI22">
        <f ca="1"/>
      </c>
      <c r="BJ22" s="11">
        <f ca="1"/>
      </c>
      <c r="BK22" s="11">
        <f ca="1"/>
      </c>
      <c r="BL22" s="11">
        <f ca="1"/>
      </c>
      <c r="BM22" s="11">
        <f ca="1"/>
      </c>
      <c r="BN22" s="11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J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F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B22">
        <f ca="1"/>
      </c>
      <c r="GC22">
        <f ca="1"/>
      </c>
      <c r="GD22">
        <f ca="1"/>
      </c>
      <c r="GE22">
        <f ca="1"/>
      </c>
      <c r="GF22">
        <f ca="1"/>
      </c>
      <c r="GG22">
        <f ca="1"/>
      </c>
      <c r="GH22">
        <f ca="1"/>
      </c>
      <c r="GI22">
        <f ca="1"/>
      </c>
      <c r="GJ22">
        <f ca="1"/>
      </c>
      <c r="GK22">
        <f ca="1"/>
      </c>
      <c r="GL22">
        <f ca="1"/>
      </c>
      <c r="GM22">
        <f ca="1"/>
      </c>
      <c r="GN22">
        <f ca="1"/>
      </c>
      <c r="GO22">
        <f ca="1"/>
      </c>
      <c r="GP22">
        <f ca="1"/>
      </c>
      <c r="GQ22">
        <f ca="1"/>
      </c>
      <c r="GR22">
        <f ca="1"/>
      </c>
      <c r="GS22">
        <f ca="1"/>
      </c>
      <c r="GT22">
        <f ca="1"/>
      </c>
      <c r="GU22">
        <f ca="1"/>
      </c>
      <c r="GV22">
        <f ca="1"/>
      </c>
      <c r="GW22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C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R22">
        <f ca="1"/>
      </c>
      <c r="HS22">
        <f ca="1"/>
      </c>
      <c r="HT22">
        <f ca="1"/>
      </c>
      <c r="HU22">
        <f ca="1"/>
      </c>
      <c r="HV22">
        <f ca="1"/>
      </c>
      <c r="HW22">
        <f ca="1"/>
      </c>
      <c r="HX22">
        <f ca="1"/>
      </c>
      <c r="HY22">
        <f ca="1"/>
      </c>
      <c r="HZ22">
        <f ca="1"/>
      </c>
      <c r="IA22">
        <f ca="1"/>
      </c>
      <c r="IB22">
        <f ca="1"/>
      </c>
      <c r="IC22">
        <f ca="1"/>
      </c>
      <c r="ID22">
        <f ca="1"/>
      </c>
      <c r="IE22">
        <f ca="1"/>
      </c>
      <c r="IF22">
        <f ca="1"/>
      </c>
      <c r="IG22">
        <f ca="1"/>
      </c>
      <c r="IH22">
        <f ca="1"/>
      </c>
      <c r="II22">
        <f ca="1"/>
      </c>
      <c r="IJ22">
        <f ca="1"/>
      </c>
      <c r="IK22">
        <f ca="1"/>
      </c>
      <c r="IL22">
        <f ca="1"/>
      </c>
      <c r="IM22">
        <f ca="1"/>
      </c>
      <c r="IN22">
        <f ca="1"/>
      </c>
      <c r="IO22">
        <f ca="1"/>
      </c>
      <c r="IP22">
        <f ca="1"/>
      </c>
      <c r="IQ22">
        <f ca="1"/>
      </c>
      <c r="IR22">
        <f ca="1"/>
      </c>
      <c r="IS22">
        <f ca="1"/>
      </c>
      <c r="IT22">
        <f ca="1"/>
      </c>
      <c r="IU22">
        <f ca="1"/>
      </c>
      <c r="IV22">
        <f ca="1"/>
      </c>
      <c r="IW22">
        <f ca="1"/>
      </c>
      <c r="IX22">
        <f ca="1"/>
      </c>
      <c r="IY22">
        <f ca="1"/>
      </c>
      <c r="IZ22">
        <f ca="1"/>
      </c>
      <c r="JA22">
        <f ca="1"/>
      </c>
      <c r="JB22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18</v>
      </c>
      <c r="B23" s="6" t="s">
        <v>42</v>
      </c>
      <c r="C23" t="s">
        <v>23</v>
      </c>
      <c r="D23" s="6" t="s">
        <v>42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F23">
        <f ca="1"/>
      </c>
      <c r="BG23">
        <f ca="1"/>
      </c>
      <c r="BI23">
        <f ca="1"/>
      </c>
      <c r="BJ23" s="11">
        <f ca="1"/>
      </c>
      <c r="BK23" s="11">
        <f ca="1"/>
      </c>
      <c r="BL23" s="11">
        <f ca="1"/>
      </c>
      <c r="BM23" s="11">
        <f ca="1"/>
      </c>
      <c r="BN23" s="11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J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F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B23">
        <f ca="1"/>
      </c>
      <c r="GC23">
        <f ca="1"/>
      </c>
      <c r="GD23">
        <f ca="1"/>
      </c>
      <c r="GE23">
        <f ca="1"/>
      </c>
      <c r="GF23">
        <f ca="1"/>
      </c>
      <c r="GG23">
        <f ca="1"/>
      </c>
      <c r="GH23">
        <f ca="1"/>
      </c>
      <c r="GI23">
        <f ca="1"/>
      </c>
      <c r="GJ23">
        <f ca="1"/>
      </c>
      <c r="GK23">
        <f ca="1"/>
      </c>
      <c r="GL23">
        <f ca="1"/>
      </c>
      <c r="GM23">
        <f ca="1"/>
      </c>
      <c r="GN23">
        <f ca="1"/>
      </c>
      <c r="GO23">
        <f ca="1"/>
      </c>
      <c r="GP23">
        <f ca="1"/>
      </c>
      <c r="GQ23">
        <f ca="1"/>
      </c>
      <c r="GR23">
        <f ca="1"/>
      </c>
      <c r="GS23">
        <f ca="1"/>
      </c>
      <c r="GT23">
        <f ca="1"/>
      </c>
      <c r="GU23">
        <f ca="1"/>
      </c>
      <c r="GV23">
        <f ca="1"/>
      </c>
      <c r="GW23">
        <f ca="1"/>
      </c>
      <c r="GX23">
        <f ca="1"/>
      </c>
      <c r="GY23">
        <f ca="1"/>
      </c>
      <c r="GZ23">
        <f ca="1"/>
      </c>
      <c r="HA23">
        <f ca="1"/>
      </c>
      <c r="HB23">
        <f ca="1"/>
      </c>
      <c r="HC23">
        <f ca="1"/>
      </c>
      <c r="HD23">
        <f ca="1"/>
      </c>
      <c r="HE23">
        <f ca="1"/>
      </c>
      <c r="HF23">
        <f ca="1"/>
      </c>
      <c r="HG23">
        <f ca="1"/>
      </c>
      <c r="HH23">
        <f ca="1"/>
      </c>
      <c r="HI23">
        <f ca="1"/>
      </c>
      <c r="HJ23">
        <f ca="1"/>
      </c>
      <c r="HK23">
        <f ca="1"/>
      </c>
      <c r="HL23">
        <f ca="1"/>
      </c>
      <c r="HM23">
        <f ca="1"/>
      </c>
      <c r="HN23">
        <f ca="1"/>
      </c>
      <c r="HO23">
        <f ca="1"/>
      </c>
      <c r="HP23">
        <f ca="1"/>
      </c>
      <c r="HQ23">
        <f ca="1"/>
      </c>
      <c r="HR23">
        <f ca="1"/>
      </c>
      <c r="HS23">
        <f ca="1"/>
      </c>
      <c r="HT23">
        <f ca="1"/>
      </c>
      <c r="HU23">
        <f ca="1"/>
      </c>
      <c r="HV23">
        <f ca="1"/>
      </c>
      <c r="HW23">
        <f ca="1"/>
      </c>
      <c r="HX23">
        <f ca="1"/>
      </c>
      <c r="HY23">
        <f ca="1"/>
      </c>
      <c r="HZ23">
        <f ca="1"/>
      </c>
      <c r="IA23">
        <f ca="1"/>
      </c>
      <c r="IB23">
        <f ca="1"/>
      </c>
      <c r="IC23">
        <f ca="1"/>
      </c>
      <c r="ID23">
        <f ca="1"/>
      </c>
      <c r="IE23">
        <f ca="1"/>
      </c>
      <c r="IF23">
        <f ca="1"/>
      </c>
      <c r="IG23">
        <f ca="1"/>
      </c>
      <c r="IH23">
        <f ca="1"/>
      </c>
      <c r="II23">
        <f ca="1"/>
      </c>
      <c r="IJ23">
        <f ca="1"/>
      </c>
      <c r="IK23">
        <f ca="1"/>
      </c>
      <c r="IL23">
        <f ca="1"/>
      </c>
      <c r="IM23">
        <f ca="1"/>
      </c>
      <c r="IN23">
        <f ca="1"/>
      </c>
      <c r="IO23">
        <f ca="1"/>
      </c>
      <c r="IP23">
        <f ca="1"/>
      </c>
      <c r="IQ23">
        <f ca="1"/>
      </c>
      <c r="IR23">
        <f ca="1"/>
      </c>
      <c r="IS23">
        <f ca="1"/>
      </c>
      <c r="IT23">
        <f ca="1"/>
      </c>
      <c r="IU23">
        <f ca="1"/>
      </c>
      <c r="IV23">
        <f ca="1"/>
      </c>
      <c r="IW23">
        <f ca="1"/>
      </c>
      <c r="IX23">
        <f ca="1"/>
      </c>
      <c r="IY23">
        <f ca="1"/>
      </c>
      <c r="IZ23">
        <f ca="1"/>
      </c>
      <c r="JA23">
        <f ca="1"/>
      </c>
      <c r="JB23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19</v>
      </c>
      <c r="B24" s="6" t="s">
        <v>42</v>
      </c>
      <c r="C24" t="s">
        <v>24</v>
      </c>
      <c r="D24" s="6" t="s">
        <v>42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F24">
        <f ca="1"/>
      </c>
      <c r="BG24">
        <f ca="1"/>
      </c>
      <c r="BI24">
        <f ca="1"/>
      </c>
      <c r="BJ24" s="11">
        <f ca="1"/>
      </c>
      <c r="BK24" s="11">
        <f ca="1"/>
      </c>
      <c r="BL24" s="11">
        <f ca="1"/>
      </c>
      <c r="BM24" s="11">
        <f ca="1"/>
      </c>
      <c r="BN24" s="11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J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F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B24">
        <f ca="1"/>
      </c>
      <c r="GC24">
        <f ca="1"/>
      </c>
      <c r="GD24">
        <f ca="1"/>
      </c>
      <c r="GE24">
        <f ca="1"/>
      </c>
      <c r="GF24">
        <f ca="1"/>
      </c>
      <c r="GG24">
        <f ca="1"/>
      </c>
      <c r="GH24">
        <f ca="1"/>
      </c>
      <c r="GI24">
        <f ca="1"/>
      </c>
      <c r="GJ24">
        <f ca="1"/>
      </c>
      <c r="GK24">
        <f ca="1"/>
      </c>
      <c r="GL24">
        <f ca="1"/>
      </c>
      <c r="GM24">
        <f ca="1"/>
      </c>
      <c r="GN24">
        <f ca="1"/>
      </c>
      <c r="GO24">
        <f ca="1"/>
      </c>
      <c r="GP24">
        <f ca="1"/>
      </c>
      <c r="GQ24">
        <f ca="1"/>
      </c>
      <c r="GR24">
        <f ca="1"/>
      </c>
      <c r="GS24">
        <f ca="1"/>
      </c>
      <c r="GT24">
        <f ca="1"/>
      </c>
      <c r="GU24">
        <f ca="1"/>
      </c>
      <c r="GV24">
        <f ca="1"/>
      </c>
      <c r="GW24">
        <f ca="1"/>
      </c>
      <c r="GX24">
        <f ca="1"/>
      </c>
      <c r="GY24">
        <f ca="1"/>
      </c>
      <c r="GZ24">
        <f ca="1"/>
      </c>
      <c r="HA24">
        <f ca="1"/>
      </c>
      <c r="HB24">
        <f ca="1"/>
      </c>
      <c r="HC24">
        <f ca="1"/>
      </c>
      <c r="HD24">
        <f ca="1"/>
      </c>
      <c r="HE24">
        <f ca="1"/>
      </c>
      <c r="HF24">
        <f ca="1"/>
      </c>
      <c r="HG24">
        <f ca="1"/>
      </c>
      <c r="HH24">
        <f ca="1"/>
      </c>
      <c r="HI24">
        <f ca="1"/>
      </c>
      <c r="HJ24">
        <f ca="1"/>
      </c>
      <c r="HK24">
        <f ca="1"/>
      </c>
      <c r="HL24">
        <f ca="1"/>
      </c>
      <c r="HM24">
        <f ca="1"/>
      </c>
      <c r="HN24">
        <f ca="1"/>
      </c>
      <c r="HO24">
        <f ca="1"/>
      </c>
      <c r="HP24">
        <f ca="1"/>
      </c>
      <c r="HQ24">
        <f ca="1"/>
      </c>
      <c r="HR24">
        <f ca="1"/>
      </c>
      <c r="HS24">
        <f ca="1"/>
      </c>
      <c r="HT24">
        <f ca="1"/>
      </c>
      <c r="HU24">
        <f ca="1"/>
      </c>
      <c r="HV24">
        <f ca="1"/>
      </c>
      <c r="HW24">
        <f ca="1"/>
      </c>
      <c r="HX24">
        <f ca="1"/>
      </c>
      <c r="HY24">
        <f ca="1"/>
      </c>
      <c r="HZ24">
        <f ca="1"/>
      </c>
      <c r="IA24">
        <f ca="1"/>
      </c>
      <c r="IB24">
        <f ca="1"/>
      </c>
      <c r="IC24">
        <f ca="1"/>
      </c>
      <c r="ID24">
        <f ca="1"/>
      </c>
      <c r="IE24">
        <f ca="1"/>
      </c>
      <c r="IF24">
        <f ca="1"/>
      </c>
      <c r="IG24">
        <f ca="1"/>
      </c>
      <c r="IH24">
        <f ca="1"/>
      </c>
      <c r="II24">
        <f ca="1"/>
      </c>
      <c r="IJ24">
        <f ca="1"/>
      </c>
      <c r="IK24">
        <f ca="1"/>
      </c>
      <c r="IL24">
        <f ca="1"/>
      </c>
      <c r="IM24">
        <f ca="1"/>
      </c>
      <c r="IN24">
        <f ca="1"/>
      </c>
      <c r="IO24">
        <f ca="1"/>
      </c>
      <c r="IP24">
        <f ca="1"/>
      </c>
      <c r="IQ24">
        <f ca="1"/>
      </c>
      <c r="IR24">
        <f ca="1"/>
      </c>
      <c r="IS24">
        <f ca="1"/>
      </c>
      <c r="IT24">
        <f ca="1"/>
      </c>
      <c r="IU24">
        <f ca="1"/>
      </c>
      <c r="IV24">
        <f ca="1"/>
      </c>
      <c r="IW24">
        <f ca="1"/>
      </c>
      <c r="IX24">
        <f ca="1"/>
      </c>
      <c r="IY24">
        <f ca="1"/>
      </c>
      <c r="IZ24">
        <f ca="1"/>
      </c>
      <c r="JA24">
        <f ca="1"/>
      </c>
      <c r="JB24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20</v>
      </c>
      <c r="B25" s="6" t="s">
        <v>42</v>
      </c>
      <c r="C25" t="s">
        <v>27</v>
      </c>
      <c r="D25" s="6" t="s">
        <v>42</v>
      </c>
      <c r="G25" s="11">
        <f ca="1"/>
      </c>
      <c r="H25" s="11">
        <f ca="1"/>
      </c>
      <c r="I25" s="11">
        <f ca="1"/>
      </c>
      <c r="J25" s="11">
        <f ca="1"/>
      </c>
      <c r="K25" s="11">
        <f ca="1"/>
      </c>
      <c r="L25" s="11">
        <f ca="1"/>
      </c>
      <c r="M25" s="11">
        <f ca="1"/>
      </c>
      <c r="N25" s="11">
        <f ca="1"/>
      </c>
      <c r="O25" s="11">
        <f ca="1"/>
      </c>
      <c r="P25" s="11">
        <f ca="1"/>
      </c>
      <c r="Q25" s="11">
        <f ca="1"/>
      </c>
      <c r="R25" s="11">
        <f ca="1"/>
      </c>
      <c r="S25" s="11"/>
      <c r="T25" s="11"/>
      <c r="U25" s="11"/>
      <c r="V25" s="14">
        <f ca="1"/>
      </c>
      <c r="W25" s="14">
        <f ca="1"/>
      </c>
      <c r="X25" s="14">
        <f ca="1"/>
      </c>
      <c r="Y25" s="14">
        <f ca="1"/>
      </c>
      <c r="Z25" s="14">
        <f ca="1"/>
      </c>
      <c r="AA25" s="14">
        <f ca="1"/>
      </c>
      <c r="AB25" s="14">
        <f ca="1"/>
      </c>
      <c r="AC25" s="14">
        <f ca="1"/>
      </c>
      <c r="AD25" s="14">
        <f ca="1"/>
      </c>
      <c r="AE25" s="14">
        <f ca="1"/>
      </c>
      <c r="AF25" s="14">
        <f ca="1"/>
      </c>
      <c r="AG25" s="14">
        <f ca="1"/>
      </c>
      <c r="AH25" s="14"/>
      <c r="AI25" s="14"/>
      <c r="AJ25" s="14"/>
      <c r="AK25" s="14"/>
      <c r="AL25" s="14"/>
      <c r="AM25" s="14"/>
      <c r="AN25" s="14"/>
      <c r="AO25" s="14"/>
      <c r="BF25">
        <f ca="1"/>
      </c>
      <c r="BG25">
        <f ca="1"/>
      </c>
      <c r="BI25">
        <f ca="1"/>
      </c>
      <c r="BJ25" s="11">
        <f ca="1"/>
      </c>
      <c r="BK25" s="11">
        <f ca="1"/>
      </c>
      <c r="BL25" s="11">
        <f ca="1"/>
      </c>
      <c r="BM25" s="11">
        <f ca="1"/>
      </c>
      <c r="BN25" s="11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J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F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B25">
        <f ca="1"/>
      </c>
      <c r="GC25">
        <f ca="1"/>
      </c>
      <c r="GD25">
        <f ca="1"/>
      </c>
      <c r="GE25">
        <f ca="1"/>
      </c>
      <c r="GF25">
        <f ca="1"/>
      </c>
      <c r="GG25">
        <f ca="1"/>
      </c>
      <c r="GH25">
        <f ca="1"/>
      </c>
      <c r="GI25">
        <f ca="1"/>
      </c>
      <c r="GJ25">
        <f ca="1"/>
      </c>
      <c r="GK25">
        <f ca="1"/>
      </c>
      <c r="GL25">
        <f ca="1"/>
      </c>
      <c r="GM25">
        <f ca="1"/>
      </c>
      <c r="GN25">
        <f ca="1"/>
      </c>
      <c r="GO25">
        <f ca="1"/>
      </c>
      <c r="GP25">
        <f ca="1"/>
      </c>
      <c r="GQ25">
        <f ca="1"/>
      </c>
      <c r="GR25">
        <f ca="1"/>
      </c>
      <c r="GS25">
        <f ca="1"/>
      </c>
      <c r="GT25">
        <f ca="1"/>
      </c>
      <c r="GU25">
        <f ca="1"/>
      </c>
      <c r="GV25">
        <f ca="1"/>
      </c>
      <c r="GW25">
        <f ca="1"/>
      </c>
      <c r="GX25">
        <f ca="1"/>
      </c>
      <c r="GY25">
        <f ca="1"/>
      </c>
      <c r="GZ25">
        <f ca="1"/>
      </c>
      <c r="HA25">
        <f ca="1"/>
      </c>
      <c r="HB25">
        <f ca="1"/>
      </c>
      <c r="HC25">
        <f ca="1"/>
      </c>
      <c r="HD25">
        <f ca="1"/>
      </c>
      <c r="HE25">
        <f ca="1"/>
      </c>
      <c r="HF25">
        <f ca="1"/>
      </c>
      <c r="HG25">
        <f ca="1"/>
      </c>
      <c r="HH25">
        <f ca="1"/>
      </c>
      <c r="HI25">
        <f ca="1"/>
      </c>
      <c r="HJ25">
        <f ca="1"/>
      </c>
      <c r="HK25">
        <f ca="1"/>
      </c>
      <c r="HL25">
        <f ca="1"/>
      </c>
      <c r="HM25">
        <f ca="1"/>
      </c>
      <c r="HN25">
        <f ca="1"/>
      </c>
      <c r="HO25">
        <f ca="1"/>
      </c>
      <c r="HP25">
        <f ca="1"/>
      </c>
      <c r="HQ25">
        <f ca="1"/>
      </c>
      <c r="HR25">
        <f ca="1"/>
      </c>
      <c r="HS25">
        <f ca="1"/>
      </c>
      <c r="HT25">
        <f ca="1"/>
      </c>
      <c r="HU25">
        <f ca="1"/>
      </c>
      <c r="HV25">
        <f ca="1"/>
      </c>
      <c r="HW25">
        <f ca="1"/>
      </c>
      <c r="HX25">
        <f ca="1"/>
      </c>
      <c r="HY25">
        <f ca="1"/>
      </c>
      <c r="HZ25">
        <f ca="1"/>
      </c>
      <c r="IA25">
        <f ca="1"/>
      </c>
      <c r="IB25">
        <f ca="1"/>
      </c>
      <c r="IC25">
        <f ca="1"/>
      </c>
      <c r="ID25">
        <f ca="1"/>
      </c>
      <c r="IE25">
        <f ca="1"/>
      </c>
      <c r="IF25">
        <f ca="1"/>
      </c>
      <c r="IG25">
        <f ca="1"/>
      </c>
      <c r="IH25">
        <f ca="1"/>
      </c>
      <c r="II25">
        <f ca="1"/>
      </c>
      <c r="IJ25">
        <f ca="1"/>
      </c>
      <c r="IK25">
        <f ca="1"/>
      </c>
      <c r="IL25">
        <f ca="1"/>
      </c>
      <c r="IM25">
        <f ca="1"/>
      </c>
      <c r="IN25">
        <f ca="1"/>
      </c>
      <c r="IO25">
        <f ca="1"/>
      </c>
      <c r="IP25">
        <f ca="1"/>
      </c>
      <c r="IQ25">
        <f ca="1"/>
      </c>
      <c r="IR25">
        <f ca="1"/>
      </c>
      <c r="IS25">
        <f ca="1"/>
      </c>
      <c r="IT25">
        <f ca="1"/>
      </c>
      <c r="IU25">
        <f ca="1"/>
      </c>
      <c r="IV25">
        <f ca="1"/>
      </c>
      <c r="IW25">
        <f ca="1"/>
      </c>
      <c r="IX25">
        <f ca="1"/>
      </c>
      <c r="IY25">
        <f ca="1"/>
      </c>
      <c r="IZ25">
        <f ca="1"/>
      </c>
      <c r="JA25">
        <f ca="1"/>
      </c>
      <c r="JB25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21</v>
      </c>
      <c r="B26" s="6" t="s">
        <v>42</v>
      </c>
      <c r="C26" t="s">
        <v>28</v>
      </c>
      <c r="D26" s="6" t="s">
        <v>42</v>
      </c>
      <c r="G26" s="11">
        <f ca="1"/>
      </c>
      <c r="H26" s="11">
        <f ca="1"/>
      </c>
      <c r="I26" s="11">
        <f ca="1"/>
      </c>
      <c r="J26" s="11">
        <f ca="1"/>
      </c>
      <c r="K26" s="11">
        <f ca="1"/>
      </c>
      <c r="L26" s="11">
        <f ca="1"/>
      </c>
      <c r="M26" s="11">
        <f ca="1"/>
      </c>
      <c r="N26" s="11">
        <f ca="1"/>
      </c>
      <c r="O26" s="11">
        <f ca="1"/>
      </c>
      <c r="P26" s="11">
        <f ca="1"/>
      </c>
      <c r="Q26" s="11">
        <f ca="1"/>
      </c>
      <c r="R26" s="11">
        <f ca="1"/>
      </c>
      <c r="S26" s="11"/>
      <c r="T26" s="11"/>
      <c r="U26" s="11"/>
      <c r="V26" s="14">
        <f ca="1"/>
      </c>
      <c r="W26" s="14">
        <f ca="1"/>
      </c>
      <c r="X26" s="14">
        <f ca="1"/>
      </c>
      <c r="Y26" s="14">
        <f ca="1"/>
      </c>
      <c r="Z26" s="14">
        <f ca="1"/>
      </c>
      <c r="AA26" s="14">
        <f ca="1"/>
      </c>
      <c r="AB26" s="14">
        <f ca="1"/>
      </c>
      <c r="AC26" s="14">
        <f ca="1"/>
      </c>
      <c r="AD26" s="14">
        <f ca="1"/>
      </c>
      <c r="AE26" s="14">
        <f ca="1"/>
      </c>
      <c r="AF26" s="14">
        <f ca="1"/>
      </c>
      <c r="AG26" s="14">
        <f ca="1"/>
      </c>
      <c r="AH26" s="14"/>
      <c r="AI26" s="14"/>
      <c r="AJ26" s="14"/>
      <c r="AK26" s="14"/>
      <c r="AL26" s="14"/>
      <c r="AM26" s="14"/>
      <c r="AN26" s="14"/>
      <c r="AO26" s="14"/>
      <c r="BF26">
        <f ca="1"/>
      </c>
      <c r="BG26">
        <f ca="1"/>
      </c>
      <c r="BI26">
        <f ca="1"/>
      </c>
      <c r="BJ26" s="11">
        <f ca="1"/>
      </c>
      <c r="BK26" s="11">
        <f ca="1"/>
      </c>
      <c r="BL26" s="11">
        <f ca="1"/>
      </c>
      <c r="BM26" s="11">
        <f ca="1"/>
      </c>
      <c r="BN26" s="11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J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F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B26">
        <f ca="1"/>
      </c>
      <c r="GC26">
        <f ca="1"/>
      </c>
      <c r="GD26">
        <f ca="1"/>
      </c>
      <c r="GE26">
        <f ca="1"/>
      </c>
      <c r="GF26">
        <f ca="1"/>
      </c>
      <c r="GG26">
        <f ca="1"/>
      </c>
      <c r="GH26">
        <f ca="1"/>
      </c>
      <c r="GI26">
        <f ca="1"/>
      </c>
      <c r="GJ26">
        <f ca="1"/>
      </c>
      <c r="GK26">
        <f ca="1"/>
      </c>
      <c r="GL26">
        <f ca="1"/>
      </c>
      <c r="GM26">
        <f ca="1"/>
      </c>
      <c r="GN26">
        <f ca="1"/>
      </c>
      <c r="GO26">
        <f ca="1"/>
      </c>
      <c r="GP26">
        <f ca="1"/>
      </c>
      <c r="GQ26">
        <f ca="1"/>
      </c>
      <c r="GR26">
        <f ca="1"/>
      </c>
      <c r="GS26">
        <f ca="1"/>
      </c>
      <c r="GT26">
        <f ca="1"/>
      </c>
      <c r="GU26">
        <f ca="1"/>
      </c>
      <c r="GV26">
        <f ca="1"/>
      </c>
      <c r="GW26">
        <f ca="1"/>
      </c>
      <c r="GX26">
        <f ca="1"/>
      </c>
      <c r="GY26">
        <f ca="1"/>
      </c>
      <c r="GZ26">
        <f ca="1"/>
      </c>
      <c r="HA26">
        <f ca="1"/>
      </c>
      <c r="HB26">
        <f ca="1"/>
      </c>
      <c r="HC26">
        <f ca="1"/>
      </c>
      <c r="HD26">
        <f ca="1"/>
      </c>
      <c r="HE26">
        <f ca="1"/>
      </c>
      <c r="HF26">
        <f ca="1"/>
      </c>
      <c r="HG26">
        <f ca="1"/>
      </c>
      <c r="HH26">
        <f ca="1"/>
      </c>
      <c r="HI26">
        <f ca="1"/>
      </c>
      <c r="HJ26">
        <f ca="1"/>
      </c>
      <c r="HK26">
        <f ca="1"/>
      </c>
      <c r="HL26">
        <f ca="1"/>
      </c>
      <c r="HM26">
        <f ca="1"/>
      </c>
      <c r="HN26">
        <f ca="1"/>
      </c>
      <c r="HO26">
        <f ca="1"/>
      </c>
      <c r="HP26">
        <f ca="1"/>
      </c>
      <c r="HQ26">
        <f ca="1"/>
      </c>
      <c r="HR26">
        <f ca="1"/>
      </c>
      <c r="HS26">
        <f ca="1"/>
      </c>
      <c r="HT26">
        <f ca="1"/>
      </c>
      <c r="HU26">
        <f ca="1"/>
      </c>
      <c r="HV26">
        <f ca="1"/>
      </c>
      <c r="HW26">
        <f ca="1"/>
      </c>
      <c r="HX26">
        <f ca="1"/>
      </c>
      <c r="HY26">
        <f ca="1"/>
      </c>
      <c r="HZ26">
        <f ca="1"/>
      </c>
      <c r="IA26">
        <f ca="1"/>
      </c>
      <c r="IB26">
        <f ca="1"/>
      </c>
      <c r="IC26">
        <f ca="1"/>
      </c>
      <c r="ID26">
        <f ca="1"/>
      </c>
      <c r="IE26">
        <f ca="1"/>
      </c>
      <c r="IF26">
        <f ca="1"/>
      </c>
      <c r="IG26">
        <f ca="1"/>
      </c>
      <c r="IH26">
        <f ca="1"/>
      </c>
      <c r="II26">
        <f ca="1"/>
      </c>
      <c r="IJ26">
        <f ca="1"/>
      </c>
      <c r="IK26">
        <f ca="1"/>
      </c>
      <c r="IL26">
        <f ca="1"/>
      </c>
      <c r="IM26">
        <f ca="1"/>
      </c>
      <c r="IN26">
        <f ca="1"/>
      </c>
      <c r="IO26">
        <f ca="1"/>
      </c>
      <c r="IP26">
        <f ca="1"/>
      </c>
      <c r="IQ26">
        <f ca="1"/>
      </c>
      <c r="IR26">
        <f ca="1"/>
      </c>
      <c r="IS26">
        <f ca="1"/>
      </c>
      <c r="IT26">
        <f ca="1"/>
      </c>
      <c r="IU26">
        <f ca="1"/>
      </c>
      <c r="IV26">
        <f ca="1"/>
      </c>
      <c r="IW26">
        <f ca="1"/>
      </c>
      <c r="IX26">
        <f ca="1"/>
      </c>
      <c r="IY26">
        <f ca="1"/>
      </c>
      <c r="IZ26">
        <f ca="1"/>
      </c>
      <c r="JA26">
        <f ca="1"/>
      </c>
      <c r="JB26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23</v>
      </c>
      <c r="B27" s="6" t="s">
        <v>42</v>
      </c>
      <c r="G27" s="11">
        <f ca="1"/>
      </c>
      <c r="H27" s="11">
        <f ca="1"/>
      </c>
      <c r="I27" s="11">
        <f ca="1"/>
      </c>
      <c r="J27" s="11">
        <f ca="1"/>
      </c>
      <c r="K27" s="11">
        <f ca="1"/>
      </c>
      <c r="L27" s="11">
        <f ca="1"/>
      </c>
      <c r="M27" s="11">
        <f ca="1"/>
      </c>
      <c r="N27" s="11">
        <f ca="1"/>
      </c>
      <c r="O27" s="11">
        <f ca="1"/>
      </c>
      <c r="P27" s="11">
        <f ca="1"/>
      </c>
      <c r="Q27" s="11">
        <f ca="1"/>
      </c>
      <c r="R27" s="11">
        <f ca="1"/>
      </c>
      <c r="S27" s="11"/>
      <c r="T27" s="11"/>
      <c r="U27" s="11"/>
      <c r="V27" s="14">
        <f ca="1"/>
      </c>
      <c r="W27" s="14">
        <f ca="1"/>
      </c>
      <c r="X27" s="14">
        <f ca="1"/>
      </c>
      <c r="Y27" s="14">
        <f ca="1"/>
      </c>
      <c r="Z27" s="14">
        <f ca="1"/>
      </c>
      <c r="AA27" s="14">
        <f ca="1"/>
      </c>
      <c r="AB27" s="14">
        <f ca="1"/>
      </c>
      <c r="AC27" s="14">
        <f ca="1"/>
      </c>
      <c r="AD27" s="14">
        <f ca="1"/>
      </c>
      <c r="AE27" s="14">
        <f ca="1"/>
      </c>
      <c r="AF27" s="14">
        <f ca="1"/>
      </c>
      <c r="AG27" s="14">
        <f ca="1"/>
      </c>
      <c r="AH27" s="14"/>
      <c r="AI27" s="14"/>
      <c r="AJ27" s="14"/>
      <c r="AK27" s="14"/>
      <c r="AL27" s="14"/>
      <c r="AM27" s="14"/>
      <c r="AN27" s="14"/>
      <c r="AO27" s="14"/>
      <c r="BF27">
        <f ca="1"/>
      </c>
      <c r="BG27">
        <f ca="1"/>
      </c>
      <c r="BI27">
        <f ca="1"/>
      </c>
      <c r="BJ27" s="11">
        <f ca="1"/>
      </c>
      <c r="BK27" s="11">
        <f ca="1"/>
      </c>
      <c r="BL27" s="11">
        <f ca="1"/>
      </c>
      <c r="BM27" s="11">
        <f ca="1"/>
      </c>
      <c r="BN27" s="11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J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F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B27">
        <f ca="1"/>
      </c>
      <c r="GC27">
        <f ca="1"/>
      </c>
      <c r="GD27">
        <f ca="1"/>
      </c>
      <c r="GE27">
        <f ca="1"/>
      </c>
      <c r="GF27">
        <f ca="1"/>
      </c>
      <c r="GG27">
        <f ca="1"/>
      </c>
      <c r="GH27">
        <f ca="1"/>
      </c>
      <c r="GI27">
        <f ca="1"/>
      </c>
      <c r="GJ27">
        <f ca="1"/>
      </c>
      <c r="GK27">
        <f ca="1"/>
      </c>
      <c r="GL27">
        <f ca="1"/>
      </c>
      <c r="GM27">
        <f ca="1"/>
      </c>
      <c r="GN27">
        <f ca="1"/>
      </c>
      <c r="GO27">
        <f ca="1"/>
      </c>
      <c r="GP27">
        <f ca="1"/>
      </c>
      <c r="GQ27">
        <f ca="1"/>
      </c>
      <c r="GR27">
        <f ca="1"/>
      </c>
      <c r="GS27">
        <f ca="1"/>
      </c>
      <c r="GT27">
        <f ca="1"/>
      </c>
      <c r="GU27">
        <f ca="1"/>
      </c>
      <c r="GV27">
        <f ca="1"/>
      </c>
      <c r="GW27">
        <f ca="1"/>
      </c>
      <c r="GX27">
        <f ca="1"/>
      </c>
      <c r="GY27">
        <f ca="1"/>
      </c>
      <c r="GZ27">
        <f ca="1"/>
      </c>
      <c r="HA27">
        <f ca="1"/>
      </c>
      <c r="HB27">
        <f ca="1"/>
      </c>
      <c r="HC27">
        <f ca="1"/>
      </c>
      <c r="HD27">
        <f ca="1"/>
      </c>
      <c r="HE27">
        <f ca="1"/>
      </c>
      <c r="HF27">
        <f ca="1"/>
      </c>
      <c r="HG27">
        <f ca="1"/>
      </c>
      <c r="HH27">
        <f ca="1"/>
      </c>
      <c r="HI27">
        <f ca="1"/>
      </c>
      <c r="HJ27">
        <f ca="1"/>
      </c>
      <c r="HK27">
        <f ca="1"/>
      </c>
      <c r="HL27">
        <f ca="1"/>
      </c>
      <c r="HM27">
        <f ca="1"/>
      </c>
      <c r="HN27">
        <f ca="1"/>
      </c>
      <c r="HO27">
        <f ca="1"/>
      </c>
      <c r="HP27">
        <f ca="1"/>
      </c>
      <c r="HQ27">
        <f ca="1"/>
      </c>
      <c r="HR27">
        <f ca="1"/>
      </c>
      <c r="HS27">
        <f ca="1"/>
      </c>
      <c r="HT27">
        <f ca="1"/>
      </c>
      <c r="HU27">
        <f ca="1"/>
      </c>
      <c r="HV27">
        <f ca="1"/>
      </c>
      <c r="HW27">
        <f ca="1"/>
      </c>
      <c r="HX27">
        <f ca="1"/>
      </c>
      <c r="HY27">
        <f ca="1"/>
      </c>
      <c r="HZ27">
        <f ca="1"/>
      </c>
      <c r="IA27">
        <f ca="1"/>
      </c>
      <c r="IB27">
        <f ca="1"/>
      </c>
      <c r="IC27">
        <f ca="1"/>
      </c>
      <c r="ID27">
        <f ca="1"/>
      </c>
      <c r="IE27">
        <f ca="1"/>
      </c>
      <c r="IF27">
        <f ca="1"/>
      </c>
      <c r="IG27">
        <f ca="1"/>
      </c>
      <c r="IH27">
        <f ca="1"/>
      </c>
      <c r="II27">
        <f ca="1"/>
      </c>
      <c r="IJ27">
        <f ca="1"/>
      </c>
      <c r="IK27">
        <f ca="1"/>
      </c>
      <c r="IL27">
        <f ca="1"/>
      </c>
      <c r="IM27">
        <f ca="1"/>
      </c>
      <c r="IN27">
        <f ca="1"/>
      </c>
      <c r="IO27">
        <f ca="1"/>
      </c>
      <c r="IP27">
        <f ca="1"/>
      </c>
      <c r="IQ27">
        <f ca="1"/>
      </c>
      <c r="IR27">
        <f ca="1"/>
      </c>
      <c r="IS27">
        <f ca="1"/>
      </c>
      <c r="IT27">
        <f ca="1"/>
      </c>
      <c r="IU27">
        <f ca="1"/>
      </c>
      <c r="IV27">
        <f ca="1"/>
      </c>
      <c r="IW27">
        <f ca="1"/>
      </c>
      <c r="IX27">
        <f ca="1"/>
      </c>
      <c r="IY27">
        <f ca="1"/>
      </c>
      <c r="IZ27">
        <f ca="1"/>
      </c>
      <c r="JA27">
        <f ca="1"/>
      </c>
      <c r="JB27">
        <f ca="1"/>
      </c>
      <c r="LA27">
        <f ca="1"/>
      </c>
      <c r="LB27">
        <f ca="1"/>
      </c>
      <c r="LC27">
        <f ca="1"/>
      </c>
    </row>
    <row r="28" spans="1:315" x14ac:dyDescent="0.55000000000000004">
      <c r="A28" t="s">
        <v>24</v>
      </c>
      <c r="B28" s="6" t="s">
        <v>42</v>
      </c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F28">
        <f ca="1"/>
      </c>
      <c r="BG28">
        <f ca="1"/>
      </c>
      <c r="BI28">
        <f ca="1"/>
      </c>
      <c r="BJ28" s="11">
        <f ca="1"/>
      </c>
      <c r="BK28" s="11">
        <f ca="1"/>
      </c>
      <c r="BL28" s="11">
        <f ca="1"/>
      </c>
      <c r="BM28" s="11">
        <f ca="1"/>
      </c>
      <c r="BN28" s="11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J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F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B28">
        <f ca="1"/>
      </c>
      <c r="GC28">
        <f ca="1"/>
      </c>
      <c r="GD28">
        <f ca="1"/>
      </c>
      <c r="GE28">
        <f ca="1"/>
      </c>
      <c r="GF28">
        <f ca="1"/>
      </c>
      <c r="GG28">
        <f ca="1"/>
      </c>
      <c r="GH28">
        <f ca="1"/>
      </c>
      <c r="GI28">
        <f ca="1"/>
      </c>
      <c r="GJ28">
        <f ca="1"/>
      </c>
      <c r="GK28">
        <f ca="1"/>
      </c>
      <c r="GL28">
        <f ca="1"/>
      </c>
      <c r="GM28">
        <f ca="1"/>
      </c>
      <c r="GN28">
        <f ca="1"/>
      </c>
      <c r="GO28">
        <f ca="1"/>
      </c>
      <c r="GP28">
        <f ca="1"/>
      </c>
      <c r="GQ28">
        <f ca="1"/>
      </c>
      <c r="GR28">
        <f ca="1"/>
      </c>
      <c r="GS28">
        <f ca="1"/>
      </c>
      <c r="GT28">
        <f ca="1"/>
      </c>
      <c r="GU28">
        <f ca="1"/>
      </c>
      <c r="GV28">
        <f ca="1"/>
      </c>
      <c r="GW28">
        <f ca="1"/>
      </c>
      <c r="GX28">
        <f ca="1"/>
      </c>
      <c r="GY28">
        <f ca="1"/>
      </c>
      <c r="GZ28">
        <f ca="1"/>
      </c>
      <c r="HA28">
        <f ca="1"/>
      </c>
      <c r="HB28">
        <f ca="1"/>
      </c>
      <c r="HC28">
        <f ca="1"/>
      </c>
      <c r="HD28">
        <f ca="1"/>
      </c>
      <c r="HE28">
        <f ca="1"/>
      </c>
      <c r="HF28">
        <f ca="1"/>
      </c>
      <c r="HG28">
        <f ca="1"/>
      </c>
      <c r="HH28">
        <f ca="1"/>
      </c>
      <c r="HI28">
        <f ca="1"/>
      </c>
      <c r="HJ28">
        <f ca="1"/>
      </c>
      <c r="HK28">
        <f ca="1"/>
      </c>
      <c r="HL28">
        <f ca="1"/>
      </c>
      <c r="HM28">
        <f ca="1"/>
      </c>
      <c r="HN28">
        <f ca="1"/>
      </c>
      <c r="HO28">
        <f ca="1"/>
      </c>
      <c r="HP28">
        <f ca="1"/>
      </c>
      <c r="HQ28">
        <f ca="1"/>
      </c>
      <c r="HR28">
        <f ca="1"/>
      </c>
      <c r="HS28">
        <f ca="1"/>
      </c>
      <c r="HT28">
        <f ca="1"/>
      </c>
      <c r="HU28">
        <f ca="1"/>
      </c>
      <c r="HV28">
        <f ca="1"/>
      </c>
      <c r="HW28">
        <f ca="1"/>
      </c>
      <c r="HX28">
        <f ca="1"/>
      </c>
      <c r="HY28">
        <f ca="1"/>
      </c>
      <c r="HZ28">
        <f ca="1"/>
      </c>
      <c r="IA28">
        <f ca="1"/>
      </c>
      <c r="IB28">
        <f ca="1"/>
      </c>
      <c r="IC28">
        <f ca="1"/>
      </c>
      <c r="ID28">
        <f ca="1"/>
      </c>
      <c r="IE28">
        <f ca="1"/>
      </c>
      <c r="IF28">
        <f ca="1"/>
      </c>
      <c r="IG28">
        <f ca="1"/>
      </c>
      <c r="IH28">
        <f ca="1"/>
      </c>
      <c r="II28">
        <f ca="1"/>
      </c>
      <c r="IJ28">
        <f ca="1"/>
      </c>
      <c r="IK28">
        <f ca="1"/>
      </c>
      <c r="IL28">
        <f ca="1"/>
      </c>
      <c r="IM28">
        <f ca="1"/>
      </c>
      <c r="IN28">
        <f ca="1"/>
      </c>
      <c r="IO28">
        <f ca="1"/>
      </c>
      <c r="IP28">
        <f ca="1"/>
      </c>
      <c r="IQ28">
        <f ca="1"/>
      </c>
      <c r="IR28">
        <f ca="1"/>
      </c>
      <c r="IS28">
        <f ca="1"/>
      </c>
      <c r="IT28">
        <f ca="1"/>
      </c>
      <c r="IU28">
        <f ca="1"/>
      </c>
      <c r="IV28">
        <f ca="1"/>
      </c>
      <c r="IW28">
        <f ca="1"/>
      </c>
      <c r="IX28">
        <f ca="1"/>
      </c>
      <c r="IY28">
        <f ca="1"/>
      </c>
      <c r="IZ28">
        <f ca="1"/>
      </c>
      <c r="JA28">
        <f ca="1"/>
      </c>
      <c r="JB28">
        <f ca="1"/>
      </c>
      <c r="LA28">
        <f ca="1"/>
      </c>
      <c r="LB28">
        <f ca="1"/>
      </c>
      <c r="LC28">
        <f ca="1"/>
      </c>
    </row>
    <row r="29" spans="1:315" x14ac:dyDescent="0.55000000000000004">
      <c r="A29" t="s">
        <v>27</v>
      </c>
      <c r="B29" s="6" t="s">
        <v>42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F29">
        <f ca="1"/>
      </c>
      <c r="BG29">
        <f ca="1"/>
      </c>
      <c r="BI29">
        <f ca="1"/>
      </c>
      <c r="BJ29" s="11">
        <f ca="1"/>
      </c>
      <c r="BK29" s="11">
        <f ca="1"/>
      </c>
      <c r="BL29" s="11">
        <f ca="1"/>
      </c>
      <c r="BM29" s="11">
        <f ca="1"/>
      </c>
      <c r="BN29" s="11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J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F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B29">
        <f ca="1"/>
      </c>
      <c r="GC29">
        <f ca="1"/>
      </c>
      <c r="GD29">
        <f ca="1"/>
      </c>
      <c r="GE29">
        <f ca="1"/>
      </c>
      <c r="GF29">
        <f ca="1"/>
      </c>
      <c r="GG29">
        <f ca="1"/>
      </c>
      <c r="GH29">
        <f ca="1"/>
      </c>
      <c r="GI29">
        <f ca="1"/>
      </c>
      <c r="GJ29">
        <f ca="1"/>
      </c>
      <c r="GK29">
        <f ca="1"/>
      </c>
      <c r="GL29">
        <f ca="1"/>
      </c>
      <c r="GM29">
        <f ca="1"/>
      </c>
      <c r="GN29">
        <f ca="1"/>
      </c>
      <c r="GO29">
        <f ca="1"/>
      </c>
      <c r="GP29">
        <f ca="1"/>
      </c>
      <c r="GQ29">
        <f ca="1"/>
      </c>
      <c r="GR29">
        <f ca="1"/>
      </c>
      <c r="GS29">
        <f ca="1"/>
      </c>
      <c r="GT29">
        <f ca="1"/>
      </c>
      <c r="GU29">
        <f ca="1"/>
      </c>
      <c r="GV29">
        <f ca="1"/>
      </c>
      <c r="GW29">
        <f ca="1"/>
      </c>
      <c r="GX29">
        <f ca="1"/>
      </c>
      <c r="GY29">
        <f ca="1"/>
      </c>
      <c r="GZ29">
        <f ca="1"/>
      </c>
      <c r="HA29">
        <f ca="1"/>
      </c>
      <c r="HB29">
        <f ca="1"/>
      </c>
      <c r="HC29">
        <f ca="1"/>
      </c>
      <c r="HD29">
        <f ca="1"/>
      </c>
      <c r="HE29">
        <f ca="1"/>
      </c>
      <c r="HF29">
        <f ca="1"/>
      </c>
      <c r="HG29">
        <f ca="1"/>
      </c>
      <c r="HH29">
        <f ca="1"/>
      </c>
      <c r="HI29">
        <f ca="1"/>
      </c>
      <c r="HJ29">
        <f ca="1"/>
      </c>
      <c r="HK29">
        <f ca="1"/>
      </c>
      <c r="HL29">
        <f ca="1"/>
      </c>
      <c r="HM29">
        <f ca="1"/>
      </c>
      <c r="HN29">
        <f ca="1"/>
      </c>
      <c r="HO29">
        <f ca="1"/>
      </c>
      <c r="HP29">
        <f ca="1"/>
      </c>
      <c r="HQ29">
        <f ca="1"/>
      </c>
      <c r="HR29">
        <f ca="1"/>
      </c>
      <c r="HS29">
        <f ca="1"/>
      </c>
      <c r="HT29">
        <f ca="1"/>
      </c>
      <c r="HU29">
        <f ca="1"/>
      </c>
      <c r="HV29">
        <f ca="1"/>
      </c>
      <c r="HW29">
        <f ca="1"/>
      </c>
      <c r="HX29">
        <f ca="1"/>
      </c>
      <c r="HY29">
        <f ca="1"/>
      </c>
      <c r="HZ29">
        <f ca="1"/>
      </c>
      <c r="IA29">
        <f ca="1"/>
      </c>
      <c r="IB29">
        <f ca="1"/>
      </c>
      <c r="IC29">
        <f ca="1"/>
      </c>
      <c r="ID29">
        <f ca="1"/>
      </c>
      <c r="IE29">
        <f ca="1"/>
      </c>
      <c r="IF29">
        <f ca="1"/>
      </c>
      <c r="IG29">
        <f ca="1"/>
      </c>
      <c r="IH29">
        <f ca="1"/>
      </c>
      <c r="II29">
        <f ca="1"/>
      </c>
      <c r="IJ29">
        <f ca="1"/>
      </c>
      <c r="IK29">
        <f ca="1"/>
      </c>
      <c r="IL29">
        <f ca="1"/>
      </c>
      <c r="IM29">
        <f ca="1"/>
      </c>
      <c r="IN29">
        <f ca="1"/>
      </c>
      <c r="IO29">
        <f ca="1"/>
      </c>
      <c r="IP29">
        <f ca="1"/>
      </c>
      <c r="IQ29">
        <f ca="1"/>
      </c>
      <c r="IR29">
        <f ca="1"/>
      </c>
      <c r="IS29">
        <f ca="1"/>
      </c>
      <c r="IT29">
        <f ca="1"/>
      </c>
      <c r="IU29">
        <f ca="1"/>
      </c>
      <c r="IV29">
        <f ca="1"/>
      </c>
      <c r="IW29">
        <f ca="1"/>
      </c>
      <c r="IX29">
        <f ca="1"/>
      </c>
      <c r="IY29">
        <f ca="1"/>
      </c>
      <c r="IZ29">
        <f ca="1"/>
      </c>
      <c r="JA29">
        <f ca="1"/>
      </c>
      <c r="JB29">
        <f ca="1"/>
      </c>
      <c r="LA29">
        <f ca="1"/>
      </c>
      <c r="LB29">
        <f ca="1"/>
      </c>
      <c r="LC29">
        <f ca="1"/>
      </c>
    </row>
    <row r="30" spans="1:315" x14ac:dyDescent="0.55000000000000004">
      <c r="A30" t="s">
        <v>28</v>
      </c>
      <c r="B30" s="6" t="s">
        <v>42</v>
      </c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F30">
        <f ca="1"/>
      </c>
      <c r="BG30">
        <f ca="1"/>
      </c>
      <c r="BI30">
        <f ca="1"/>
      </c>
      <c r="BJ30" s="11">
        <f ca="1"/>
      </c>
      <c r="BK30" s="11">
        <f ca="1"/>
      </c>
      <c r="BL30" s="11">
        <f ca="1"/>
      </c>
      <c r="BM30" s="11">
        <f ca="1"/>
      </c>
      <c r="BN30" s="11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J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F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B30">
        <f ca="1"/>
      </c>
      <c r="GC30">
        <f ca="1"/>
      </c>
      <c r="GD30">
        <f ca="1"/>
      </c>
      <c r="GE30">
        <f ca="1"/>
      </c>
      <c r="GF30">
        <f ca="1"/>
      </c>
      <c r="GG30">
        <f ca="1"/>
      </c>
      <c r="GH30">
        <f ca="1"/>
      </c>
      <c r="GI30">
        <f ca="1"/>
      </c>
      <c r="GJ30">
        <f ca="1"/>
      </c>
      <c r="GK30">
        <f ca="1"/>
      </c>
      <c r="GL30">
        <f ca="1"/>
      </c>
      <c r="GM30">
        <f ca="1"/>
      </c>
      <c r="GN30">
        <f ca="1"/>
      </c>
      <c r="GO30">
        <f ca="1"/>
      </c>
      <c r="GP30">
        <f ca="1"/>
      </c>
      <c r="GQ30">
        <f ca="1"/>
      </c>
      <c r="GR30">
        <f ca="1"/>
      </c>
      <c r="GS30">
        <f ca="1"/>
      </c>
      <c r="GT30">
        <f ca="1"/>
      </c>
      <c r="GU30">
        <f ca="1"/>
      </c>
      <c r="GV30">
        <f ca="1"/>
      </c>
      <c r="GW30">
        <f ca="1"/>
      </c>
      <c r="GX30">
        <f ca="1"/>
      </c>
      <c r="GY30">
        <f ca="1"/>
      </c>
      <c r="GZ30">
        <f ca="1"/>
      </c>
      <c r="HA30">
        <f ca="1"/>
      </c>
      <c r="HB30">
        <f ca="1"/>
      </c>
      <c r="HC30">
        <f ca="1"/>
      </c>
      <c r="HD30">
        <f ca="1"/>
      </c>
      <c r="HE30">
        <f ca="1"/>
      </c>
      <c r="HF30">
        <f ca="1"/>
      </c>
      <c r="HG30">
        <f ca="1"/>
      </c>
      <c r="HH30">
        <f ca="1"/>
      </c>
      <c r="HI30">
        <f ca="1"/>
      </c>
      <c r="HJ30">
        <f ca="1"/>
      </c>
      <c r="HK30">
        <f ca="1"/>
      </c>
      <c r="HL30">
        <f ca="1"/>
      </c>
      <c r="HM30">
        <f ca="1"/>
      </c>
      <c r="HN30">
        <f ca="1"/>
      </c>
      <c r="HO30">
        <f ca="1"/>
      </c>
      <c r="HP30">
        <f ca="1"/>
      </c>
      <c r="HQ30">
        <f ca="1"/>
      </c>
      <c r="HR30">
        <f ca="1"/>
      </c>
      <c r="HS30">
        <f ca="1"/>
      </c>
      <c r="HT30">
        <f ca="1"/>
      </c>
      <c r="HU30">
        <f ca="1"/>
      </c>
      <c r="HV30">
        <f ca="1"/>
      </c>
      <c r="HW30">
        <f ca="1"/>
      </c>
      <c r="HX30">
        <f ca="1"/>
      </c>
      <c r="HY30">
        <f ca="1"/>
      </c>
      <c r="HZ30">
        <f ca="1"/>
      </c>
      <c r="IA30">
        <f ca="1"/>
      </c>
      <c r="IB30">
        <f ca="1"/>
      </c>
      <c r="IC30">
        <f ca="1"/>
      </c>
      <c r="ID30">
        <f ca="1"/>
      </c>
      <c r="IE30">
        <f ca="1"/>
      </c>
      <c r="IF30">
        <f ca="1"/>
      </c>
      <c r="IG30">
        <f ca="1"/>
      </c>
      <c r="IH30">
        <f ca="1"/>
      </c>
      <c r="II30">
        <f ca="1"/>
      </c>
      <c r="IJ30">
        <f ca="1"/>
      </c>
      <c r="IK30">
        <f ca="1"/>
      </c>
      <c r="IL30">
        <f ca="1"/>
      </c>
      <c r="IM30">
        <f ca="1"/>
      </c>
      <c r="IN30">
        <f ca="1"/>
      </c>
      <c r="IO30">
        <f ca="1"/>
      </c>
      <c r="IP30">
        <f ca="1"/>
      </c>
      <c r="IQ30">
        <f ca="1"/>
      </c>
      <c r="IR30">
        <f ca="1"/>
      </c>
      <c r="IS30">
        <f ca="1"/>
      </c>
      <c r="IT30">
        <f ca="1"/>
      </c>
      <c r="IU30">
        <f ca="1"/>
      </c>
      <c r="IV30">
        <f ca="1"/>
      </c>
      <c r="IW30">
        <f ca="1"/>
      </c>
      <c r="IX30">
        <f ca="1"/>
      </c>
      <c r="IY30">
        <f ca="1"/>
      </c>
      <c r="IZ30">
        <f ca="1"/>
      </c>
      <c r="JA30">
        <f ca="1"/>
      </c>
      <c r="JB30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F31">
        <f ca="1"/>
      </c>
      <c r="BG31">
        <f ca="1"/>
      </c>
      <c r="BI31">
        <f ca="1"/>
      </c>
      <c r="BJ31" s="11">
        <f ca="1"/>
      </c>
      <c r="BK31" s="11">
        <f ca="1"/>
      </c>
      <c r="BL31" s="11">
        <f ca="1"/>
      </c>
      <c r="BM31" s="11">
        <f ca="1"/>
      </c>
      <c r="BN31" s="1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J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F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B31">
        <f ca="1"/>
      </c>
      <c r="GC31">
        <f ca="1"/>
      </c>
      <c r="GD31">
        <f ca="1"/>
      </c>
      <c r="GE31">
        <f ca="1"/>
      </c>
      <c r="GF31">
        <f ca="1"/>
      </c>
      <c r="GG31">
        <f ca="1"/>
      </c>
      <c r="GH31">
        <f ca="1"/>
      </c>
      <c r="GI31">
        <f ca="1"/>
      </c>
      <c r="GJ31">
        <f ca="1"/>
      </c>
      <c r="GK31">
        <f ca="1"/>
      </c>
      <c r="GL31">
        <f ca="1"/>
      </c>
      <c r="GM31">
        <f ca="1"/>
      </c>
      <c r="GN31">
        <f ca="1"/>
      </c>
      <c r="GO31">
        <f ca="1"/>
      </c>
      <c r="GP31">
        <f ca="1"/>
      </c>
      <c r="GQ31">
        <f ca="1"/>
      </c>
      <c r="GR31">
        <f ca="1"/>
      </c>
      <c r="GS31">
        <f ca="1"/>
      </c>
      <c r="GT31">
        <f ca="1"/>
      </c>
      <c r="GU31">
        <f ca="1"/>
      </c>
      <c r="GV31">
        <f ca="1"/>
      </c>
      <c r="GW31">
        <f ca="1"/>
      </c>
      <c r="GX31">
        <f ca="1"/>
      </c>
      <c r="GY31">
        <f ca="1"/>
      </c>
      <c r="GZ31">
        <f ca="1"/>
      </c>
      <c r="HA31">
        <f ca="1"/>
      </c>
      <c r="HB31">
        <f ca="1"/>
      </c>
      <c r="HC31">
        <f ca="1"/>
      </c>
      <c r="HD31">
        <f ca="1"/>
      </c>
      <c r="HE31">
        <f ca="1"/>
      </c>
      <c r="HF31">
        <f ca="1"/>
      </c>
      <c r="HG31">
        <f ca="1"/>
      </c>
      <c r="HH31">
        <f ca="1"/>
      </c>
      <c r="HI31">
        <f ca="1"/>
      </c>
      <c r="HJ31">
        <f ca="1"/>
      </c>
      <c r="HK31">
        <f ca="1"/>
      </c>
      <c r="HL31">
        <f ca="1"/>
      </c>
      <c r="HM31">
        <f ca="1"/>
      </c>
      <c r="HN31">
        <f ca="1"/>
      </c>
      <c r="HO31">
        <f ca="1"/>
      </c>
      <c r="HP31">
        <f ca="1"/>
      </c>
      <c r="HQ31">
        <f ca="1"/>
      </c>
      <c r="HR31">
        <f ca="1"/>
      </c>
      <c r="HS31">
        <f ca="1"/>
      </c>
      <c r="HT31">
        <f ca="1"/>
      </c>
      <c r="HU31">
        <f ca="1"/>
      </c>
      <c r="HV31">
        <f ca="1"/>
      </c>
      <c r="HW31">
        <f ca="1"/>
      </c>
      <c r="HX31">
        <f ca="1"/>
      </c>
      <c r="HY31">
        <f ca="1"/>
      </c>
      <c r="HZ31">
        <f ca="1"/>
      </c>
      <c r="IA31">
        <f ca="1"/>
      </c>
      <c r="IB31">
        <f ca="1"/>
      </c>
      <c r="IC31">
        <f ca="1"/>
      </c>
      <c r="ID31">
        <f ca="1"/>
      </c>
      <c r="IE31">
        <f ca="1"/>
      </c>
      <c r="IF31">
        <f ca="1"/>
      </c>
      <c r="IG31">
        <f ca="1"/>
      </c>
      <c r="IH31">
        <f ca="1"/>
      </c>
      <c r="II31">
        <f ca="1"/>
      </c>
      <c r="IJ31">
        <f ca="1"/>
      </c>
      <c r="IK31">
        <f ca="1"/>
      </c>
      <c r="IL31">
        <f ca="1"/>
      </c>
      <c r="IM31">
        <f ca="1"/>
      </c>
      <c r="IN31">
        <f ca="1"/>
      </c>
      <c r="IO31">
        <f ca="1"/>
      </c>
      <c r="IP31">
        <f ca="1"/>
      </c>
      <c r="IQ31">
        <f ca="1"/>
      </c>
      <c r="IR31">
        <f ca="1"/>
      </c>
      <c r="IS31">
        <f ca="1"/>
      </c>
      <c r="IT31">
        <f ca="1"/>
      </c>
      <c r="IU31">
        <f ca="1"/>
      </c>
      <c r="IV31">
        <f ca="1"/>
      </c>
      <c r="IW31">
        <f ca="1"/>
      </c>
      <c r="IX31">
        <f ca="1"/>
      </c>
      <c r="IY31">
        <f ca="1"/>
      </c>
      <c r="IZ31">
        <f ca="1"/>
      </c>
      <c r="JA31">
        <f ca="1"/>
      </c>
      <c r="JB31">
        <f ca="1"/>
      </c>
      <c r="LA31">
        <f ca="1"/>
      </c>
      <c r="LB31">
        <f ca="1"/>
      </c>
      <c r="LC31">
        <f ca="1"/>
      </c>
    </row>
    <row r="32" spans="1:315" x14ac:dyDescent="0.55000000000000004">
      <c r="BF32">
        <f ca="1"/>
      </c>
      <c r="BG32">
        <f ca="1"/>
      </c>
      <c r="BI32">
        <f ca="1"/>
      </c>
      <c r="BJ32" s="11">
        <f ca="1"/>
      </c>
      <c r="BK32" s="11">
        <f ca="1"/>
      </c>
      <c r="BL32" s="11">
        <f ca="1"/>
      </c>
      <c r="BM32" s="11">
        <f ca="1"/>
      </c>
      <c r="BN32" s="11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J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F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B32">
        <f ca="1"/>
      </c>
      <c r="GC32">
        <f ca="1"/>
      </c>
      <c r="GD32">
        <f ca="1"/>
      </c>
      <c r="GE32">
        <f ca="1"/>
      </c>
      <c r="GF32">
        <f ca="1"/>
      </c>
      <c r="GG32">
        <f ca="1"/>
      </c>
      <c r="GH32">
        <f ca="1"/>
      </c>
      <c r="GI32">
        <f ca="1"/>
      </c>
      <c r="GJ32">
        <f ca="1"/>
      </c>
      <c r="GK32">
        <f ca="1"/>
      </c>
      <c r="GL32">
        <f ca="1"/>
      </c>
      <c r="GM32">
        <f ca="1"/>
      </c>
      <c r="GN32">
        <f ca="1"/>
      </c>
      <c r="GO32">
        <f ca="1"/>
      </c>
      <c r="GP32">
        <f ca="1"/>
      </c>
      <c r="GQ32">
        <f ca="1"/>
      </c>
      <c r="GR32">
        <f ca="1"/>
      </c>
      <c r="GS32">
        <f ca="1"/>
      </c>
      <c r="GT32">
        <f ca="1"/>
      </c>
      <c r="GU32">
        <f ca="1"/>
      </c>
      <c r="GV32">
        <f ca="1"/>
      </c>
      <c r="GW32">
        <f ca="1"/>
      </c>
      <c r="GX32">
        <f ca="1"/>
      </c>
      <c r="GY32">
        <f ca="1"/>
      </c>
      <c r="GZ32">
        <f ca="1"/>
      </c>
      <c r="HA32">
        <f ca="1"/>
      </c>
      <c r="HB32">
        <f ca="1"/>
      </c>
      <c r="HC32">
        <f ca="1"/>
      </c>
      <c r="HD32">
        <f ca="1"/>
      </c>
      <c r="HE32">
        <f ca="1"/>
      </c>
      <c r="HF32">
        <f ca="1"/>
      </c>
      <c r="HG32">
        <f ca="1"/>
      </c>
      <c r="HH32">
        <f ca="1"/>
      </c>
      <c r="HI32">
        <f ca="1"/>
      </c>
      <c r="HJ32">
        <f ca="1"/>
      </c>
      <c r="HK32">
        <f ca="1"/>
      </c>
      <c r="HL32">
        <f ca="1"/>
      </c>
      <c r="HM32">
        <f ca="1"/>
      </c>
      <c r="HN32">
        <f ca="1"/>
      </c>
      <c r="HO32">
        <f ca="1"/>
      </c>
      <c r="HP32">
        <f ca="1"/>
      </c>
      <c r="HQ32">
        <f ca="1"/>
      </c>
      <c r="HR32">
        <f ca="1"/>
      </c>
      <c r="HS32">
        <f ca="1"/>
      </c>
      <c r="HT32">
        <f ca="1"/>
      </c>
      <c r="HU32">
        <f ca="1"/>
      </c>
      <c r="HV32">
        <f ca="1"/>
      </c>
      <c r="HW32">
        <f ca="1"/>
      </c>
      <c r="HX32">
        <f ca="1"/>
      </c>
      <c r="HY32">
        <f ca="1"/>
      </c>
      <c r="HZ32">
        <f ca="1"/>
      </c>
      <c r="IA32">
        <f ca="1"/>
      </c>
      <c r="IB32">
        <f ca="1"/>
      </c>
      <c r="IC32">
        <f ca="1"/>
      </c>
      <c r="ID32">
        <f ca="1"/>
      </c>
      <c r="IE32">
        <f ca="1"/>
      </c>
      <c r="IF32">
        <f ca="1"/>
      </c>
      <c r="IG32">
        <f ca="1"/>
      </c>
      <c r="IH32">
        <f ca="1"/>
      </c>
      <c r="II32">
        <f ca="1"/>
      </c>
      <c r="IJ32">
        <f ca="1"/>
      </c>
      <c r="IK32">
        <f ca="1"/>
      </c>
      <c r="IL32">
        <f ca="1"/>
      </c>
      <c r="IM32">
        <f ca="1"/>
      </c>
      <c r="IN32">
        <f ca="1"/>
      </c>
      <c r="IO32">
        <f ca="1"/>
      </c>
      <c r="IP32">
        <f ca="1"/>
      </c>
      <c r="IQ32">
        <f ca="1"/>
      </c>
      <c r="IR32">
        <f ca="1"/>
      </c>
      <c r="IS32">
        <f ca="1"/>
      </c>
      <c r="IT32">
        <f ca="1"/>
      </c>
      <c r="IU32">
        <f ca="1"/>
      </c>
      <c r="IV32">
        <f ca="1"/>
      </c>
      <c r="IW32">
        <f ca="1"/>
      </c>
      <c r="IX32">
        <f ca="1"/>
      </c>
      <c r="IY32">
        <f ca="1"/>
      </c>
      <c r="IZ32">
        <f ca="1"/>
      </c>
      <c r="JA32">
        <f ca="1"/>
      </c>
      <c r="JB32">
        <f ca="1"/>
      </c>
      <c r="LA32">
        <f ca="1"/>
      </c>
      <c r="LB32">
        <f ca="1"/>
      </c>
      <c r="LC32">
        <f ca="1"/>
      </c>
    </row>
    <row r="33" spans="6:315" x14ac:dyDescent="0.55000000000000004">
      <c r="BF33">
        <f ca="1"/>
      </c>
      <c r="BG33">
        <f ca="1"/>
      </c>
      <c r="BI33">
        <f ca="1"/>
      </c>
      <c r="BJ33" s="11">
        <f ca="1"/>
      </c>
      <c r="BK33" s="11">
        <f ca="1"/>
      </c>
      <c r="BL33" s="11">
        <f ca="1"/>
      </c>
      <c r="BM33" s="11">
        <f ca="1"/>
      </c>
      <c r="BN33" s="11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J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F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B33">
        <f ca="1"/>
      </c>
      <c r="GC33">
        <f ca="1"/>
      </c>
      <c r="GD33">
        <f ca="1"/>
      </c>
      <c r="GE33">
        <f ca="1"/>
      </c>
      <c r="GF33">
        <f ca="1"/>
      </c>
      <c r="GG33">
        <f ca="1"/>
      </c>
      <c r="GH33">
        <f ca="1"/>
      </c>
      <c r="GI33">
        <f ca="1"/>
      </c>
      <c r="GJ33">
        <f ca="1"/>
      </c>
      <c r="GK33">
        <f ca="1"/>
      </c>
      <c r="GL33">
        <f ca="1"/>
      </c>
      <c r="GM33">
        <f ca="1"/>
      </c>
      <c r="GN33">
        <f ca="1"/>
      </c>
      <c r="GO33">
        <f ca="1"/>
      </c>
      <c r="GP33">
        <f ca="1"/>
      </c>
      <c r="GQ33">
        <f ca="1"/>
      </c>
      <c r="GR33">
        <f ca="1"/>
      </c>
      <c r="GS33">
        <f ca="1"/>
      </c>
      <c r="GT33">
        <f ca="1"/>
      </c>
      <c r="GU33">
        <f ca="1"/>
      </c>
      <c r="GV33">
        <f ca="1"/>
      </c>
      <c r="GW33">
        <f ca="1"/>
      </c>
      <c r="GX33">
        <f ca="1"/>
      </c>
      <c r="GY33">
        <f ca="1"/>
      </c>
      <c r="GZ33">
        <f ca="1"/>
      </c>
      <c r="HA33">
        <f ca="1"/>
      </c>
      <c r="HB33">
        <f ca="1"/>
      </c>
      <c r="HC33">
        <f ca="1"/>
      </c>
      <c r="HD33">
        <f ca="1"/>
      </c>
      <c r="HE33">
        <f ca="1"/>
      </c>
      <c r="HF33">
        <f ca="1"/>
      </c>
      <c r="HG33">
        <f ca="1"/>
      </c>
      <c r="HH33">
        <f ca="1"/>
      </c>
      <c r="HI33">
        <f ca="1"/>
      </c>
      <c r="HJ33">
        <f ca="1"/>
      </c>
      <c r="HK33">
        <f ca="1"/>
      </c>
      <c r="HL33">
        <f ca="1"/>
      </c>
      <c r="HM33">
        <f ca="1"/>
      </c>
      <c r="HN33">
        <f ca="1"/>
      </c>
      <c r="HO33">
        <f ca="1"/>
      </c>
      <c r="HP33">
        <f ca="1"/>
      </c>
      <c r="HQ33">
        <f ca="1"/>
      </c>
      <c r="HR33">
        <f ca="1"/>
      </c>
      <c r="HS33">
        <f ca="1"/>
      </c>
      <c r="HT33">
        <f ca="1"/>
      </c>
      <c r="HU33">
        <f ca="1"/>
      </c>
      <c r="HV33">
        <f ca="1"/>
      </c>
      <c r="HW33">
        <f ca="1"/>
      </c>
      <c r="HX33">
        <f ca="1"/>
      </c>
      <c r="HY33">
        <f ca="1"/>
      </c>
      <c r="HZ33">
        <f ca="1"/>
      </c>
      <c r="IA33">
        <f ca="1"/>
      </c>
      <c r="IB33">
        <f ca="1"/>
      </c>
      <c r="IC33">
        <f ca="1"/>
      </c>
      <c r="ID33">
        <f ca="1"/>
      </c>
      <c r="IE33">
        <f ca="1"/>
      </c>
      <c r="IF33">
        <f ca="1"/>
      </c>
      <c r="IG33">
        <f ca="1"/>
      </c>
      <c r="IH33">
        <f ca="1"/>
      </c>
      <c r="II33">
        <f ca="1"/>
      </c>
      <c r="IJ33">
        <f ca="1"/>
      </c>
      <c r="IK33">
        <f ca="1"/>
      </c>
      <c r="IL33">
        <f ca="1"/>
      </c>
      <c r="IM33">
        <f ca="1"/>
      </c>
      <c r="IN33">
        <f ca="1"/>
      </c>
      <c r="IO33">
        <f ca="1"/>
      </c>
      <c r="IP33">
        <f ca="1"/>
      </c>
      <c r="IQ33">
        <f ca="1"/>
      </c>
      <c r="IR33">
        <f ca="1"/>
      </c>
      <c r="IS33">
        <f ca="1"/>
      </c>
      <c r="IT33">
        <f ca="1"/>
      </c>
      <c r="IU33">
        <f ca="1"/>
      </c>
      <c r="IV33">
        <f ca="1"/>
      </c>
      <c r="IW33">
        <f ca="1"/>
      </c>
      <c r="IX33">
        <f ca="1"/>
      </c>
      <c r="IY33">
        <f ca="1"/>
      </c>
      <c r="IZ33">
        <f ca="1"/>
      </c>
      <c r="JA33">
        <f ca="1"/>
      </c>
      <c r="JB33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248</v>
      </c>
      <c r="U34" s="4" t="s">
        <v>249</v>
      </c>
      <c r="BF34">
        <f ca="1"/>
      </c>
      <c r="BG34">
        <f ca="1"/>
      </c>
      <c r="BI34">
        <f ca="1"/>
      </c>
      <c r="BJ34" s="11">
        <f ca="1"/>
      </c>
      <c r="BK34" s="11">
        <f ca="1"/>
      </c>
      <c r="BL34" s="11">
        <f ca="1"/>
      </c>
      <c r="BM34" s="11">
        <f ca="1"/>
      </c>
      <c r="BN34" s="11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J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F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B34">
        <f ca="1"/>
      </c>
      <c r="GC34">
        <f ca="1"/>
      </c>
      <c r="GD34">
        <f ca="1"/>
      </c>
      <c r="GE34">
        <f ca="1"/>
      </c>
      <c r="GF34">
        <f ca="1"/>
      </c>
      <c r="GG34">
        <f ca="1"/>
      </c>
      <c r="GH34">
        <f ca="1"/>
      </c>
      <c r="GI34">
        <f ca="1"/>
      </c>
      <c r="GJ34">
        <f ca="1"/>
      </c>
      <c r="GK34">
        <f ca="1"/>
      </c>
      <c r="GL34">
        <f ca="1"/>
      </c>
      <c r="GM34">
        <f ca="1"/>
      </c>
      <c r="GN34">
        <f ca="1"/>
      </c>
      <c r="GO34">
        <f ca="1"/>
      </c>
      <c r="GP34">
        <f ca="1"/>
      </c>
      <c r="GQ34">
        <f ca="1"/>
      </c>
      <c r="GR34">
        <f ca="1"/>
      </c>
      <c r="GS34">
        <f ca="1"/>
      </c>
      <c r="GT34">
        <f ca="1"/>
      </c>
      <c r="GU34">
        <f ca="1"/>
      </c>
      <c r="GV34">
        <f ca="1"/>
      </c>
      <c r="GW34">
        <f ca="1"/>
      </c>
      <c r="GX34">
        <f ca="1"/>
      </c>
      <c r="GY34">
        <f ca="1"/>
      </c>
      <c r="GZ34">
        <f ca="1"/>
      </c>
      <c r="HA34">
        <f ca="1"/>
      </c>
      <c r="HB34">
        <f ca="1"/>
      </c>
      <c r="HC34">
        <f ca="1"/>
      </c>
      <c r="HD34">
        <f ca="1"/>
      </c>
      <c r="HE34">
        <f ca="1"/>
      </c>
      <c r="HF34">
        <f ca="1"/>
      </c>
      <c r="HG34">
        <f ca="1"/>
      </c>
      <c r="HH34">
        <f ca="1"/>
      </c>
      <c r="HI34">
        <f ca="1"/>
      </c>
      <c r="HJ34">
        <f ca="1"/>
      </c>
      <c r="HK34">
        <f ca="1"/>
      </c>
      <c r="HL34">
        <f ca="1"/>
      </c>
      <c r="HM34">
        <f ca="1"/>
      </c>
      <c r="HN34">
        <f ca="1"/>
      </c>
      <c r="HO34">
        <f ca="1"/>
      </c>
      <c r="HP34">
        <f ca="1"/>
      </c>
      <c r="HQ34">
        <f ca="1"/>
      </c>
      <c r="HR34">
        <f ca="1"/>
      </c>
      <c r="HS34">
        <f ca="1"/>
      </c>
      <c r="HT34">
        <f ca="1"/>
      </c>
      <c r="HU34">
        <f ca="1"/>
      </c>
      <c r="HV34">
        <f ca="1"/>
      </c>
      <c r="HW34">
        <f ca="1"/>
      </c>
      <c r="HX34">
        <f ca="1"/>
      </c>
      <c r="HY34">
        <f ca="1"/>
      </c>
      <c r="HZ34">
        <f ca="1"/>
      </c>
      <c r="IA34">
        <f ca="1"/>
      </c>
      <c r="IB34">
        <f ca="1"/>
      </c>
      <c r="IC34">
        <f ca="1"/>
      </c>
      <c r="ID34">
        <f ca="1"/>
      </c>
      <c r="IE34">
        <f ca="1"/>
      </c>
      <c r="IF34">
        <f ca="1"/>
      </c>
      <c r="IG34">
        <f ca="1"/>
      </c>
      <c r="IH34">
        <f ca="1"/>
      </c>
      <c r="II34">
        <f ca="1"/>
      </c>
      <c r="IJ34">
        <f ca="1"/>
      </c>
      <c r="IK34">
        <f ca="1"/>
      </c>
      <c r="IL34">
        <f ca="1"/>
      </c>
      <c r="IM34">
        <f ca="1"/>
      </c>
      <c r="IN34">
        <f ca="1"/>
      </c>
      <c r="IO34">
        <f ca="1"/>
      </c>
      <c r="IP34">
        <f ca="1"/>
      </c>
      <c r="IQ34">
        <f ca="1"/>
      </c>
      <c r="IR34">
        <f ca="1"/>
      </c>
      <c r="IS34">
        <f ca="1"/>
      </c>
      <c r="IT34">
        <f ca="1"/>
      </c>
      <c r="IU34">
        <f ca="1"/>
      </c>
      <c r="IV34">
        <f ca="1"/>
      </c>
      <c r="IW34">
        <f ca="1"/>
      </c>
      <c r="IX34">
        <f ca="1"/>
      </c>
      <c r="IY34">
        <f ca="1"/>
      </c>
      <c r="IZ34">
        <f ca="1"/>
      </c>
      <c r="JA34">
        <f ca="1"/>
      </c>
      <c r="JB34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245</v>
      </c>
      <c r="G35" cm="1">
        <f t="array" ref="G35:R35">TRANSPOSE(VOL_Tenors)</f>
      </c>
      <c r="U35" s="5" t="s">
        <v>245</v>
      </c>
      <c r="V35" cm="1">
        <f t="array" ref="V35:AG35">TRANSPOSE(VOL_Tenors)</f>
      </c>
      <c r="BF35">
        <f ca="1"/>
      </c>
      <c r="BG35">
        <f ca="1"/>
      </c>
      <c r="BI35">
        <f ca="1"/>
      </c>
      <c r="BJ35" s="11">
        <f ca="1"/>
      </c>
      <c r="BK35" s="11">
        <f ca="1"/>
      </c>
      <c r="BL35" s="11">
        <f ca="1"/>
      </c>
      <c r="BM35" s="11">
        <f ca="1"/>
      </c>
      <c r="BN35" s="11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J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F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B35">
        <f ca="1"/>
      </c>
      <c r="GC35">
        <f ca="1"/>
      </c>
      <c r="GD35">
        <f ca="1"/>
      </c>
      <c r="GE35">
        <f ca="1"/>
      </c>
      <c r="GF35">
        <f ca="1"/>
      </c>
      <c r="GG35">
        <f ca="1"/>
      </c>
      <c r="GH35">
        <f ca="1"/>
      </c>
      <c r="GI35">
        <f ca="1"/>
      </c>
      <c r="GJ35">
        <f ca="1"/>
      </c>
      <c r="GK35">
        <f ca="1"/>
      </c>
      <c r="GL35">
        <f ca="1"/>
      </c>
      <c r="GM35">
        <f ca="1"/>
      </c>
      <c r="GN35">
        <f ca="1"/>
      </c>
      <c r="GO35">
        <f ca="1"/>
      </c>
      <c r="GP35">
        <f ca="1"/>
      </c>
      <c r="GQ35">
        <f ca="1"/>
      </c>
      <c r="GR35">
        <f ca="1"/>
      </c>
      <c r="GS35">
        <f ca="1"/>
      </c>
      <c r="GT35">
        <f ca="1"/>
      </c>
      <c r="GU35">
        <f ca="1"/>
      </c>
      <c r="GV35">
        <f ca="1"/>
      </c>
      <c r="GW35">
        <f ca="1"/>
      </c>
      <c r="GX35">
        <f ca="1"/>
      </c>
      <c r="GY35">
        <f ca="1"/>
      </c>
      <c r="GZ35">
        <f ca="1"/>
      </c>
      <c r="HA35">
        <f ca="1"/>
      </c>
      <c r="HB35">
        <f ca="1"/>
      </c>
      <c r="HC35">
        <f ca="1"/>
      </c>
      <c r="HD35">
        <f ca="1"/>
      </c>
      <c r="HE35">
        <f ca="1"/>
      </c>
      <c r="HF35">
        <f ca="1"/>
      </c>
      <c r="HG35">
        <f ca="1"/>
      </c>
      <c r="HH35">
        <f ca="1"/>
      </c>
      <c r="HI35">
        <f ca="1"/>
      </c>
      <c r="HJ35">
        <f ca="1"/>
      </c>
      <c r="HK35">
        <f ca="1"/>
      </c>
      <c r="HL35">
        <f ca="1"/>
      </c>
      <c r="HM35">
        <f ca="1"/>
      </c>
      <c r="HN35">
        <f ca="1"/>
      </c>
      <c r="HO35">
        <f ca="1"/>
      </c>
      <c r="HP35">
        <f ca="1"/>
      </c>
      <c r="HQ35">
        <f ca="1"/>
      </c>
      <c r="HR35">
        <f ca="1"/>
      </c>
      <c r="HS35">
        <f ca="1"/>
      </c>
      <c r="HT35">
        <f ca="1"/>
      </c>
      <c r="HU35">
        <f ca="1"/>
      </c>
      <c r="HV35">
        <f ca="1"/>
      </c>
      <c r="HW35">
        <f ca="1"/>
      </c>
      <c r="HX35">
        <f ca="1"/>
      </c>
      <c r="HY35">
        <f ca="1"/>
      </c>
      <c r="HZ35">
        <f ca="1"/>
      </c>
      <c r="IA35">
        <f ca="1"/>
      </c>
      <c r="IB35">
        <f ca="1"/>
      </c>
      <c r="IC35">
        <f ca="1"/>
      </c>
      <c r="ID35">
        <f ca="1"/>
      </c>
      <c r="IE35">
        <f ca="1"/>
      </c>
      <c r="IF35">
        <f ca="1"/>
      </c>
      <c r="IG35">
        <f ca="1"/>
      </c>
      <c r="IH35">
        <f ca="1"/>
      </c>
      <c r="II35">
        <f ca="1"/>
      </c>
      <c r="IJ35">
        <f ca="1"/>
      </c>
      <c r="IK35">
        <f ca="1"/>
      </c>
      <c r="IL35">
        <f ca="1"/>
      </c>
      <c r="IM35">
        <f ca="1"/>
      </c>
      <c r="IN35">
        <f ca="1"/>
      </c>
      <c r="IO35">
        <f ca="1"/>
      </c>
      <c r="IP35">
        <f ca="1"/>
      </c>
      <c r="IQ35">
        <f ca="1"/>
      </c>
      <c r="IR35">
        <f ca="1"/>
      </c>
      <c r="IS35">
        <f ca="1"/>
      </c>
      <c r="IT35">
        <f ca="1"/>
      </c>
      <c r="IU35">
        <f ca="1"/>
      </c>
      <c r="IV35">
        <f ca="1"/>
      </c>
      <c r="IW35">
        <f ca="1"/>
      </c>
      <c r="IX35">
        <f ca="1"/>
      </c>
      <c r="IY35">
        <f ca="1"/>
      </c>
      <c r="IZ35">
        <f ca="1"/>
      </c>
      <c r="JA35">
        <f ca="1"/>
      </c>
      <c r="JB35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51">VOL_Expiries</f>
      </c>
      <c r="G36" s="14" cm="1">
        <f t="array" aca="1" ref="G36:R51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51">VOL_Expiries</f>
      </c>
      <c r="V36" s="14" cm="1">
        <f t="array" aca="1" ref="V36:AG51" ca="1">_xlfn.XLOOKUP(_xlfn.ANCHORARRAY(U36)&amp;"x"&amp;_xlfn.ANCHORARRAY(V35),_xlfn.ANCHORARRAY($BI$5),_xlfn.ANCHORARRAY($BK$5))</f>
      </c>
      <c r="W36" s="14">
        <f ca="1"/>
      </c>
      <c r="X36" s="14">
        <f ca="1"/>
      </c>
      <c r="Y36" s="14">
        <f ca="1"/>
      </c>
      <c r="Z36" s="14">
        <f ca="1"/>
      </c>
      <c r="AA36" s="14">
        <f ca="1"/>
      </c>
      <c r="AB36" s="14">
        <f ca="1"/>
      </c>
      <c r="AC36" s="14">
        <f ca="1"/>
      </c>
      <c r="AD36" s="14">
        <f ca="1"/>
      </c>
      <c r="AE36" s="14">
        <f ca="1"/>
      </c>
      <c r="AF36" s="14">
        <f ca="1"/>
      </c>
      <c r="AG36" s="14">
        <f ca="1"/>
      </c>
      <c r="AH36" s="14"/>
      <c r="AI36" s="14"/>
      <c r="AJ36" s="14"/>
      <c r="AK36" s="14"/>
      <c r="AL36" s="14"/>
      <c r="AM36" s="14"/>
      <c r="AN36" s="14"/>
      <c r="AO36" s="14"/>
      <c r="BF36">
        <f ca="1"/>
      </c>
      <c r="BG36">
        <f ca="1"/>
      </c>
      <c r="BI36">
        <f ca="1"/>
      </c>
      <c r="BJ36" s="11">
        <f ca="1"/>
      </c>
      <c r="BK36" s="11">
        <f ca="1"/>
      </c>
      <c r="BL36" s="11">
        <f ca="1"/>
      </c>
      <c r="BM36" s="11">
        <f ca="1"/>
      </c>
      <c r="BN36" s="11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J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F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B36">
        <f ca="1"/>
      </c>
      <c r="GC36">
        <f ca="1"/>
      </c>
      <c r="GD36">
        <f ca="1"/>
      </c>
      <c r="GE36">
        <f ca="1"/>
      </c>
      <c r="GF36">
        <f ca="1"/>
      </c>
      <c r="GG36">
        <f ca="1"/>
      </c>
      <c r="GH36">
        <f ca="1"/>
      </c>
      <c r="GI36">
        <f ca="1"/>
      </c>
      <c r="GJ36">
        <f ca="1"/>
      </c>
      <c r="GK36">
        <f ca="1"/>
      </c>
      <c r="GL36">
        <f ca="1"/>
      </c>
      <c r="GM36">
        <f ca="1"/>
      </c>
      <c r="GN36">
        <f ca="1"/>
      </c>
      <c r="GO36">
        <f ca="1"/>
      </c>
      <c r="GP36">
        <f ca="1"/>
      </c>
      <c r="GQ36">
        <f ca="1"/>
      </c>
      <c r="GR36">
        <f ca="1"/>
      </c>
      <c r="GS36">
        <f ca="1"/>
      </c>
      <c r="GT36">
        <f ca="1"/>
      </c>
      <c r="GU36">
        <f ca="1"/>
      </c>
      <c r="GV36">
        <f ca="1"/>
      </c>
      <c r="GW36">
        <f ca="1"/>
      </c>
      <c r="GX36">
        <f ca="1"/>
      </c>
      <c r="GY36">
        <f ca="1"/>
      </c>
      <c r="GZ36">
        <f ca="1"/>
      </c>
      <c r="HA36">
        <f ca="1"/>
      </c>
      <c r="HB36">
        <f ca="1"/>
      </c>
      <c r="HC36">
        <f ca="1"/>
      </c>
      <c r="HD36">
        <f ca="1"/>
      </c>
      <c r="HE36">
        <f ca="1"/>
      </c>
      <c r="HF36">
        <f ca="1"/>
      </c>
      <c r="HG36">
        <f ca="1"/>
      </c>
      <c r="HH36">
        <f ca="1"/>
      </c>
      <c r="HI36">
        <f ca="1"/>
      </c>
      <c r="HJ36">
        <f ca="1"/>
      </c>
      <c r="HK36">
        <f ca="1"/>
      </c>
      <c r="HL36">
        <f ca="1"/>
      </c>
      <c r="HM36">
        <f ca="1"/>
      </c>
      <c r="HN36">
        <f ca="1"/>
      </c>
      <c r="HO36">
        <f ca="1"/>
      </c>
      <c r="HP36">
        <f ca="1"/>
      </c>
      <c r="HQ36">
        <f ca="1"/>
      </c>
      <c r="HR36">
        <f ca="1"/>
      </c>
      <c r="HS36">
        <f ca="1"/>
      </c>
      <c r="HT36">
        <f ca="1"/>
      </c>
      <c r="HU36">
        <f ca="1"/>
      </c>
      <c r="HV36">
        <f ca="1"/>
      </c>
      <c r="HW36">
        <f ca="1"/>
      </c>
      <c r="HX36">
        <f ca="1"/>
      </c>
      <c r="HY36">
        <f ca="1"/>
      </c>
      <c r="HZ36">
        <f ca="1"/>
      </c>
      <c r="IA36">
        <f ca="1"/>
      </c>
      <c r="IB36">
        <f ca="1"/>
      </c>
      <c r="IC36">
        <f ca="1"/>
      </c>
      <c r="ID36">
        <f ca="1"/>
      </c>
      <c r="IE36">
        <f ca="1"/>
      </c>
      <c r="IF36">
        <f ca="1"/>
      </c>
      <c r="IG36">
        <f ca="1"/>
      </c>
      <c r="IH36">
        <f ca="1"/>
      </c>
      <c r="II36">
        <f ca="1"/>
      </c>
      <c r="IJ36">
        <f ca="1"/>
      </c>
      <c r="IK36">
        <f ca="1"/>
      </c>
      <c r="IL36">
        <f ca="1"/>
      </c>
      <c r="IM36">
        <f ca="1"/>
      </c>
      <c r="IN36">
        <f ca="1"/>
      </c>
      <c r="IO36">
        <f ca="1"/>
      </c>
      <c r="IP36">
        <f ca="1"/>
      </c>
      <c r="IQ36">
        <f ca="1"/>
      </c>
      <c r="IR36">
        <f ca="1"/>
      </c>
      <c r="IS36">
        <f ca="1"/>
      </c>
      <c r="IT36">
        <f ca="1"/>
      </c>
      <c r="IU36">
        <f ca="1"/>
      </c>
      <c r="IV36">
        <f ca="1"/>
      </c>
      <c r="IW36">
        <f ca="1"/>
      </c>
      <c r="IX36">
        <f ca="1"/>
      </c>
      <c r="IY36">
        <f ca="1"/>
      </c>
      <c r="IZ36">
        <f ca="1"/>
      </c>
      <c r="JA36">
        <f ca="1"/>
      </c>
      <c r="JB36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>
        <f ca="1"/>
      </c>
      <c r="W37" s="14">
        <f ca="1"/>
      </c>
      <c r="X37" s="14">
        <f ca="1"/>
      </c>
      <c r="Y37" s="14">
        <f ca="1"/>
      </c>
      <c r="Z37" s="14">
        <f ca="1"/>
      </c>
      <c r="AA37" s="14">
        <f ca="1"/>
      </c>
      <c r="AB37" s="14">
        <f ca="1"/>
      </c>
      <c r="AC37" s="14">
        <f ca="1"/>
      </c>
      <c r="AD37" s="14">
        <f ca="1"/>
      </c>
      <c r="AE37" s="14">
        <f ca="1"/>
      </c>
      <c r="AF37" s="14">
        <f ca="1"/>
      </c>
      <c r="AG37" s="14">
        <f ca="1"/>
      </c>
      <c r="AH37" s="14"/>
      <c r="AI37" s="14"/>
      <c r="AJ37" s="14"/>
      <c r="AK37" s="14"/>
      <c r="AL37" s="14"/>
      <c r="AM37" s="14"/>
      <c r="AN37" s="14"/>
      <c r="AO37" s="14"/>
      <c r="BF37">
        <f ca="1"/>
      </c>
      <c r="BG37">
        <f ca="1"/>
      </c>
      <c r="BI37">
        <f ca="1"/>
      </c>
      <c r="BJ37" s="11">
        <f ca="1"/>
      </c>
      <c r="BK37" s="11">
        <f ca="1"/>
      </c>
      <c r="BL37" s="11">
        <f ca="1"/>
      </c>
      <c r="BM37" s="11">
        <f ca="1"/>
      </c>
      <c r="BN37" s="11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J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F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B37">
        <f ca="1"/>
      </c>
      <c r="GC37">
        <f ca="1"/>
      </c>
      <c r="GD37">
        <f ca="1"/>
      </c>
      <c r="GE37">
        <f ca="1"/>
      </c>
      <c r="GF37">
        <f ca="1"/>
      </c>
      <c r="GG37">
        <f ca="1"/>
      </c>
      <c r="GH37">
        <f ca="1"/>
      </c>
      <c r="GI37">
        <f ca="1"/>
      </c>
      <c r="GJ37">
        <f ca="1"/>
      </c>
      <c r="GK37">
        <f ca="1"/>
      </c>
      <c r="GL37">
        <f ca="1"/>
      </c>
      <c r="GM37">
        <f ca="1"/>
      </c>
      <c r="GN37">
        <f ca="1"/>
      </c>
      <c r="GO37">
        <f ca="1"/>
      </c>
      <c r="GP37">
        <f ca="1"/>
      </c>
      <c r="GQ37">
        <f ca="1"/>
      </c>
      <c r="GR37">
        <f ca="1"/>
      </c>
      <c r="GS37">
        <f ca="1"/>
      </c>
      <c r="GT37">
        <f ca="1"/>
      </c>
      <c r="GU37">
        <f ca="1"/>
      </c>
      <c r="GV37">
        <f ca="1"/>
      </c>
      <c r="GW37">
        <f ca="1"/>
      </c>
      <c r="GX37">
        <f ca="1"/>
      </c>
      <c r="GY37">
        <f ca="1"/>
      </c>
      <c r="GZ37">
        <f ca="1"/>
      </c>
      <c r="HA37">
        <f ca="1"/>
      </c>
      <c r="HB37">
        <f ca="1"/>
      </c>
      <c r="HC37">
        <f ca="1"/>
      </c>
      <c r="HD37">
        <f ca="1"/>
      </c>
      <c r="HE37">
        <f ca="1"/>
      </c>
      <c r="HF37">
        <f ca="1"/>
      </c>
      <c r="HG37">
        <f ca="1"/>
      </c>
      <c r="HH37">
        <f ca="1"/>
      </c>
      <c r="HI37">
        <f ca="1"/>
      </c>
      <c r="HJ37">
        <f ca="1"/>
      </c>
      <c r="HK37">
        <f ca="1"/>
      </c>
      <c r="HL37">
        <f ca="1"/>
      </c>
      <c r="HM37">
        <f ca="1"/>
      </c>
      <c r="HN37">
        <f ca="1"/>
      </c>
      <c r="HO37">
        <f ca="1"/>
      </c>
      <c r="HP37">
        <f ca="1"/>
      </c>
      <c r="HQ37">
        <f ca="1"/>
      </c>
      <c r="HR37">
        <f ca="1"/>
      </c>
      <c r="HS37">
        <f ca="1"/>
      </c>
      <c r="HT37">
        <f ca="1"/>
      </c>
      <c r="HU37">
        <f ca="1"/>
      </c>
      <c r="HV37">
        <f ca="1"/>
      </c>
      <c r="HW37">
        <f ca="1"/>
      </c>
      <c r="HX37">
        <f ca="1"/>
      </c>
      <c r="HY37">
        <f ca="1"/>
      </c>
      <c r="HZ37">
        <f ca="1"/>
      </c>
      <c r="IA37">
        <f ca="1"/>
      </c>
      <c r="IB37">
        <f ca="1"/>
      </c>
      <c r="IC37">
        <f ca="1"/>
      </c>
      <c r="ID37">
        <f ca="1"/>
      </c>
      <c r="IE37">
        <f ca="1"/>
      </c>
      <c r="IF37">
        <f ca="1"/>
      </c>
      <c r="IG37">
        <f ca="1"/>
      </c>
      <c r="IH37">
        <f ca="1"/>
      </c>
      <c r="II37">
        <f ca="1"/>
      </c>
      <c r="IJ37">
        <f ca="1"/>
      </c>
      <c r="IK37">
        <f ca="1"/>
      </c>
      <c r="IL37">
        <f ca="1"/>
      </c>
      <c r="IM37">
        <f ca="1"/>
      </c>
      <c r="IN37">
        <f ca="1"/>
      </c>
      <c r="IO37">
        <f ca="1"/>
      </c>
      <c r="IP37">
        <f ca="1"/>
      </c>
      <c r="IQ37">
        <f ca="1"/>
      </c>
      <c r="IR37">
        <f ca="1"/>
      </c>
      <c r="IS37">
        <f ca="1"/>
      </c>
      <c r="IT37">
        <f ca="1"/>
      </c>
      <c r="IU37">
        <f ca="1"/>
      </c>
      <c r="IV37">
        <f ca="1"/>
      </c>
      <c r="IW37">
        <f ca="1"/>
      </c>
      <c r="IX37">
        <f ca="1"/>
      </c>
      <c r="IY37">
        <f ca="1"/>
      </c>
      <c r="IZ37">
        <f ca="1"/>
      </c>
      <c r="JA37">
        <f ca="1"/>
      </c>
      <c r="JB37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>
        <f ca="1"/>
      </c>
      <c r="W38" s="14">
        <f ca="1"/>
      </c>
      <c r="X38" s="14">
        <f ca="1"/>
      </c>
      <c r="Y38" s="14">
        <f ca="1"/>
      </c>
      <c r="Z38" s="14">
        <f ca="1"/>
      </c>
      <c r="AA38" s="14">
        <f ca="1"/>
      </c>
      <c r="AB38" s="14">
        <f ca="1"/>
      </c>
      <c r="AC38" s="14">
        <f ca="1"/>
      </c>
      <c r="AD38" s="14">
        <f ca="1"/>
      </c>
      <c r="AE38" s="14">
        <f ca="1"/>
      </c>
      <c r="AF38" s="14">
        <f ca="1"/>
      </c>
      <c r="AG38" s="14">
        <f ca="1"/>
      </c>
      <c r="AH38" s="14"/>
      <c r="AI38" s="14"/>
      <c r="AJ38" s="14"/>
      <c r="AK38" s="14"/>
      <c r="AL38" s="14"/>
      <c r="AM38" s="14"/>
      <c r="AN38" s="14"/>
      <c r="AO38" s="14"/>
      <c r="BF38">
        <f ca="1"/>
      </c>
      <c r="BG38">
        <f ca="1"/>
      </c>
      <c r="BI38">
        <f ca="1"/>
      </c>
      <c r="BJ38" s="11">
        <f ca="1"/>
      </c>
      <c r="BK38" s="11">
        <f ca="1"/>
      </c>
      <c r="BL38" s="11">
        <f ca="1"/>
      </c>
      <c r="BM38" s="11">
        <f ca="1"/>
      </c>
      <c r="BN38" s="11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J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F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B38">
        <f ca="1"/>
      </c>
      <c r="GC38">
        <f ca="1"/>
      </c>
      <c r="GD38">
        <f ca="1"/>
      </c>
      <c r="GE38">
        <f ca="1"/>
      </c>
      <c r="GF38">
        <f ca="1"/>
      </c>
      <c r="GG38">
        <f ca="1"/>
      </c>
      <c r="GH38">
        <f ca="1"/>
      </c>
      <c r="GI38">
        <f ca="1"/>
      </c>
      <c r="GJ38">
        <f ca="1"/>
      </c>
      <c r="GK38">
        <f ca="1"/>
      </c>
      <c r="GL38">
        <f ca="1"/>
      </c>
      <c r="GM38">
        <f ca="1"/>
      </c>
      <c r="GN38">
        <f ca="1"/>
      </c>
      <c r="GO38">
        <f ca="1"/>
      </c>
      <c r="GP38">
        <f ca="1"/>
      </c>
      <c r="GQ38">
        <f ca="1"/>
      </c>
      <c r="GR38">
        <f ca="1"/>
      </c>
      <c r="GS38">
        <f ca="1"/>
      </c>
      <c r="GT38">
        <f ca="1"/>
      </c>
      <c r="GU38">
        <f ca="1"/>
      </c>
      <c r="GV38">
        <f ca="1"/>
      </c>
      <c r="GW38">
        <f ca="1"/>
      </c>
      <c r="GX38">
        <f ca="1"/>
      </c>
      <c r="GY38">
        <f ca="1"/>
      </c>
      <c r="GZ38">
        <f ca="1"/>
      </c>
      <c r="HA38">
        <f ca="1"/>
      </c>
      <c r="HB38">
        <f ca="1"/>
      </c>
      <c r="HC38">
        <f ca="1"/>
      </c>
      <c r="HD38">
        <f ca="1"/>
      </c>
      <c r="HE38">
        <f ca="1"/>
      </c>
      <c r="HF38">
        <f ca="1"/>
      </c>
      <c r="HG38">
        <f ca="1"/>
      </c>
      <c r="HH38">
        <f ca="1"/>
      </c>
      <c r="HI38">
        <f ca="1"/>
      </c>
      <c r="HJ38">
        <f ca="1"/>
      </c>
      <c r="HK38">
        <f ca="1"/>
      </c>
      <c r="HL38">
        <f ca="1"/>
      </c>
      <c r="HM38">
        <f ca="1"/>
      </c>
      <c r="HN38">
        <f ca="1"/>
      </c>
      <c r="HO38">
        <f ca="1"/>
      </c>
      <c r="HP38">
        <f ca="1"/>
      </c>
      <c r="HQ38">
        <f ca="1"/>
      </c>
      <c r="HR38">
        <f ca="1"/>
      </c>
      <c r="HS38">
        <f ca="1"/>
      </c>
      <c r="HT38">
        <f ca="1"/>
      </c>
      <c r="HU38">
        <f ca="1"/>
      </c>
      <c r="HV38">
        <f ca="1"/>
      </c>
      <c r="HW38">
        <f ca="1"/>
      </c>
      <c r="HX38">
        <f ca="1"/>
      </c>
      <c r="HY38">
        <f ca="1"/>
      </c>
      <c r="HZ38">
        <f ca="1"/>
      </c>
      <c r="IA38">
        <f ca="1"/>
      </c>
      <c r="IB38">
        <f ca="1"/>
      </c>
      <c r="IC38">
        <f ca="1"/>
      </c>
      <c r="ID38">
        <f ca="1"/>
      </c>
      <c r="IE38">
        <f ca="1"/>
      </c>
      <c r="IF38">
        <f ca="1"/>
      </c>
      <c r="IG38">
        <f ca="1"/>
      </c>
      <c r="IH38">
        <f ca="1"/>
      </c>
      <c r="II38">
        <f ca="1"/>
      </c>
      <c r="IJ38">
        <f ca="1"/>
      </c>
      <c r="IK38">
        <f ca="1"/>
      </c>
      <c r="IL38">
        <f ca="1"/>
      </c>
      <c r="IM38">
        <f ca="1"/>
      </c>
      <c r="IN38">
        <f ca="1"/>
      </c>
      <c r="IO38">
        <f ca="1"/>
      </c>
      <c r="IP38">
        <f ca="1"/>
      </c>
      <c r="IQ38">
        <f ca="1"/>
      </c>
      <c r="IR38">
        <f ca="1"/>
      </c>
      <c r="IS38">
        <f ca="1"/>
      </c>
      <c r="IT38">
        <f ca="1"/>
      </c>
      <c r="IU38">
        <f ca="1"/>
      </c>
      <c r="IV38">
        <f ca="1"/>
      </c>
      <c r="IW38">
        <f ca="1"/>
      </c>
      <c r="IX38">
        <f ca="1"/>
      </c>
      <c r="IY38">
        <f ca="1"/>
      </c>
      <c r="IZ38">
        <f ca="1"/>
      </c>
      <c r="JA38">
        <f ca="1"/>
      </c>
      <c r="JB38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>
        <f ca="1"/>
      </c>
      <c r="W39" s="14">
        <f ca="1"/>
      </c>
      <c r="X39" s="14">
        <f ca="1"/>
      </c>
      <c r="Y39" s="14">
        <f ca="1"/>
      </c>
      <c r="Z39" s="14">
        <f ca="1"/>
      </c>
      <c r="AA39" s="14">
        <f ca="1"/>
      </c>
      <c r="AB39" s="14">
        <f ca="1"/>
      </c>
      <c r="AC39" s="14">
        <f ca="1"/>
      </c>
      <c r="AD39" s="14">
        <f ca="1"/>
      </c>
      <c r="AE39" s="14">
        <f ca="1"/>
      </c>
      <c r="AF39" s="14">
        <f ca="1"/>
      </c>
      <c r="AG39" s="14">
        <f ca="1"/>
      </c>
      <c r="AH39" s="14"/>
      <c r="AI39" s="14"/>
      <c r="AJ39" s="14"/>
      <c r="AK39" s="14"/>
      <c r="AL39" s="14"/>
      <c r="AM39" s="14"/>
      <c r="AN39" s="14"/>
      <c r="AO39" s="14"/>
      <c r="BF39">
        <f ca="1"/>
      </c>
      <c r="BG39">
        <f ca="1"/>
      </c>
      <c r="BI39">
        <f ca="1"/>
      </c>
      <c r="BJ39" s="11">
        <f ca="1"/>
      </c>
      <c r="BK39" s="11">
        <f ca="1"/>
      </c>
      <c r="BL39" s="11">
        <f ca="1"/>
      </c>
      <c r="BM39" s="11">
        <f ca="1"/>
      </c>
      <c r="BN39" s="11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J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F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B39">
        <f ca="1"/>
      </c>
      <c r="GC39">
        <f ca="1"/>
      </c>
      <c r="GD39">
        <f ca="1"/>
      </c>
      <c r="GE39">
        <f ca="1"/>
      </c>
      <c r="GF39">
        <f ca="1"/>
      </c>
      <c r="GG39">
        <f ca="1"/>
      </c>
      <c r="GH39">
        <f ca="1"/>
      </c>
      <c r="GI39">
        <f ca="1"/>
      </c>
      <c r="GJ39">
        <f ca="1"/>
      </c>
      <c r="GK39">
        <f ca="1"/>
      </c>
      <c r="GL39">
        <f ca="1"/>
      </c>
      <c r="GM39">
        <f ca="1"/>
      </c>
      <c r="GN39">
        <f ca="1"/>
      </c>
      <c r="GO39">
        <f ca="1"/>
      </c>
      <c r="GP39">
        <f ca="1"/>
      </c>
      <c r="GQ39">
        <f ca="1"/>
      </c>
      <c r="GR39">
        <f ca="1"/>
      </c>
      <c r="GS39">
        <f ca="1"/>
      </c>
      <c r="GT39">
        <f ca="1"/>
      </c>
      <c r="GU39">
        <f ca="1"/>
      </c>
      <c r="GV39">
        <f ca="1"/>
      </c>
      <c r="GW39">
        <f ca="1"/>
      </c>
      <c r="GX39">
        <f ca="1"/>
      </c>
      <c r="GY39">
        <f ca="1"/>
      </c>
      <c r="GZ39">
        <f ca="1"/>
      </c>
      <c r="HA39">
        <f ca="1"/>
      </c>
      <c r="HB39">
        <f ca="1"/>
      </c>
      <c r="HC39">
        <f ca="1"/>
      </c>
      <c r="HD39">
        <f ca="1"/>
      </c>
      <c r="HE39">
        <f ca="1"/>
      </c>
      <c r="HF39">
        <f ca="1"/>
      </c>
      <c r="HG39">
        <f ca="1"/>
      </c>
      <c r="HH39">
        <f ca="1"/>
      </c>
      <c r="HI39">
        <f ca="1"/>
      </c>
      <c r="HJ39">
        <f ca="1"/>
      </c>
      <c r="HK39">
        <f ca="1"/>
      </c>
      <c r="HL39">
        <f ca="1"/>
      </c>
      <c r="HM39">
        <f ca="1"/>
      </c>
      <c r="HN39">
        <f ca="1"/>
      </c>
      <c r="HO39">
        <f ca="1"/>
      </c>
      <c r="HP39">
        <f ca="1"/>
      </c>
      <c r="HQ39">
        <f ca="1"/>
      </c>
      <c r="HR39">
        <f ca="1"/>
      </c>
      <c r="HS39">
        <f ca="1"/>
      </c>
      <c r="HT39">
        <f ca="1"/>
      </c>
      <c r="HU39">
        <f ca="1"/>
      </c>
      <c r="HV39">
        <f ca="1"/>
      </c>
      <c r="HW39">
        <f ca="1"/>
      </c>
      <c r="HX39">
        <f ca="1"/>
      </c>
      <c r="HY39">
        <f ca="1"/>
      </c>
      <c r="HZ39">
        <f ca="1"/>
      </c>
      <c r="IA39">
        <f ca="1"/>
      </c>
      <c r="IB39">
        <f ca="1"/>
      </c>
      <c r="IC39">
        <f ca="1"/>
      </c>
      <c r="ID39">
        <f ca="1"/>
      </c>
      <c r="IE39">
        <f ca="1"/>
      </c>
      <c r="IF39">
        <f ca="1"/>
      </c>
      <c r="IG39">
        <f ca="1"/>
      </c>
      <c r="IH39">
        <f ca="1"/>
      </c>
      <c r="II39">
        <f ca="1"/>
      </c>
      <c r="IJ39">
        <f ca="1"/>
      </c>
      <c r="IK39">
        <f ca="1"/>
      </c>
      <c r="IL39">
        <f ca="1"/>
      </c>
      <c r="IM39">
        <f ca="1"/>
      </c>
      <c r="IN39">
        <f ca="1"/>
      </c>
      <c r="IO39">
        <f ca="1"/>
      </c>
      <c r="IP39">
        <f ca="1"/>
      </c>
      <c r="IQ39">
        <f ca="1"/>
      </c>
      <c r="IR39">
        <f ca="1"/>
      </c>
      <c r="IS39">
        <f ca="1"/>
      </c>
      <c r="IT39">
        <f ca="1"/>
      </c>
      <c r="IU39">
        <f ca="1"/>
      </c>
      <c r="IV39">
        <f ca="1"/>
      </c>
      <c r="IW39">
        <f ca="1"/>
      </c>
      <c r="IX39">
        <f ca="1"/>
      </c>
      <c r="IY39">
        <f ca="1"/>
      </c>
      <c r="IZ39">
        <f ca="1"/>
      </c>
      <c r="JA39">
        <f ca="1"/>
      </c>
      <c r="JB39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>
        <f ca="1"/>
      </c>
      <c r="W40" s="14">
        <f ca="1"/>
      </c>
      <c r="X40" s="14">
        <f ca="1"/>
      </c>
      <c r="Y40" s="14">
        <f ca="1"/>
      </c>
      <c r="Z40" s="14">
        <f ca="1"/>
      </c>
      <c r="AA40" s="14">
        <f ca="1"/>
      </c>
      <c r="AB40" s="14">
        <f ca="1"/>
      </c>
      <c r="AC40" s="14">
        <f ca="1"/>
      </c>
      <c r="AD40" s="14">
        <f ca="1"/>
      </c>
      <c r="AE40" s="14">
        <f ca="1"/>
      </c>
      <c r="AF40" s="14">
        <f ca="1"/>
      </c>
      <c r="AG40" s="14">
        <f ca="1"/>
      </c>
      <c r="AH40" s="14"/>
      <c r="AI40" s="14"/>
      <c r="AJ40" s="14"/>
      <c r="AK40" s="14"/>
      <c r="AL40" s="14"/>
      <c r="AM40" s="14"/>
      <c r="AN40" s="14"/>
      <c r="AO40" s="14"/>
      <c r="BF40">
        <f ca="1"/>
      </c>
      <c r="BG40">
        <f ca="1"/>
      </c>
      <c r="BI40">
        <f ca="1"/>
      </c>
      <c r="BJ40" s="11">
        <f ca="1"/>
      </c>
      <c r="BK40" s="11">
        <f ca="1"/>
      </c>
      <c r="BL40" s="11">
        <f ca="1"/>
      </c>
      <c r="BM40" s="11">
        <f ca="1"/>
      </c>
      <c r="BN40" s="11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J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F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B40">
        <f ca="1"/>
      </c>
      <c r="GC40">
        <f ca="1"/>
      </c>
      <c r="GD40">
        <f ca="1"/>
      </c>
      <c r="GE40">
        <f ca="1"/>
      </c>
      <c r="GF40">
        <f ca="1"/>
      </c>
      <c r="GG40">
        <f ca="1"/>
      </c>
      <c r="GH40">
        <f ca="1"/>
      </c>
      <c r="GI40">
        <f ca="1"/>
      </c>
      <c r="GJ40">
        <f ca="1"/>
      </c>
      <c r="GK40">
        <f ca="1"/>
      </c>
      <c r="GL40">
        <f ca="1"/>
      </c>
      <c r="GM40">
        <f ca="1"/>
      </c>
      <c r="GN40">
        <f ca="1"/>
      </c>
      <c r="GO40">
        <f ca="1"/>
      </c>
      <c r="GP40">
        <f ca="1"/>
      </c>
      <c r="GQ40">
        <f ca="1"/>
      </c>
      <c r="GR40">
        <f ca="1"/>
      </c>
      <c r="GS40">
        <f ca="1"/>
      </c>
      <c r="GT40">
        <f ca="1"/>
      </c>
      <c r="GU40">
        <f ca="1"/>
      </c>
      <c r="GV40">
        <f ca="1"/>
      </c>
      <c r="GW40">
        <f ca="1"/>
      </c>
      <c r="GX40">
        <f ca="1"/>
      </c>
      <c r="GY40">
        <f ca="1"/>
      </c>
      <c r="GZ40">
        <f ca="1"/>
      </c>
      <c r="HA40">
        <f ca="1"/>
      </c>
      <c r="HB40">
        <f ca="1"/>
      </c>
      <c r="HC40">
        <f ca="1"/>
      </c>
      <c r="HD40">
        <f ca="1"/>
      </c>
      <c r="HE40">
        <f ca="1"/>
      </c>
      <c r="HF40">
        <f ca="1"/>
      </c>
      <c r="HG40">
        <f ca="1"/>
      </c>
      <c r="HH40">
        <f ca="1"/>
      </c>
      <c r="HI40">
        <f ca="1"/>
      </c>
      <c r="HJ40">
        <f ca="1"/>
      </c>
      <c r="HK40">
        <f ca="1"/>
      </c>
      <c r="HL40">
        <f ca="1"/>
      </c>
      <c r="HM40">
        <f ca="1"/>
      </c>
      <c r="HN40">
        <f ca="1"/>
      </c>
      <c r="HO40">
        <f ca="1"/>
      </c>
      <c r="HP40">
        <f ca="1"/>
      </c>
      <c r="HQ40">
        <f ca="1"/>
      </c>
      <c r="HR40">
        <f ca="1"/>
      </c>
      <c r="HS40">
        <f ca="1"/>
      </c>
      <c r="HT40">
        <f ca="1"/>
      </c>
      <c r="HU40">
        <f ca="1"/>
      </c>
      <c r="HV40">
        <f ca="1"/>
      </c>
      <c r="HW40">
        <f ca="1"/>
      </c>
      <c r="HX40">
        <f ca="1"/>
      </c>
      <c r="HY40">
        <f ca="1"/>
      </c>
      <c r="HZ40">
        <f ca="1"/>
      </c>
      <c r="IA40">
        <f ca="1"/>
      </c>
      <c r="IB40">
        <f ca="1"/>
      </c>
      <c r="IC40">
        <f ca="1"/>
      </c>
      <c r="ID40">
        <f ca="1"/>
      </c>
      <c r="IE40">
        <f ca="1"/>
      </c>
      <c r="IF40">
        <f ca="1"/>
      </c>
      <c r="IG40">
        <f ca="1"/>
      </c>
      <c r="IH40">
        <f ca="1"/>
      </c>
      <c r="II40">
        <f ca="1"/>
      </c>
      <c r="IJ40">
        <f ca="1"/>
      </c>
      <c r="IK40">
        <f ca="1"/>
      </c>
      <c r="IL40">
        <f ca="1"/>
      </c>
      <c r="IM40">
        <f ca="1"/>
      </c>
      <c r="IN40">
        <f ca="1"/>
      </c>
      <c r="IO40">
        <f ca="1"/>
      </c>
      <c r="IP40">
        <f ca="1"/>
      </c>
      <c r="IQ40">
        <f ca="1"/>
      </c>
      <c r="IR40">
        <f ca="1"/>
      </c>
      <c r="IS40">
        <f ca="1"/>
      </c>
      <c r="IT40">
        <f ca="1"/>
      </c>
      <c r="IU40">
        <f ca="1"/>
      </c>
      <c r="IV40">
        <f ca="1"/>
      </c>
      <c r="IW40">
        <f ca="1"/>
      </c>
      <c r="IX40">
        <f ca="1"/>
      </c>
      <c r="IY40">
        <f ca="1"/>
      </c>
      <c r="IZ40">
        <f ca="1"/>
      </c>
      <c r="JA40">
        <f ca="1"/>
      </c>
      <c r="JB40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>
        <f ca="1"/>
      </c>
      <c r="W41" s="14">
        <f ca="1"/>
      </c>
      <c r="X41" s="14">
        <f ca="1"/>
      </c>
      <c r="Y41" s="14">
        <f ca="1"/>
      </c>
      <c r="Z41" s="14">
        <f ca="1"/>
      </c>
      <c r="AA41" s="14">
        <f ca="1"/>
      </c>
      <c r="AB41" s="14">
        <f ca="1"/>
      </c>
      <c r="AC41" s="14">
        <f ca="1"/>
      </c>
      <c r="AD41" s="14">
        <f ca="1"/>
      </c>
      <c r="AE41" s="14">
        <f ca="1"/>
      </c>
      <c r="AF41" s="14">
        <f ca="1"/>
      </c>
      <c r="AG41" s="14">
        <f ca="1"/>
      </c>
      <c r="AH41" s="14"/>
      <c r="AI41" s="14"/>
      <c r="AJ41" s="14"/>
      <c r="AK41" s="14"/>
      <c r="AL41" s="14"/>
      <c r="AM41" s="14"/>
      <c r="AN41" s="14"/>
      <c r="AO41" s="14"/>
      <c r="BF41">
        <f ca="1"/>
      </c>
      <c r="BG41">
        <f ca="1"/>
      </c>
      <c r="BI41">
        <f ca="1"/>
      </c>
      <c r="BJ41" s="11">
        <f ca="1"/>
      </c>
      <c r="BK41" s="11">
        <f ca="1"/>
      </c>
      <c r="BL41" s="11">
        <f ca="1"/>
      </c>
      <c r="BM41" s="11">
        <f ca="1"/>
      </c>
      <c r="BN41" s="1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J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F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B41">
        <f ca="1"/>
      </c>
      <c r="GC41">
        <f ca="1"/>
      </c>
      <c r="GD41">
        <f ca="1"/>
      </c>
      <c r="GE41">
        <f ca="1"/>
      </c>
      <c r="GF41">
        <f ca="1"/>
      </c>
      <c r="GG41">
        <f ca="1"/>
      </c>
      <c r="GH41">
        <f ca="1"/>
      </c>
      <c r="GI41">
        <f ca="1"/>
      </c>
      <c r="GJ41">
        <f ca="1"/>
      </c>
      <c r="GK41">
        <f ca="1"/>
      </c>
      <c r="GL41">
        <f ca="1"/>
      </c>
      <c r="GM41">
        <f ca="1"/>
      </c>
      <c r="GN41">
        <f ca="1"/>
      </c>
      <c r="GO41">
        <f ca="1"/>
      </c>
      <c r="GP41">
        <f ca="1"/>
      </c>
      <c r="GQ41">
        <f ca="1"/>
      </c>
      <c r="GR41">
        <f ca="1"/>
      </c>
      <c r="GS41">
        <f ca="1"/>
      </c>
      <c r="GT41">
        <f ca="1"/>
      </c>
      <c r="GU41">
        <f ca="1"/>
      </c>
      <c r="GV41">
        <f ca="1"/>
      </c>
      <c r="GW41">
        <f ca="1"/>
      </c>
      <c r="GX41">
        <f ca="1"/>
      </c>
      <c r="GY41">
        <f ca="1"/>
      </c>
      <c r="GZ41">
        <f ca="1"/>
      </c>
      <c r="HA41">
        <f ca="1"/>
      </c>
      <c r="HB41">
        <f ca="1"/>
      </c>
      <c r="HC41">
        <f ca="1"/>
      </c>
      <c r="HD41">
        <f ca="1"/>
      </c>
      <c r="HE41">
        <f ca="1"/>
      </c>
      <c r="HF41">
        <f ca="1"/>
      </c>
      <c r="HG41">
        <f ca="1"/>
      </c>
      <c r="HH41">
        <f ca="1"/>
      </c>
      <c r="HI41">
        <f ca="1"/>
      </c>
      <c r="HJ41">
        <f ca="1"/>
      </c>
      <c r="HK41">
        <f ca="1"/>
      </c>
      <c r="HL41">
        <f ca="1"/>
      </c>
      <c r="HM41">
        <f ca="1"/>
      </c>
      <c r="HN41">
        <f ca="1"/>
      </c>
      <c r="HO41">
        <f ca="1"/>
      </c>
      <c r="HP41">
        <f ca="1"/>
      </c>
      <c r="HQ41">
        <f ca="1"/>
      </c>
      <c r="HR41">
        <f ca="1"/>
      </c>
      <c r="HS41">
        <f ca="1"/>
      </c>
      <c r="HT41">
        <f ca="1"/>
      </c>
      <c r="HU41">
        <f ca="1"/>
      </c>
      <c r="HV41">
        <f ca="1"/>
      </c>
      <c r="HW41">
        <f ca="1"/>
      </c>
      <c r="HX41">
        <f ca="1"/>
      </c>
      <c r="HY41">
        <f ca="1"/>
      </c>
      <c r="HZ41">
        <f ca="1"/>
      </c>
      <c r="IA41">
        <f ca="1"/>
      </c>
      <c r="IB41">
        <f ca="1"/>
      </c>
      <c r="IC41">
        <f ca="1"/>
      </c>
      <c r="ID41">
        <f ca="1"/>
      </c>
      <c r="IE41">
        <f ca="1"/>
      </c>
      <c r="IF41">
        <f ca="1"/>
      </c>
      <c r="IG41">
        <f ca="1"/>
      </c>
      <c r="IH41">
        <f ca="1"/>
      </c>
      <c r="II41">
        <f ca="1"/>
      </c>
      <c r="IJ41">
        <f ca="1"/>
      </c>
      <c r="IK41">
        <f ca="1"/>
      </c>
      <c r="IL41">
        <f ca="1"/>
      </c>
      <c r="IM41">
        <f ca="1"/>
      </c>
      <c r="IN41">
        <f ca="1"/>
      </c>
      <c r="IO41">
        <f ca="1"/>
      </c>
      <c r="IP41">
        <f ca="1"/>
      </c>
      <c r="IQ41">
        <f ca="1"/>
      </c>
      <c r="IR41">
        <f ca="1"/>
      </c>
      <c r="IS41">
        <f ca="1"/>
      </c>
      <c r="IT41">
        <f ca="1"/>
      </c>
      <c r="IU41">
        <f ca="1"/>
      </c>
      <c r="IV41">
        <f ca="1"/>
      </c>
      <c r="IW41">
        <f ca="1"/>
      </c>
      <c r="IX41">
        <f ca="1"/>
      </c>
      <c r="IY41">
        <f ca="1"/>
      </c>
      <c r="IZ41">
        <f ca="1"/>
      </c>
      <c r="JA41">
        <f ca="1"/>
      </c>
      <c r="JB4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>
        <f ca="1"/>
      </c>
      <c r="W42" s="14">
        <f ca="1"/>
      </c>
      <c r="X42" s="14">
        <f ca="1"/>
      </c>
      <c r="Y42" s="14">
        <f ca="1"/>
      </c>
      <c r="Z42" s="14">
        <f ca="1"/>
      </c>
      <c r="AA42" s="14">
        <f ca="1"/>
      </c>
      <c r="AB42" s="14">
        <f ca="1"/>
      </c>
      <c r="AC42" s="14">
        <f ca="1"/>
      </c>
      <c r="AD42" s="14">
        <f ca="1"/>
      </c>
      <c r="AE42" s="14">
        <f ca="1"/>
      </c>
      <c r="AF42" s="14">
        <f ca="1"/>
      </c>
      <c r="AG42" s="14">
        <f ca="1"/>
      </c>
      <c r="AH42" s="14"/>
      <c r="AI42" s="14"/>
      <c r="AJ42" s="14"/>
      <c r="AK42" s="14"/>
      <c r="AL42" s="14"/>
      <c r="AM42" s="14"/>
      <c r="AN42" s="14"/>
      <c r="AO42" s="14"/>
      <c r="BF42">
        <f ca="1"/>
      </c>
      <c r="BG42">
        <f ca="1"/>
      </c>
      <c r="BI42">
        <f ca="1"/>
      </c>
      <c r="BJ42" s="11">
        <f ca="1"/>
      </c>
      <c r="BK42" s="11">
        <f ca="1"/>
      </c>
      <c r="BL42" s="11">
        <f ca="1"/>
      </c>
      <c r="BM42" s="11">
        <f ca="1"/>
      </c>
      <c r="BN42" s="11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J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F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B42">
        <f ca="1"/>
      </c>
      <c r="GC42">
        <f ca="1"/>
      </c>
      <c r="GD42">
        <f ca="1"/>
      </c>
      <c r="GE42">
        <f ca="1"/>
      </c>
      <c r="GF42">
        <f ca="1"/>
      </c>
      <c r="GG42">
        <f ca="1"/>
      </c>
      <c r="GH42">
        <f ca="1"/>
      </c>
      <c r="GI42">
        <f ca="1"/>
      </c>
      <c r="GJ42">
        <f ca="1"/>
      </c>
      <c r="GK42">
        <f ca="1"/>
      </c>
      <c r="GL42">
        <f ca="1"/>
      </c>
      <c r="GM42">
        <f ca="1"/>
      </c>
      <c r="GN42">
        <f ca="1"/>
      </c>
      <c r="GO42">
        <f ca="1"/>
      </c>
      <c r="GP42">
        <f ca="1"/>
      </c>
      <c r="GQ42">
        <f ca="1"/>
      </c>
      <c r="GR42">
        <f ca="1"/>
      </c>
      <c r="GS42">
        <f ca="1"/>
      </c>
      <c r="GT42">
        <f ca="1"/>
      </c>
      <c r="GU42">
        <f ca="1"/>
      </c>
      <c r="GV42">
        <f ca="1"/>
      </c>
      <c r="GW42">
        <f ca="1"/>
      </c>
      <c r="GX42">
        <f ca="1"/>
      </c>
      <c r="GY42">
        <f ca="1"/>
      </c>
      <c r="GZ42">
        <f ca="1"/>
      </c>
      <c r="HA42">
        <f ca="1"/>
      </c>
      <c r="HB42">
        <f ca="1"/>
      </c>
      <c r="HC42">
        <f ca="1"/>
      </c>
      <c r="HD42">
        <f ca="1"/>
      </c>
      <c r="HE42">
        <f ca="1"/>
      </c>
      <c r="HF42">
        <f ca="1"/>
      </c>
      <c r="HG42">
        <f ca="1"/>
      </c>
      <c r="HH42">
        <f ca="1"/>
      </c>
      <c r="HI42">
        <f ca="1"/>
      </c>
      <c r="HJ42">
        <f ca="1"/>
      </c>
      <c r="HK42">
        <f ca="1"/>
      </c>
      <c r="HL42">
        <f ca="1"/>
      </c>
      <c r="HM42">
        <f ca="1"/>
      </c>
      <c r="HN42">
        <f ca="1"/>
      </c>
      <c r="HO42">
        <f ca="1"/>
      </c>
      <c r="HP42">
        <f ca="1"/>
      </c>
      <c r="HQ42">
        <f ca="1"/>
      </c>
      <c r="HR42">
        <f ca="1"/>
      </c>
      <c r="HS42">
        <f ca="1"/>
      </c>
      <c r="HT42">
        <f ca="1"/>
      </c>
      <c r="HU42">
        <f ca="1"/>
      </c>
      <c r="HV42">
        <f ca="1"/>
      </c>
      <c r="HW42">
        <f ca="1"/>
      </c>
      <c r="HX42">
        <f ca="1"/>
      </c>
      <c r="HY42">
        <f ca="1"/>
      </c>
      <c r="HZ42">
        <f ca="1"/>
      </c>
      <c r="IA42">
        <f ca="1"/>
      </c>
      <c r="IB42">
        <f ca="1"/>
      </c>
      <c r="IC42">
        <f ca="1"/>
      </c>
      <c r="ID42">
        <f ca="1"/>
      </c>
      <c r="IE42">
        <f ca="1"/>
      </c>
      <c r="IF42">
        <f ca="1"/>
      </c>
      <c r="IG42">
        <f ca="1"/>
      </c>
      <c r="IH42">
        <f ca="1"/>
      </c>
      <c r="II42">
        <f ca="1"/>
      </c>
      <c r="IJ42">
        <f ca="1"/>
      </c>
      <c r="IK42">
        <f ca="1"/>
      </c>
      <c r="IL42">
        <f ca="1"/>
      </c>
      <c r="IM42">
        <f ca="1"/>
      </c>
      <c r="IN42">
        <f ca="1"/>
      </c>
      <c r="IO42">
        <f ca="1"/>
      </c>
      <c r="IP42">
        <f ca="1"/>
      </c>
      <c r="IQ42">
        <f ca="1"/>
      </c>
      <c r="IR42">
        <f ca="1"/>
      </c>
      <c r="IS42">
        <f ca="1"/>
      </c>
      <c r="IT42">
        <f ca="1"/>
      </c>
      <c r="IU42">
        <f ca="1"/>
      </c>
      <c r="IV42">
        <f ca="1"/>
      </c>
      <c r="IW42">
        <f ca="1"/>
      </c>
      <c r="IX42">
        <f ca="1"/>
      </c>
      <c r="IY42">
        <f ca="1"/>
      </c>
      <c r="IZ42">
        <f ca="1"/>
      </c>
      <c r="JA42">
        <f ca="1"/>
      </c>
      <c r="JB42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>
        <f ca="1"/>
      </c>
      <c r="W43" s="14">
        <f ca="1"/>
      </c>
      <c r="X43" s="14">
        <f ca="1"/>
      </c>
      <c r="Y43" s="14">
        <f ca="1"/>
      </c>
      <c r="Z43" s="14">
        <f ca="1"/>
      </c>
      <c r="AA43" s="14">
        <f ca="1"/>
      </c>
      <c r="AB43" s="14">
        <f ca="1"/>
      </c>
      <c r="AC43" s="14">
        <f ca="1"/>
      </c>
      <c r="AD43" s="14">
        <f ca="1"/>
      </c>
      <c r="AE43" s="14">
        <f ca="1"/>
      </c>
      <c r="AF43" s="14">
        <f ca="1"/>
      </c>
      <c r="AG43" s="14">
        <f ca="1"/>
      </c>
      <c r="AH43" s="14"/>
      <c r="AI43" s="14"/>
      <c r="AJ43" s="14"/>
      <c r="AK43" s="14"/>
      <c r="AL43" s="14"/>
      <c r="AM43" s="14"/>
      <c r="AN43" s="14"/>
      <c r="AO43" s="14"/>
      <c r="BF43">
        <f ca="1"/>
      </c>
      <c r="BG43">
        <f ca="1"/>
      </c>
      <c r="BI43">
        <f ca="1"/>
      </c>
      <c r="BJ43" s="11">
        <f ca="1"/>
      </c>
      <c r="BK43" s="11">
        <f ca="1"/>
      </c>
      <c r="BL43" s="11">
        <f ca="1"/>
      </c>
      <c r="BM43" s="11">
        <f ca="1"/>
      </c>
      <c r="BN43" s="11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J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F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B43">
        <f ca="1"/>
      </c>
      <c r="GC43">
        <f ca="1"/>
      </c>
      <c r="GD43">
        <f ca="1"/>
      </c>
      <c r="GE43">
        <f ca="1"/>
      </c>
      <c r="GF43">
        <f ca="1"/>
      </c>
      <c r="GG43">
        <f ca="1"/>
      </c>
      <c r="GH43">
        <f ca="1"/>
      </c>
      <c r="GI43">
        <f ca="1"/>
      </c>
      <c r="GJ43">
        <f ca="1"/>
      </c>
      <c r="GK43">
        <f ca="1"/>
      </c>
      <c r="GL43">
        <f ca="1"/>
      </c>
      <c r="GM43">
        <f ca="1"/>
      </c>
      <c r="GN43">
        <f ca="1"/>
      </c>
      <c r="GO43">
        <f ca="1"/>
      </c>
      <c r="GP43">
        <f ca="1"/>
      </c>
      <c r="GQ43">
        <f ca="1"/>
      </c>
      <c r="GR43">
        <f ca="1"/>
      </c>
      <c r="GS43">
        <f ca="1"/>
      </c>
      <c r="GT43">
        <f ca="1"/>
      </c>
      <c r="GU43">
        <f ca="1"/>
      </c>
      <c r="GV43">
        <f ca="1"/>
      </c>
      <c r="GW43">
        <f ca="1"/>
      </c>
      <c r="GX43">
        <f ca="1"/>
      </c>
      <c r="GY43">
        <f ca="1"/>
      </c>
      <c r="GZ43">
        <f ca="1"/>
      </c>
      <c r="HA43">
        <f ca="1"/>
      </c>
      <c r="HB43">
        <f ca="1"/>
      </c>
      <c r="HC43">
        <f ca="1"/>
      </c>
      <c r="HD43">
        <f ca="1"/>
      </c>
      <c r="HE43">
        <f ca="1"/>
      </c>
      <c r="HF43">
        <f ca="1"/>
      </c>
      <c r="HG43">
        <f ca="1"/>
      </c>
      <c r="HH43">
        <f ca="1"/>
      </c>
      <c r="HI43">
        <f ca="1"/>
      </c>
      <c r="HJ43">
        <f ca="1"/>
      </c>
      <c r="HK43">
        <f ca="1"/>
      </c>
      <c r="HL43">
        <f ca="1"/>
      </c>
      <c r="HM43">
        <f ca="1"/>
      </c>
      <c r="HN43">
        <f ca="1"/>
      </c>
      <c r="HO43">
        <f ca="1"/>
      </c>
      <c r="HP43">
        <f ca="1"/>
      </c>
      <c r="HQ43">
        <f ca="1"/>
      </c>
      <c r="HR43">
        <f ca="1"/>
      </c>
      <c r="HS43">
        <f ca="1"/>
      </c>
      <c r="HT43">
        <f ca="1"/>
      </c>
      <c r="HU43">
        <f ca="1"/>
      </c>
      <c r="HV43">
        <f ca="1"/>
      </c>
      <c r="HW43">
        <f ca="1"/>
      </c>
      <c r="HX43">
        <f ca="1"/>
      </c>
      <c r="HY43">
        <f ca="1"/>
      </c>
      <c r="HZ43">
        <f ca="1"/>
      </c>
      <c r="IA43">
        <f ca="1"/>
      </c>
      <c r="IB43">
        <f ca="1"/>
      </c>
      <c r="IC43">
        <f ca="1"/>
      </c>
      <c r="ID43">
        <f ca="1"/>
      </c>
      <c r="IE43">
        <f ca="1"/>
      </c>
      <c r="IF43">
        <f ca="1"/>
      </c>
      <c r="IG43">
        <f ca="1"/>
      </c>
      <c r="IH43">
        <f ca="1"/>
      </c>
      <c r="II43">
        <f ca="1"/>
      </c>
      <c r="IJ43">
        <f ca="1"/>
      </c>
      <c r="IK43">
        <f ca="1"/>
      </c>
      <c r="IL43">
        <f ca="1"/>
      </c>
      <c r="IM43">
        <f ca="1"/>
      </c>
      <c r="IN43">
        <f ca="1"/>
      </c>
      <c r="IO43">
        <f ca="1"/>
      </c>
      <c r="IP43">
        <f ca="1"/>
      </c>
      <c r="IQ43">
        <f ca="1"/>
      </c>
      <c r="IR43">
        <f ca="1"/>
      </c>
      <c r="IS43">
        <f ca="1"/>
      </c>
      <c r="IT43">
        <f ca="1"/>
      </c>
      <c r="IU43">
        <f ca="1"/>
      </c>
      <c r="IV43">
        <f ca="1"/>
      </c>
      <c r="IW43">
        <f ca="1"/>
      </c>
      <c r="IX43">
        <f ca="1"/>
      </c>
      <c r="IY43">
        <f ca="1"/>
      </c>
      <c r="IZ43">
        <f ca="1"/>
      </c>
      <c r="JA43">
        <f ca="1"/>
      </c>
      <c r="JB43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>
        <f ca="1"/>
      </c>
      <c r="W44" s="14">
        <f ca="1"/>
      </c>
      <c r="X44" s="14">
        <f ca="1"/>
      </c>
      <c r="Y44" s="14">
        <f ca="1"/>
      </c>
      <c r="Z44" s="14">
        <f ca="1"/>
      </c>
      <c r="AA44" s="14">
        <f ca="1"/>
      </c>
      <c r="AB44" s="14">
        <f ca="1"/>
      </c>
      <c r="AC44" s="14">
        <f ca="1"/>
      </c>
      <c r="AD44" s="14">
        <f ca="1"/>
      </c>
      <c r="AE44" s="14">
        <f ca="1"/>
      </c>
      <c r="AF44" s="14">
        <f ca="1"/>
      </c>
      <c r="AG44" s="14">
        <f ca="1"/>
      </c>
      <c r="AH44" s="14"/>
      <c r="AI44" s="14"/>
      <c r="AJ44" s="14"/>
      <c r="AK44" s="14"/>
      <c r="AL44" s="14"/>
      <c r="AM44" s="14"/>
      <c r="AN44" s="14"/>
      <c r="AO44" s="14"/>
      <c r="BF44">
        <f ca="1"/>
      </c>
      <c r="BG44">
        <f ca="1"/>
      </c>
      <c r="BI44">
        <f ca="1"/>
      </c>
      <c r="BJ44" s="11">
        <f ca="1"/>
      </c>
      <c r="BK44" s="11">
        <f ca="1"/>
      </c>
      <c r="BL44" s="11">
        <f ca="1"/>
      </c>
      <c r="BM44" s="11">
        <f ca="1"/>
      </c>
      <c r="BN44" s="11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J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F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B44">
        <f ca="1"/>
      </c>
      <c r="GC44">
        <f ca="1"/>
      </c>
      <c r="GD44">
        <f ca="1"/>
      </c>
      <c r="GE44">
        <f ca="1"/>
      </c>
      <c r="GF44">
        <f ca="1"/>
      </c>
      <c r="GG44">
        <f ca="1"/>
      </c>
      <c r="GH44">
        <f ca="1"/>
      </c>
      <c r="GI44">
        <f ca="1"/>
      </c>
      <c r="GJ44">
        <f ca="1"/>
      </c>
      <c r="GK44">
        <f ca="1"/>
      </c>
      <c r="GL44">
        <f ca="1"/>
      </c>
      <c r="GM44">
        <f ca="1"/>
      </c>
      <c r="GN44">
        <f ca="1"/>
      </c>
      <c r="GO44">
        <f ca="1"/>
      </c>
      <c r="GP44">
        <f ca="1"/>
      </c>
      <c r="GQ44">
        <f ca="1"/>
      </c>
      <c r="GR44">
        <f ca="1"/>
      </c>
      <c r="GS44">
        <f ca="1"/>
      </c>
      <c r="GT44">
        <f ca="1"/>
      </c>
      <c r="GU44">
        <f ca="1"/>
      </c>
      <c r="GV44">
        <f ca="1"/>
      </c>
      <c r="GW44">
        <f ca="1"/>
      </c>
      <c r="GX44">
        <f ca="1"/>
      </c>
      <c r="GY44">
        <f ca="1"/>
      </c>
      <c r="GZ44">
        <f ca="1"/>
      </c>
      <c r="HA44">
        <f ca="1"/>
      </c>
      <c r="HB44">
        <f ca="1"/>
      </c>
      <c r="HC44">
        <f ca="1"/>
      </c>
      <c r="HD44">
        <f ca="1"/>
      </c>
      <c r="HE44">
        <f ca="1"/>
      </c>
      <c r="HF44">
        <f ca="1"/>
      </c>
      <c r="HG44">
        <f ca="1"/>
      </c>
      <c r="HH44">
        <f ca="1"/>
      </c>
      <c r="HI44">
        <f ca="1"/>
      </c>
      <c r="HJ44">
        <f ca="1"/>
      </c>
      <c r="HK44">
        <f ca="1"/>
      </c>
      <c r="HL44">
        <f ca="1"/>
      </c>
      <c r="HM44">
        <f ca="1"/>
      </c>
      <c r="HN44">
        <f ca="1"/>
      </c>
      <c r="HO44">
        <f ca="1"/>
      </c>
      <c r="HP44">
        <f ca="1"/>
      </c>
      <c r="HQ44">
        <f ca="1"/>
      </c>
      <c r="HR44">
        <f ca="1"/>
      </c>
      <c r="HS44">
        <f ca="1"/>
      </c>
      <c r="HT44">
        <f ca="1"/>
      </c>
      <c r="HU44">
        <f ca="1"/>
      </c>
      <c r="HV44">
        <f ca="1"/>
      </c>
      <c r="HW44">
        <f ca="1"/>
      </c>
      <c r="HX44">
        <f ca="1"/>
      </c>
      <c r="HY44">
        <f ca="1"/>
      </c>
      <c r="HZ44">
        <f ca="1"/>
      </c>
      <c r="IA44">
        <f ca="1"/>
      </c>
      <c r="IB44">
        <f ca="1"/>
      </c>
      <c r="IC44">
        <f ca="1"/>
      </c>
      <c r="ID44">
        <f ca="1"/>
      </c>
      <c r="IE44">
        <f ca="1"/>
      </c>
      <c r="IF44">
        <f ca="1"/>
      </c>
      <c r="IG44">
        <f ca="1"/>
      </c>
      <c r="IH44">
        <f ca="1"/>
      </c>
      <c r="II44">
        <f ca="1"/>
      </c>
      <c r="IJ44">
        <f ca="1"/>
      </c>
      <c r="IK44">
        <f ca="1"/>
      </c>
      <c r="IL44">
        <f ca="1"/>
      </c>
      <c r="IM44">
        <f ca="1"/>
      </c>
      <c r="IN44">
        <f ca="1"/>
      </c>
      <c r="IO44">
        <f ca="1"/>
      </c>
      <c r="IP44">
        <f ca="1"/>
      </c>
      <c r="IQ44">
        <f ca="1"/>
      </c>
      <c r="IR44">
        <f ca="1"/>
      </c>
      <c r="IS44">
        <f ca="1"/>
      </c>
      <c r="IT44">
        <f ca="1"/>
      </c>
      <c r="IU44">
        <f ca="1"/>
      </c>
      <c r="IV44">
        <f ca="1"/>
      </c>
      <c r="IW44">
        <f ca="1"/>
      </c>
      <c r="IX44">
        <f ca="1"/>
      </c>
      <c r="IY44">
        <f ca="1"/>
      </c>
      <c r="IZ44">
        <f ca="1"/>
      </c>
      <c r="JA44">
        <f ca="1"/>
      </c>
      <c r="JB44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>
        <f ca="1"/>
      </c>
      <c r="W45" s="14">
        <f ca="1"/>
      </c>
      <c r="X45" s="14">
        <f ca="1"/>
      </c>
      <c r="Y45" s="14">
        <f ca="1"/>
      </c>
      <c r="Z45" s="14">
        <f ca="1"/>
      </c>
      <c r="AA45" s="14">
        <f ca="1"/>
      </c>
      <c r="AB45" s="14">
        <f ca="1"/>
      </c>
      <c r="AC45" s="14">
        <f ca="1"/>
      </c>
      <c r="AD45" s="14">
        <f ca="1"/>
      </c>
      <c r="AE45" s="14">
        <f ca="1"/>
      </c>
      <c r="AF45" s="14">
        <f ca="1"/>
      </c>
      <c r="AG45" s="14">
        <f ca="1"/>
      </c>
      <c r="AH45" s="14"/>
      <c r="AI45" s="14"/>
      <c r="AJ45" s="14"/>
      <c r="AK45" s="14"/>
      <c r="AL45" s="14"/>
      <c r="AM45" s="14"/>
      <c r="AN45" s="14"/>
      <c r="AO45" s="14"/>
      <c r="BF45">
        <f ca="1"/>
      </c>
      <c r="BG45">
        <f ca="1"/>
      </c>
      <c r="BI45">
        <f ca="1"/>
      </c>
      <c r="BJ45" s="11">
        <f ca="1"/>
      </c>
      <c r="BK45" s="11">
        <f ca="1"/>
      </c>
      <c r="BL45" s="11">
        <f ca="1"/>
      </c>
      <c r="BM45" s="11">
        <f ca="1"/>
      </c>
      <c r="BN45" s="11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J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F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B45">
        <f ca="1"/>
      </c>
      <c r="GC45">
        <f ca="1"/>
      </c>
      <c r="GD45">
        <f ca="1"/>
      </c>
      <c r="GE45">
        <f ca="1"/>
      </c>
      <c r="GF45">
        <f ca="1"/>
      </c>
      <c r="GG45">
        <f ca="1"/>
      </c>
      <c r="GH45">
        <f ca="1"/>
      </c>
      <c r="GI45">
        <f ca="1"/>
      </c>
      <c r="GJ45">
        <f ca="1"/>
      </c>
      <c r="GK45">
        <f ca="1"/>
      </c>
      <c r="GL45">
        <f ca="1"/>
      </c>
      <c r="GM45">
        <f ca="1"/>
      </c>
      <c r="GN45">
        <f ca="1"/>
      </c>
      <c r="GO45">
        <f ca="1"/>
      </c>
      <c r="GP45">
        <f ca="1"/>
      </c>
      <c r="GQ45">
        <f ca="1"/>
      </c>
      <c r="GR45">
        <f ca="1"/>
      </c>
      <c r="GS45">
        <f ca="1"/>
      </c>
      <c r="GT45">
        <f ca="1"/>
      </c>
      <c r="GU45">
        <f ca="1"/>
      </c>
      <c r="GV45">
        <f ca="1"/>
      </c>
      <c r="GW45">
        <f ca="1"/>
      </c>
      <c r="GX45">
        <f ca="1"/>
      </c>
      <c r="GY45">
        <f ca="1"/>
      </c>
      <c r="GZ45">
        <f ca="1"/>
      </c>
      <c r="HA45">
        <f ca="1"/>
      </c>
      <c r="HB45">
        <f ca="1"/>
      </c>
      <c r="HC45">
        <f ca="1"/>
      </c>
      <c r="HD45">
        <f ca="1"/>
      </c>
      <c r="HE45">
        <f ca="1"/>
      </c>
      <c r="HF45">
        <f ca="1"/>
      </c>
      <c r="HG45">
        <f ca="1"/>
      </c>
      <c r="HH45">
        <f ca="1"/>
      </c>
      <c r="HI45">
        <f ca="1"/>
      </c>
      <c r="HJ45">
        <f ca="1"/>
      </c>
      <c r="HK45">
        <f ca="1"/>
      </c>
      <c r="HL45">
        <f ca="1"/>
      </c>
      <c r="HM45">
        <f ca="1"/>
      </c>
      <c r="HN45">
        <f ca="1"/>
      </c>
      <c r="HO45">
        <f ca="1"/>
      </c>
      <c r="HP45">
        <f ca="1"/>
      </c>
      <c r="HQ45">
        <f ca="1"/>
      </c>
      <c r="HR45">
        <f ca="1"/>
      </c>
      <c r="HS45">
        <f ca="1"/>
      </c>
      <c r="HT45">
        <f ca="1"/>
      </c>
      <c r="HU45">
        <f ca="1"/>
      </c>
      <c r="HV45">
        <f ca="1"/>
      </c>
      <c r="HW45">
        <f ca="1"/>
      </c>
      <c r="HX45">
        <f ca="1"/>
      </c>
      <c r="HY45">
        <f ca="1"/>
      </c>
      <c r="HZ45">
        <f ca="1"/>
      </c>
      <c r="IA45">
        <f ca="1"/>
      </c>
      <c r="IB45">
        <f ca="1"/>
      </c>
      <c r="IC45">
        <f ca="1"/>
      </c>
      <c r="ID45">
        <f ca="1"/>
      </c>
      <c r="IE45">
        <f ca="1"/>
      </c>
      <c r="IF45">
        <f ca="1"/>
      </c>
      <c r="IG45">
        <f ca="1"/>
      </c>
      <c r="IH45">
        <f ca="1"/>
      </c>
      <c r="II45">
        <f ca="1"/>
      </c>
      <c r="IJ45">
        <f ca="1"/>
      </c>
      <c r="IK45">
        <f ca="1"/>
      </c>
      <c r="IL45">
        <f ca="1"/>
      </c>
      <c r="IM45">
        <f ca="1"/>
      </c>
      <c r="IN45">
        <f ca="1"/>
      </c>
      <c r="IO45">
        <f ca="1"/>
      </c>
      <c r="IP45">
        <f ca="1"/>
      </c>
      <c r="IQ45">
        <f ca="1"/>
      </c>
      <c r="IR45">
        <f ca="1"/>
      </c>
      <c r="IS45">
        <f ca="1"/>
      </c>
      <c r="IT45">
        <f ca="1"/>
      </c>
      <c r="IU45">
        <f ca="1"/>
      </c>
      <c r="IV45">
        <f ca="1"/>
      </c>
      <c r="IW45">
        <f ca="1"/>
      </c>
      <c r="IX45">
        <f ca="1"/>
      </c>
      <c r="IY45">
        <f ca="1"/>
      </c>
      <c r="IZ45">
        <f ca="1"/>
      </c>
      <c r="JA45">
        <f ca="1"/>
      </c>
      <c r="JB45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>
        <f ca="1"/>
      </c>
      <c r="W46" s="14">
        <f ca="1"/>
      </c>
      <c r="X46" s="14">
        <f ca="1"/>
      </c>
      <c r="Y46" s="14">
        <f ca="1"/>
      </c>
      <c r="Z46" s="14">
        <f ca="1"/>
      </c>
      <c r="AA46" s="14">
        <f ca="1"/>
      </c>
      <c r="AB46" s="14">
        <f ca="1"/>
      </c>
      <c r="AC46" s="14">
        <f ca="1"/>
      </c>
      <c r="AD46" s="14">
        <f ca="1"/>
      </c>
      <c r="AE46" s="14">
        <f ca="1"/>
      </c>
      <c r="AF46" s="14">
        <f ca="1"/>
      </c>
      <c r="AG46" s="14">
        <f ca="1"/>
      </c>
      <c r="AH46" s="14"/>
      <c r="AI46" s="14"/>
      <c r="AJ46" s="14"/>
      <c r="AK46" s="14"/>
      <c r="AL46" s="14"/>
      <c r="AM46" s="14"/>
      <c r="AN46" s="14"/>
      <c r="AO46" s="14"/>
      <c r="BF46">
        <f ca="1"/>
      </c>
      <c r="BG46">
        <f ca="1"/>
      </c>
      <c r="BI46">
        <f ca="1"/>
      </c>
      <c r="BJ46" s="11">
        <f ca="1"/>
      </c>
      <c r="BK46" s="11">
        <f ca="1"/>
      </c>
      <c r="BL46" s="11">
        <f ca="1"/>
      </c>
      <c r="BM46" s="11">
        <f ca="1"/>
      </c>
      <c r="BN46" s="11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J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F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B46">
        <f ca="1"/>
      </c>
      <c r="GC46">
        <f ca="1"/>
      </c>
      <c r="GD46">
        <f ca="1"/>
      </c>
      <c r="GE46">
        <f ca="1"/>
      </c>
      <c r="GF46">
        <f ca="1"/>
      </c>
      <c r="GG46">
        <f ca="1"/>
      </c>
      <c r="GH46">
        <f ca="1"/>
      </c>
      <c r="GI46">
        <f ca="1"/>
      </c>
      <c r="GJ46">
        <f ca="1"/>
      </c>
      <c r="GK46">
        <f ca="1"/>
      </c>
      <c r="GL46">
        <f ca="1"/>
      </c>
      <c r="GM46">
        <f ca="1"/>
      </c>
      <c r="GN46">
        <f ca="1"/>
      </c>
      <c r="GO46">
        <f ca="1"/>
      </c>
      <c r="GP46">
        <f ca="1"/>
      </c>
      <c r="GQ46">
        <f ca="1"/>
      </c>
      <c r="GR46">
        <f ca="1"/>
      </c>
      <c r="GS46">
        <f ca="1"/>
      </c>
      <c r="GT46">
        <f ca="1"/>
      </c>
      <c r="GU46">
        <f ca="1"/>
      </c>
      <c r="GV46">
        <f ca="1"/>
      </c>
      <c r="GW46">
        <f ca="1"/>
      </c>
      <c r="GX46">
        <f ca="1"/>
      </c>
      <c r="GY46">
        <f ca="1"/>
      </c>
      <c r="GZ46">
        <f ca="1"/>
      </c>
      <c r="HA46">
        <f ca="1"/>
      </c>
      <c r="HB46">
        <f ca="1"/>
      </c>
      <c r="HC46">
        <f ca="1"/>
      </c>
      <c r="HD46">
        <f ca="1"/>
      </c>
      <c r="HE46">
        <f ca="1"/>
      </c>
      <c r="HF46">
        <f ca="1"/>
      </c>
      <c r="HG46">
        <f ca="1"/>
      </c>
      <c r="HH46">
        <f ca="1"/>
      </c>
      <c r="HI46">
        <f ca="1"/>
      </c>
      <c r="HJ46">
        <f ca="1"/>
      </c>
      <c r="HK46">
        <f ca="1"/>
      </c>
      <c r="HL46">
        <f ca="1"/>
      </c>
      <c r="HM46">
        <f ca="1"/>
      </c>
      <c r="HN46">
        <f ca="1"/>
      </c>
      <c r="HO46">
        <f ca="1"/>
      </c>
      <c r="HP46">
        <f ca="1"/>
      </c>
      <c r="HQ46">
        <f ca="1"/>
      </c>
      <c r="HR46">
        <f ca="1"/>
      </c>
      <c r="HS46">
        <f ca="1"/>
      </c>
      <c r="HT46">
        <f ca="1"/>
      </c>
      <c r="HU46">
        <f ca="1"/>
      </c>
      <c r="HV46">
        <f ca="1"/>
      </c>
      <c r="HW46">
        <f ca="1"/>
      </c>
      <c r="HX46">
        <f ca="1"/>
      </c>
      <c r="HY46">
        <f ca="1"/>
      </c>
      <c r="HZ46">
        <f ca="1"/>
      </c>
      <c r="IA46">
        <f ca="1"/>
      </c>
      <c r="IB46">
        <f ca="1"/>
      </c>
      <c r="IC46">
        <f ca="1"/>
      </c>
      <c r="ID46">
        <f ca="1"/>
      </c>
      <c r="IE46">
        <f ca="1"/>
      </c>
      <c r="IF46">
        <f ca="1"/>
      </c>
      <c r="IG46">
        <f ca="1"/>
      </c>
      <c r="IH46">
        <f ca="1"/>
      </c>
      <c r="II46">
        <f ca="1"/>
      </c>
      <c r="IJ46">
        <f ca="1"/>
      </c>
      <c r="IK46">
        <f ca="1"/>
      </c>
      <c r="IL46">
        <f ca="1"/>
      </c>
      <c r="IM46">
        <f ca="1"/>
      </c>
      <c r="IN46">
        <f ca="1"/>
      </c>
      <c r="IO46">
        <f ca="1"/>
      </c>
      <c r="IP46">
        <f ca="1"/>
      </c>
      <c r="IQ46">
        <f ca="1"/>
      </c>
      <c r="IR46">
        <f ca="1"/>
      </c>
      <c r="IS46">
        <f ca="1"/>
      </c>
      <c r="IT46">
        <f ca="1"/>
      </c>
      <c r="IU46">
        <f ca="1"/>
      </c>
      <c r="IV46">
        <f ca="1"/>
      </c>
      <c r="IW46">
        <f ca="1"/>
      </c>
      <c r="IX46">
        <f ca="1"/>
      </c>
      <c r="IY46">
        <f ca="1"/>
      </c>
      <c r="IZ46">
        <f ca="1"/>
      </c>
      <c r="JA46">
        <f ca="1"/>
      </c>
      <c r="JB46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>
        <f ca="1"/>
      </c>
      <c r="W47" s="14">
        <f ca="1"/>
      </c>
      <c r="X47" s="14">
        <f ca="1"/>
      </c>
      <c r="Y47" s="14">
        <f ca="1"/>
      </c>
      <c r="Z47" s="14">
        <f ca="1"/>
      </c>
      <c r="AA47" s="14">
        <f ca="1"/>
      </c>
      <c r="AB47" s="14">
        <f ca="1"/>
      </c>
      <c r="AC47" s="14">
        <f ca="1"/>
      </c>
      <c r="AD47" s="14">
        <f ca="1"/>
      </c>
      <c r="AE47" s="14">
        <f ca="1"/>
      </c>
      <c r="AF47" s="14">
        <f ca="1"/>
      </c>
      <c r="AG47" s="14">
        <f ca="1"/>
      </c>
      <c r="AH47" s="14"/>
      <c r="AI47" s="14"/>
      <c r="AJ47" s="14"/>
      <c r="AK47" s="14"/>
      <c r="AL47" s="14"/>
      <c r="AM47" s="14"/>
      <c r="AN47" s="14"/>
      <c r="AO47" s="14"/>
      <c r="BF47">
        <f ca="1"/>
      </c>
      <c r="BG47">
        <f ca="1"/>
      </c>
      <c r="BI47">
        <f ca="1"/>
      </c>
      <c r="BJ47" s="11">
        <f ca="1"/>
      </c>
      <c r="BK47" s="11">
        <f ca="1"/>
      </c>
      <c r="BL47" s="11">
        <f ca="1"/>
      </c>
      <c r="BM47" s="11">
        <f ca="1"/>
      </c>
      <c r="BN47" s="11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J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F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B47">
        <f ca="1"/>
      </c>
      <c r="GC47">
        <f ca="1"/>
      </c>
      <c r="GD47">
        <f ca="1"/>
      </c>
      <c r="GE47">
        <f ca="1"/>
      </c>
      <c r="GF47">
        <f ca="1"/>
      </c>
      <c r="GG47">
        <f ca="1"/>
      </c>
      <c r="GH47">
        <f ca="1"/>
      </c>
      <c r="GI47">
        <f ca="1"/>
      </c>
      <c r="GJ47">
        <f ca="1"/>
      </c>
      <c r="GK47">
        <f ca="1"/>
      </c>
      <c r="GL47">
        <f ca="1"/>
      </c>
      <c r="GM47">
        <f ca="1"/>
      </c>
      <c r="GN47">
        <f ca="1"/>
      </c>
      <c r="GO47">
        <f ca="1"/>
      </c>
      <c r="GP47">
        <f ca="1"/>
      </c>
      <c r="GQ47">
        <f ca="1"/>
      </c>
      <c r="GR47">
        <f ca="1"/>
      </c>
      <c r="GS47">
        <f ca="1"/>
      </c>
      <c r="GT47">
        <f ca="1"/>
      </c>
      <c r="GU47">
        <f ca="1"/>
      </c>
      <c r="GV47">
        <f ca="1"/>
      </c>
      <c r="GW47">
        <f ca="1"/>
      </c>
      <c r="GX47">
        <f ca="1"/>
      </c>
      <c r="GY47">
        <f ca="1"/>
      </c>
      <c r="GZ47">
        <f ca="1"/>
      </c>
      <c r="HA47">
        <f ca="1"/>
      </c>
      <c r="HB47">
        <f ca="1"/>
      </c>
      <c r="HC47">
        <f ca="1"/>
      </c>
      <c r="HD47">
        <f ca="1"/>
      </c>
      <c r="HE47">
        <f ca="1"/>
      </c>
      <c r="HF47">
        <f ca="1"/>
      </c>
      <c r="HG47">
        <f ca="1"/>
      </c>
      <c r="HH47">
        <f ca="1"/>
      </c>
      <c r="HI47">
        <f ca="1"/>
      </c>
      <c r="HJ47">
        <f ca="1"/>
      </c>
      <c r="HK47">
        <f ca="1"/>
      </c>
      <c r="HL47">
        <f ca="1"/>
      </c>
      <c r="HM47">
        <f ca="1"/>
      </c>
      <c r="HN47">
        <f ca="1"/>
      </c>
      <c r="HO47">
        <f ca="1"/>
      </c>
      <c r="HP47">
        <f ca="1"/>
      </c>
      <c r="HQ47">
        <f ca="1"/>
      </c>
      <c r="HR47">
        <f ca="1"/>
      </c>
      <c r="HS47">
        <f ca="1"/>
      </c>
      <c r="HT47">
        <f ca="1"/>
      </c>
      <c r="HU47">
        <f ca="1"/>
      </c>
      <c r="HV47">
        <f ca="1"/>
      </c>
      <c r="HW47">
        <f ca="1"/>
      </c>
      <c r="HX47">
        <f ca="1"/>
      </c>
      <c r="HY47">
        <f ca="1"/>
      </c>
      <c r="HZ47">
        <f ca="1"/>
      </c>
      <c r="IA47">
        <f ca="1"/>
      </c>
      <c r="IB47">
        <f ca="1"/>
      </c>
      <c r="IC47">
        <f ca="1"/>
      </c>
      <c r="ID47">
        <f ca="1"/>
      </c>
      <c r="IE47">
        <f ca="1"/>
      </c>
      <c r="IF47">
        <f ca="1"/>
      </c>
      <c r="IG47">
        <f ca="1"/>
      </c>
      <c r="IH47">
        <f ca="1"/>
      </c>
      <c r="II47">
        <f ca="1"/>
      </c>
      <c r="IJ47">
        <f ca="1"/>
      </c>
      <c r="IK47">
        <f ca="1"/>
      </c>
      <c r="IL47">
        <f ca="1"/>
      </c>
      <c r="IM47">
        <f ca="1"/>
      </c>
      <c r="IN47">
        <f ca="1"/>
      </c>
      <c r="IO47">
        <f ca="1"/>
      </c>
      <c r="IP47">
        <f ca="1"/>
      </c>
      <c r="IQ47">
        <f ca="1"/>
      </c>
      <c r="IR47">
        <f ca="1"/>
      </c>
      <c r="IS47">
        <f ca="1"/>
      </c>
      <c r="IT47">
        <f ca="1"/>
      </c>
      <c r="IU47">
        <f ca="1"/>
      </c>
      <c r="IV47">
        <f ca="1"/>
      </c>
      <c r="IW47">
        <f ca="1"/>
      </c>
      <c r="IX47">
        <f ca="1"/>
      </c>
      <c r="IY47">
        <f ca="1"/>
      </c>
      <c r="IZ47">
        <f ca="1"/>
      </c>
      <c r="JA47">
        <f ca="1"/>
      </c>
      <c r="JB47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>
        <f ca="1"/>
      </c>
      <c r="W48" s="14">
        <f ca="1"/>
      </c>
      <c r="X48" s="14">
        <f ca="1"/>
      </c>
      <c r="Y48" s="14">
        <f ca="1"/>
      </c>
      <c r="Z48" s="14">
        <f ca="1"/>
      </c>
      <c r="AA48" s="14">
        <f ca="1"/>
      </c>
      <c r="AB48" s="14">
        <f ca="1"/>
      </c>
      <c r="AC48" s="14">
        <f ca="1"/>
      </c>
      <c r="AD48" s="14">
        <f ca="1"/>
      </c>
      <c r="AE48" s="14">
        <f ca="1"/>
      </c>
      <c r="AF48" s="14">
        <f ca="1"/>
      </c>
      <c r="AG48" s="14">
        <f ca="1"/>
      </c>
      <c r="AH48" s="14"/>
      <c r="AI48" s="14"/>
      <c r="AJ48" s="14"/>
      <c r="AK48" s="14"/>
      <c r="AL48" s="14"/>
      <c r="AM48" s="14"/>
      <c r="AN48" s="14"/>
      <c r="AO48" s="14"/>
      <c r="BF48">
        <f ca="1"/>
      </c>
      <c r="BG48">
        <f ca="1"/>
      </c>
      <c r="BI48">
        <f ca="1"/>
      </c>
      <c r="BJ48" s="11">
        <f ca="1"/>
      </c>
      <c r="BK48" s="11">
        <f ca="1"/>
      </c>
      <c r="BL48" s="11">
        <f ca="1"/>
      </c>
      <c r="BM48" s="11">
        <f ca="1"/>
      </c>
      <c r="BN48" s="11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J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F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B48">
        <f ca="1"/>
      </c>
      <c r="GC48">
        <f ca="1"/>
      </c>
      <c r="GD48">
        <f ca="1"/>
      </c>
      <c r="GE48">
        <f ca="1"/>
      </c>
      <c r="GF48">
        <f ca="1"/>
      </c>
      <c r="GG48">
        <f ca="1"/>
      </c>
      <c r="GH48">
        <f ca="1"/>
      </c>
      <c r="GI48">
        <f ca="1"/>
      </c>
      <c r="GJ48">
        <f ca="1"/>
      </c>
      <c r="GK48">
        <f ca="1"/>
      </c>
      <c r="GL48">
        <f ca="1"/>
      </c>
      <c r="GM48">
        <f ca="1"/>
      </c>
      <c r="GN48">
        <f ca="1"/>
      </c>
      <c r="GO48">
        <f ca="1"/>
      </c>
      <c r="GP48">
        <f ca="1"/>
      </c>
      <c r="GQ48">
        <f ca="1"/>
      </c>
      <c r="GR48">
        <f ca="1"/>
      </c>
      <c r="GS48">
        <f ca="1"/>
      </c>
      <c r="GT48">
        <f ca="1"/>
      </c>
      <c r="GU48">
        <f ca="1"/>
      </c>
      <c r="GV48">
        <f ca="1"/>
      </c>
      <c r="GW48">
        <f ca="1"/>
      </c>
      <c r="GX48">
        <f ca="1"/>
      </c>
      <c r="GY48">
        <f ca="1"/>
      </c>
      <c r="GZ48">
        <f ca="1"/>
      </c>
      <c r="HA48">
        <f ca="1"/>
      </c>
      <c r="HB48">
        <f ca="1"/>
      </c>
      <c r="HC48">
        <f ca="1"/>
      </c>
      <c r="HD48">
        <f ca="1"/>
      </c>
      <c r="HE48">
        <f ca="1"/>
      </c>
      <c r="HF48">
        <f ca="1"/>
      </c>
      <c r="HG48">
        <f ca="1"/>
      </c>
      <c r="HH48">
        <f ca="1"/>
      </c>
      <c r="HI48">
        <f ca="1"/>
      </c>
      <c r="HJ48">
        <f ca="1"/>
      </c>
      <c r="HK48">
        <f ca="1"/>
      </c>
      <c r="HL48">
        <f ca="1"/>
      </c>
      <c r="HM48">
        <f ca="1"/>
      </c>
      <c r="HN48">
        <f ca="1"/>
      </c>
      <c r="HO48">
        <f ca="1"/>
      </c>
      <c r="HP48">
        <f ca="1"/>
      </c>
      <c r="HQ48">
        <f ca="1"/>
      </c>
      <c r="HR48">
        <f ca="1"/>
      </c>
      <c r="HS48">
        <f ca="1"/>
      </c>
      <c r="HT48">
        <f ca="1"/>
      </c>
      <c r="HU48">
        <f ca="1"/>
      </c>
      <c r="HV48">
        <f ca="1"/>
      </c>
      <c r="HW48">
        <f ca="1"/>
      </c>
      <c r="HX48">
        <f ca="1"/>
      </c>
      <c r="HY48">
        <f ca="1"/>
      </c>
      <c r="HZ48">
        <f ca="1"/>
      </c>
      <c r="IA48">
        <f ca="1"/>
      </c>
      <c r="IB48">
        <f ca="1"/>
      </c>
      <c r="IC48">
        <f ca="1"/>
      </c>
      <c r="ID48">
        <f ca="1"/>
      </c>
      <c r="IE48">
        <f ca="1"/>
      </c>
      <c r="IF48">
        <f ca="1"/>
      </c>
      <c r="IG48">
        <f ca="1"/>
      </c>
      <c r="IH48">
        <f ca="1"/>
      </c>
      <c r="II48">
        <f ca="1"/>
      </c>
      <c r="IJ48">
        <f ca="1"/>
      </c>
      <c r="IK48">
        <f ca="1"/>
      </c>
      <c r="IL48">
        <f ca="1"/>
      </c>
      <c r="IM48">
        <f ca="1"/>
      </c>
      <c r="IN48">
        <f ca="1"/>
      </c>
      <c r="IO48">
        <f ca="1"/>
      </c>
      <c r="IP48">
        <f ca="1"/>
      </c>
      <c r="IQ48">
        <f ca="1"/>
      </c>
      <c r="IR48">
        <f ca="1"/>
      </c>
      <c r="IS48">
        <f ca="1"/>
      </c>
      <c r="IT48">
        <f ca="1"/>
      </c>
      <c r="IU48">
        <f ca="1"/>
      </c>
      <c r="IV48">
        <f ca="1"/>
      </c>
      <c r="IW48">
        <f ca="1"/>
      </c>
      <c r="IX48">
        <f ca="1"/>
      </c>
      <c r="IY48">
        <f ca="1"/>
      </c>
      <c r="IZ48">
        <f ca="1"/>
      </c>
      <c r="JA48">
        <f ca="1"/>
      </c>
      <c r="JB48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>
        <f ca="1"/>
      </c>
      <c r="H49" s="14">
        <f ca="1"/>
      </c>
      <c r="I49" s="14">
        <f ca="1"/>
      </c>
      <c r="J49" s="14">
        <f ca="1"/>
      </c>
      <c r="K49" s="14">
        <f ca="1"/>
      </c>
      <c r="L49" s="14">
        <f ca="1"/>
      </c>
      <c r="M49" s="14">
        <f ca="1"/>
      </c>
      <c r="N49" s="14">
        <f ca="1"/>
      </c>
      <c r="O49" s="14">
        <f ca="1"/>
      </c>
      <c r="P49" s="14">
        <f ca="1"/>
      </c>
      <c r="Q49" s="14">
        <f ca="1"/>
      </c>
      <c r="R49" s="14">
        <f ca="1"/>
      </c>
      <c r="S49" s="14"/>
      <c r="T49" s="14"/>
      <c r="U49" s="14"/>
      <c r="V49" s="14">
        <f ca="1"/>
      </c>
      <c r="W49" s="14">
        <f ca="1"/>
      </c>
      <c r="X49" s="14">
        <f ca="1"/>
      </c>
      <c r="Y49" s="14">
        <f ca="1"/>
      </c>
      <c r="Z49" s="14">
        <f ca="1"/>
      </c>
      <c r="AA49" s="14">
        <f ca="1"/>
      </c>
      <c r="AB49" s="14">
        <f ca="1"/>
      </c>
      <c r="AC49" s="14">
        <f ca="1"/>
      </c>
      <c r="AD49" s="14">
        <f ca="1"/>
      </c>
      <c r="AE49" s="14">
        <f ca="1"/>
      </c>
      <c r="AF49" s="14">
        <f ca="1"/>
      </c>
      <c r="AG49" s="14">
        <f ca="1"/>
      </c>
      <c r="AH49" s="14"/>
      <c r="AI49" s="14"/>
      <c r="AJ49" s="14"/>
      <c r="AK49" s="14"/>
      <c r="AL49" s="14"/>
      <c r="AM49" s="14"/>
      <c r="AN49" s="14"/>
      <c r="AO49" s="14"/>
      <c r="BF49">
        <f ca="1"/>
      </c>
      <c r="BG49">
        <f ca="1"/>
      </c>
      <c r="BI49">
        <f ca="1"/>
      </c>
      <c r="BJ49" s="11">
        <f ca="1"/>
      </c>
      <c r="BK49" s="11">
        <f ca="1"/>
      </c>
      <c r="BL49" s="11">
        <f ca="1"/>
      </c>
      <c r="BM49" s="11">
        <f ca="1"/>
      </c>
      <c r="BN49" s="11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J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F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B49">
        <f ca="1"/>
      </c>
      <c r="GC49">
        <f ca="1"/>
      </c>
      <c r="GD49">
        <f ca="1"/>
      </c>
      <c r="GE49">
        <f ca="1"/>
      </c>
      <c r="GF49">
        <f ca="1"/>
      </c>
      <c r="GG49">
        <f ca="1"/>
      </c>
      <c r="GH49">
        <f ca="1"/>
      </c>
      <c r="GI49">
        <f ca="1"/>
      </c>
      <c r="GJ49">
        <f ca="1"/>
      </c>
      <c r="GK49">
        <f ca="1"/>
      </c>
      <c r="GL49">
        <f ca="1"/>
      </c>
      <c r="GM49">
        <f ca="1"/>
      </c>
      <c r="GN49">
        <f ca="1"/>
      </c>
      <c r="GO49">
        <f ca="1"/>
      </c>
      <c r="GP49">
        <f ca="1"/>
      </c>
      <c r="GQ49">
        <f ca="1"/>
      </c>
      <c r="GR49">
        <f ca="1"/>
      </c>
      <c r="GS49">
        <f ca="1"/>
      </c>
      <c r="GT49">
        <f ca="1"/>
      </c>
      <c r="GU49">
        <f ca="1"/>
      </c>
      <c r="GV49">
        <f ca="1"/>
      </c>
      <c r="GW49">
        <f ca="1"/>
      </c>
      <c r="GX49">
        <f ca="1"/>
      </c>
      <c r="GY49">
        <f ca="1"/>
      </c>
      <c r="GZ49">
        <f ca="1"/>
      </c>
      <c r="HA49">
        <f ca="1"/>
      </c>
      <c r="HB49">
        <f ca="1"/>
      </c>
      <c r="HC49">
        <f ca="1"/>
      </c>
      <c r="HD49">
        <f ca="1"/>
      </c>
      <c r="HE49">
        <f ca="1"/>
      </c>
      <c r="HF49">
        <f ca="1"/>
      </c>
      <c r="HG49">
        <f ca="1"/>
      </c>
      <c r="HH49">
        <f ca="1"/>
      </c>
      <c r="HI49">
        <f ca="1"/>
      </c>
      <c r="HJ49">
        <f ca="1"/>
      </c>
      <c r="HK49">
        <f ca="1"/>
      </c>
      <c r="HL49">
        <f ca="1"/>
      </c>
      <c r="HM49">
        <f ca="1"/>
      </c>
      <c r="HN49">
        <f ca="1"/>
      </c>
      <c r="HO49">
        <f ca="1"/>
      </c>
      <c r="HP49">
        <f ca="1"/>
      </c>
      <c r="HQ49">
        <f ca="1"/>
      </c>
      <c r="HR49">
        <f ca="1"/>
      </c>
      <c r="HS49">
        <f ca="1"/>
      </c>
      <c r="HT49">
        <f ca="1"/>
      </c>
      <c r="HU49">
        <f ca="1"/>
      </c>
      <c r="HV49">
        <f ca="1"/>
      </c>
      <c r="HW49">
        <f ca="1"/>
      </c>
      <c r="HX49">
        <f ca="1"/>
      </c>
      <c r="HY49">
        <f ca="1"/>
      </c>
      <c r="HZ49">
        <f ca="1"/>
      </c>
      <c r="IA49">
        <f ca="1"/>
      </c>
      <c r="IB49">
        <f ca="1"/>
      </c>
      <c r="IC49">
        <f ca="1"/>
      </c>
      <c r="ID49">
        <f ca="1"/>
      </c>
      <c r="IE49">
        <f ca="1"/>
      </c>
      <c r="IF49">
        <f ca="1"/>
      </c>
      <c r="IG49">
        <f ca="1"/>
      </c>
      <c r="IH49">
        <f ca="1"/>
      </c>
      <c r="II49">
        <f ca="1"/>
      </c>
      <c r="IJ49">
        <f ca="1"/>
      </c>
      <c r="IK49">
        <f ca="1"/>
      </c>
      <c r="IL49">
        <f ca="1"/>
      </c>
      <c r="IM49">
        <f ca="1"/>
      </c>
      <c r="IN49">
        <f ca="1"/>
      </c>
      <c r="IO49">
        <f ca="1"/>
      </c>
      <c r="IP49">
        <f ca="1"/>
      </c>
      <c r="IQ49">
        <f ca="1"/>
      </c>
      <c r="IR49">
        <f ca="1"/>
      </c>
      <c r="IS49">
        <f ca="1"/>
      </c>
      <c r="IT49">
        <f ca="1"/>
      </c>
      <c r="IU49">
        <f ca="1"/>
      </c>
      <c r="IV49">
        <f ca="1"/>
      </c>
      <c r="IW49">
        <f ca="1"/>
      </c>
      <c r="IX49">
        <f ca="1"/>
      </c>
      <c r="IY49">
        <f ca="1"/>
      </c>
      <c r="IZ49">
        <f ca="1"/>
      </c>
      <c r="JA49">
        <f ca="1"/>
      </c>
      <c r="JB49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>
        <f ca="1"/>
      </c>
      <c r="H50" s="14">
        <f ca="1"/>
      </c>
      <c r="I50" s="14">
        <f ca="1"/>
      </c>
      <c r="J50" s="14">
        <f ca="1"/>
      </c>
      <c r="K50" s="14">
        <f ca="1"/>
      </c>
      <c r="L50" s="14">
        <f ca="1"/>
      </c>
      <c r="M50" s="14">
        <f ca="1"/>
      </c>
      <c r="N50" s="14">
        <f ca="1"/>
      </c>
      <c r="O50" s="14">
        <f ca="1"/>
      </c>
      <c r="P50" s="14">
        <f ca="1"/>
      </c>
      <c r="Q50" s="14">
        <f ca="1"/>
      </c>
      <c r="R50" s="14">
        <f ca="1"/>
      </c>
      <c r="S50" s="14"/>
      <c r="T50" s="14"/>
      <c r="U50" s="14"/>
      <c r="V50" s="14">
        <f ca="1"/>
      </c>
      <c r="W50" s="14">
        <f ca="1"/>
      </c>
      <c r="X50" s="14">
        <f ca="1"/>
      </c>
      <c r="Y50" s="14">
        <f ca="1"/>
      </c>
      <c r="Z50" s="14">
        <f ca="1"/>
      </c>
      <c r="AA50" s="14">
        <f ca="1"/>
      </c>
      <c r="AB50" s="14">
        <f ca="1"/>
      </c>
      <c r="AC50" s="14">
        <f ca="1"/>
      </c>
      <c r="AD50" s="14">
        <f ca="1"/>
      </c>
      <c r="AE50" s="14">
        <f ca="1"/>
      </c>
      <c r="AF50" s="14">
        <f ca="1"/>
      </c>
      <c r="AG50" s="14">
        <f ca="1"/>
      </c>
      <c r="AH50" s="14"/>
      <c r="AI50" s="14"/>
      <c r="AJ50" s="14"/>
      <c r="AK50" s="14"/>
      <c r="AL50" s="14"/>
      <c r="AM50" s="14"/>
      <c r="AN50" s="14"/>
      <c r="AO50" s="14"/>
      <c r="BF50">
        <f ca="1"/>
      </c>
      <c r="BG50">
        <f ca="1"/>
      </c>
      <c r="BI50">
        <f ca="1"/>
      </c>
      <c r="BJ50" s="11">
        <f ca="1"/>
      </c>
      <c r="BK50" s="11">
        <f ca="1"/>
      </c>
      <c r="BL50" s="11">
        <f ca="1"/>
      </c>
      <c r="BM50" s="11">
        <f ca="1"/>
      </c>
      <c r="BN50" s="11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J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F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B50">
        <f ca="1"/>
      </c>
      <c r="GC50">
        <f ca="1"/>
      </c>
      <c r="GD50">
        <f ca="1"/>
      </c>
      <c r="GE50">
        <f ca="1"/>
      </c>
      <c r="GF50">
        <f ca="1"/>
      </c>
      <c r="GG50">
        <f ca="1"/>
      </c>
      <c r="GH50">
        <f ca="1"/>
      </c>
      <c r="GI50">
        <f ca="1"/>
      </c>
      <c r="GJ50">
        <f ca="1"/>
      </c>
      <c r="GK50">
        <f ca="1"/>
      </c>
      <c r="GL50">
        <f ca="1"/>
      </c>
      <c r="GM50">
        <f ca="1"/>
      </c>
      <c r="GN50">
        <f ca="1"/>
      </c>
      <c r="GO50">
        <f ca="1"/>
      </c>
      <c r="GP50">
        <f ca="1"/>
      </c>
      <c r="GQ50">
        <f ca="1"/>
      </c>
      <c r="GR50">
        <f ca="1"/>
      </c>
      <c r="GS50">
        <f ca="1"/>
      </c>
      <c r="GT50">
        <f ca="1"/>
      </c>
      <c r="GU50">
        <f ca="1"/>
      </c>
      <c r="GV50">
        <f ca="1"/>
      </c>
      <c r="GW50">
        <f ca="1"/>
      </c>
      <c r="GX50">
        <f ca="1"/>
      </c>
      <c r="GY50">
        <f ca="1"/>
      </c>
      <c r="GZ50">
        <f ca="1"/>
      </c>
      <c r="HA50">
        <f ca="1"/>
      </c>
      <c r="HB50">
        <f ca="1"/>
      </c>
      <c r="HC50">
        <f ca="1"/>
      </c>
      <c r="HD50">
        <f ca="1"/>
      </c>
      <c r="HE50">
        <f ca="1"/>
      </c>
      <c r="HF50">
        <f ca="1"/>
      </c>
      <c r="HG50">
        <f ca="1"/>
      </c>
      <c r="HH50">
        <f ca="1"/>
      </c>
      <c r="HI50">
        <f ca="1"/>
      </c>
      <c r="HJ50">
        <f ca="1"/>
      </c>
      <c r="HK50">
        <f ca="1"/>
      </c>
      <c r="HL50">
        <f ca="1"/>
      </c>
      <c r="HM50">
        <f ca="1"/>
      </c>
      <c r="HN50">
        <f ca="1"/>
      </c>
      <c r="HO50">
        <f ca="1"/>
      </c>
      <c r="HP50">
        <f ca="1"/>
      </c>
      <c r="HQ50">
        <f ca="1"/>
      </c>
      <c r="HR50">
        <f ca="1"/>
      </c>
      <c r="HS50">
        <f ca="1"/>
      </c>
      <c r="HT50">
        <f ca="1"/>
      </c>
      <c r="HU50">
        <f ca="1"/>
      </c>
      <c r="HV50">
        <f ca="1"/>
      </c>
      <c r="HW50">
        <f ca="1"/>
      </c>
      <c r="HX50">
        <f ca="1"/>
      </c>
      <c r="HY50">
        <f ca="1"/>
      </c>
      <c r="HZ50">
        <f ca="1"/>
      </c>
      <c r="IA50">
        <f ca="1"/>
      </c>
      <c r="IB50">
        <f ca="1"/>
      </c>
      <c r="IC50">
        <f ca="1"/>
      </c>
      <c r="ID50">
        <f ca="1"/>
      </c>
      <c r="IE50">
        <f ca="1"/>
      </c>
      <c r="IF50">
        <f ca="1"/>
      </c>
      <c r="IG50">
        <f ca="1"/>
      </c>
      <c r="IH50">
        <f ca="1"/>
      </c>
      <c r="II50">
        <f ca="1"/>
      </c>
      <c r="IJ50">
        <f ca="1"/>
      </c>
      <c r="IK50">
        <f ca="1"/>
      </c>
      <c r="IL50">
        <f ca="1"/>
      </c>
      <c r="IM50">
        <f ca="1"/>
      </c>
      <c r="IN50">
        <f ca="1"/>
      </c>
      <c r="IO50">
        <f ca="1"/>
      </c>
      <c r="IP50">
        <f ca="1"/>
      </c>
      <c r="IQ50">
        <f ca="1"/>
      </c>
      <c r="IR50">
        <f ca="1"/>
      </c>
      <c r="IS50">
        <f ca="1"/>
      </c>
      <c r="IT50">
        <f ca="1"/>
      </c>
      <c r="IU50">
        <f ca="1"/>
      </c>
      <c r="IV50">
        <f ca="1"/>
      </c>
      <c r="IW50">
        <f ca="1"/>
      </c>
      <c r="IX50">
        <f ca="1"/>
      </c>
      <c r="IY50">
        <f ca="1"/>
      </c>
      <c r="IZ50">
        <f ca="1"/>
      </c>
      <c r="JA50">
        <f ca="1"/>
      </c>
      <c r="JB50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>
        <f ca="1"/>
      </c>
      <c r="H51" s="14">
        <f ca="1"/>
      </c>
      <c r="I51" s="14">
        <f ca="1"/>
      </c>
      <c r="J51" s="14">
        <f ca="1"/>
      </c>
      <c r="K51" s="14">
        <f ca="1"/>
      </c>
      <c r="L51" s="14">
        <f ca="1"/>
      </c>
      <c r="M51" s="14">
        <f ca="1"/>
      </c>
      <c r="N51" s="14">
        <f ca="1"/>
      </c>
      <c r="O51" s="14">
        <f ca="1"/>
      </c>
      <c r="P51" s="14">
        <f ca="1"/>
      </c>
      <c r="Q51" s="14">
        <f ca="1"/>
      </c>
      <c r="R51" s="14">
        <f ca="1"/>
      </c>
      <c r="S51" s="14"/>
      <c r="T51" s="14"/>
      <c r="U51" s="14"/>
      <c r="V51" s="14">
        <f ca="1"/>
      </c>
      <c r="W51" s="14">
        <f ca="1"/>
      </c>
      <c r="X51" s="14">
        <f ca="1"/>
      </c>
      <c r="Y51" s="14">
        <f ca="1"/>
      </c>
      <c r="Z51" s="14">
        <f ca="1"/>
      </c>
      <c r="AA51" s="14">
        <f ca="1"/>
      </c>
      <c r="AB51" s="14">
        <f ca="1"/>
      </c>
      <c r="AC51" s="14">
        <f ca="1"/>
      </c>
      <c r="AD51" s="14">
        <f ca="1"/>
      </c>
      <c r="AE51" s="14">
        <f ca="1"/>
      </c>
      <c r="AF51" s="14">
        <f ca="1"/>
      </c>
      <c r="AG51" s="14">
        <f ca="1"/>
      </c>
      <c r="AH51" s="14"/>
      <c r="AI51" s="14"/>
      <c r="AJ51" s="14"/>
      <c r="AK51" s="14"/>
      <c r="AL51" s="14"/>
      <c r="AM51" s="14"/>
      <c r="AN51" s="14"/>
      <c r="AO51" s="14"/>
      <c r="BF51">
        <f ca="1"/>
      </c>
      <c r="BG51">
        <f ca="1"/>
      </c>
      <c r="BI51">
        <f ca="1"/>
      </c>
      <c r="BJ51" s="11">
        <f ca="1"/>
      </c>
      <c r="BK51" s="11">
        <f ca="1"/>
      </c>
      <c r="BL51" s="11">
        <f ca="1"/>
      </c>
      <c r="BM51" s="11">
        <f ca="1"/>
      </c>
      <c r="BN51" s="1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J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F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B51">
        <f ca="1"/>
      </c>
      <c r="GC51">
        <f ca="1"/>
      </c>
      <c r="GD51">
        <f ca="1"/>
      </c>
      <c r="GE51">
        <f ca="1"/>
      </c>
      <c r="GF51">
        <f ca="1"/>
      </c>
      <c r="GG51">
        <f ca="1"/>
      </c>
      <c r="GH51">
        <f ca="1"/>
      </c>
      <c r="GI51">
        <f ca="1"/>
      </c>
      <c r="GJ51">
        <f ca="1"/>
      </c>
      <c r="GK51">
        <f ca="1"/>
      </c>
      <c r="GL51">
        <f ca="1"/>
      </c>
      <c r="GM51">
        <f ca="1"/>
      </c>
      <c r="GN51">
        <f ca="1"/>
      </c>
      <c r="GO51">
        <f ca="1"/>
      </c>
      <c r="GP51">
        <f ca="1"/>
      </c>
      <c r="GQ51">
        <f ca="1"/>
      </c>
      <c r="GR51">
        <f ca="1"/>
      </c>
      <c r="GS51">
        <f ca="1"/>
      </c>
      <c r="GT51">
        <f ca="1"/>
      </c>
      <c r="GU51">
        <f ca="1"/>
      </c>
      <c r="GV51">
        <f ca="1"/>
      </c>
      <c r="GW51">
        <f ca="1"/>
      </c>
      <c r="GX51">
        <f ca="1"/>
      </c>
      <c r="GY51">
        <f ca="1"/>
      </c>
      <c r="GZ51">
        <f ca="1"/>
      </c>
      <c r="HA51">
        <f ca="1"/>
      </c>
      <c r="HB51">
        <f ca="1"/>
      </c>
      <c r="HC51">
        <f ca="1"/>
      </c>
      <c r="HD51">
        <f ca="1"/>
      </c>
      <c r="HE51">
        <f ca="1"/>
      </c>
      <c r="HF51">
        <f ca="1"/>
      </c>
      <c r="HG51">
        <f ca="1"/>
      </c>
      <c r="HH51">
        <f ca="1"/>
      </c>
      <c r="HI51">
        <f ca="1"/>
      </c>
      <c r="HJ51">
        <f ca="1"/>
      </c>
      <c r="HK51">
        <f ca="1"/>
      </c>
      <c r="HL51">
        <f ca="1"/>
      </c>
      <c r="HM51">
        <f ca="1"/>
      </c>
      <c r="HN51">
        <f ca="1"/>
      </c>
      <c r="HO51">
        <f ca="1"/>
      </c>
      <c r="HP51">
        <f ca="1"/>
      </c>
      <c r="HQ51">
        <f ca="1"/>
      </c>
      <c r="HR51">
        <f ca="1"/>
      </c>
      <c r="HS51">
        <f ca="1"/>
      </c>
      <c r="HT51">
        <f ca="1"/>
      </c>
      <c r="HU51">
        <f ca="1"/>
      </c>
      <c r="HV51">
        <f ca="1"/>
      </c>
      <c r="HW51">
        <f ca="1"/>
      </c>
      <c r="HX51">
        <f ca="1"/>
      </c>
      <c r="HY51">
        <f ca="1"/>
      </c>
      <c r="HZ51">
        <f ca="1"/>
      </c>
      <c r="IA51">
        <f ca="1"/>
      </c>
      <c r="IB51">
        <f ca="1"/>
      </c>
      <c r="IC51">
        <f ca="1"/>
      </c>
      <c r="ID51">
        <f ca="1"/>
      </c>
      <c r="IE51">
        <f ca="1"/>
      </c>
      <c r="IF51">
        <f ca="1"/>
      </c>
      <c r="IG51">
        <f ca="1"/>
      </c>
      <c r="IH51">
        <f ca="1"/>
      </c>
      <c r="II51">
        <f ca="1"/>
      </c>
      <c r="IJ51">
        <f ca="1"/>
      </c>
      <c r="IK51">
        <f ca="1"/>
      </c>
      <c r="IL51">
        <f ca="1"/>
      </c>
      <c r="IM51">
        <f ca="1"/>
      </c>
      <c r="IN51">
        <f ca="1"/>
      </c>
      <c r="IO51">
        <f ca="1"/>
      </c>
      <c r="IP51">
        <f ca="1"/>
      </c>
      <c r="IQ51">
        <f ca="1"/>
      </c>
      <c r="IR51">
        <f ca="1"/>
      </c>
      <c r="IS51">
        <f ca="1"/>
      </c>
      <c r="IT51">
        <f ca="1"/>
      </c>
      <c r="IU51">
        <f ca="1"/>
      </c>
      <c r="IV51">
        <f ca="1"/>
      </c>
      <c r="IW51">
        <f ca="1"/>
      </c>
      <c r="IX51">
        <f ca="1"/>
      </c>
      <c r="IY51">
        <f ca="1"/>
      </c>
      <c r="IZ51">
        <f ca="1"/>
      </c>
      <c r="JA51">
        <f ca="1"/>
      </c>
      <c r="JB5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F52">
        <f ca="1"/>
      </c>
      <c r="BG52">
        <f ca="1"/>
      </c>
      <c r="BI52">
        <f ca="1"/>
      </c>
      <c r="BJ52" s="11">
        <f ca="1"/>
      </c>
      <c r="BK52" s="11">
        <f ca="1"/>
      </c>
      <c r="BL52" s="11">
        <f ca="1"/>
      </c>
      <c r="BM52" s="11">
        <f ca="1"/>
      </c>
      <c r="BN52" s="11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J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F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B52">
        <f ca="1"/>
      </c>
      <c r="GC52">
        <f ca="1"/>
      </c>
      <c r="GD52">
        <f ca="1"/>
      </c>
      <c r="GE52">
        <f ca="1"/>
      </c>
      <c r="GF52">
        <f ca="1"/>
      </c>
      <c r="GG52">
        <f ca="1"/>
      </c>
      <c r="GH52">
        <f ca="1"/>
      </c>
      <c r="GI52">
        <f ca="1"/>
      </c>
      <c r="GJ52">
        <f ca="1"/>
      </c>
      <c r="GK52">
        <f ca="1"/>
      </c>
      <c r="GL52">
        <f ca="1"/>
      </c>
      <c r="GM52">
        <f ca="1"/>
      </c>
      <c r="GN52">
        <f ca="1"/>
      </c>
      <c r="GO52">
        <f ca="1"/>
      </c>
      <c r="GP52">
        <f ca="1"/>
      </c>
      <c r="GQ52">
        <f ca="1"/>
      </c>
      <c r="GR52">
        <f ca="1"/>
      </c>
      <c r="GS52">
        <f ca="1"/>
      </c>
      <c r="GT52">
        <f ca="1"/>
      </c>
      <c r="GU52">
        <f ca="1"/>
      </c>
      <c r="GV52">
        <f ca="1"/>
      </c>
      <c r="GW52">
        <f ca="1"/>
      </c>
      <c r="GX52">
        <f ca="1"/>
      </c>
      <c r="GY52">
        <f ca="1"/>
      </c>
      <c r="GZ52">
        <f ca="1"/>
      </c>
      <c r="HA52">
        <f ca="1"/>
      </c>
      <c r="HB52">
        <f ca="1"/>
      </c>
      <c r="HC52">
        <f ca="1"/>
      </c>
      <c r="HD52">
        <f ca="1"/>
      </c>
      <c r="HE52">
        <f ca="1"/>
      </c>
      <c r="HF52">
        <f ca="1"/>
      </c>
      <c r="HG52">
        <f ca="1"/>
      </c>
      <c r="HH52">
        <f ca="1"/>
      </c>
      <c r="HI52">
        <f ca="1"/>
      </c>
      <c r="HJ52">
        <f ca="1"/>
      </c>
      <c r="HK52">
        <f ca="1"/>
      </c>
      <c r="HL52">
        <f ca="1"/>
      </c>
      <c r="HM52">
        <f ca="1"/>
      </c>
      <c r="HN52">
        <f ca="1"/>
      </c>
      <c r="HO52">
        <f ca="1"/>
      </c>
      <c r="HP52">
        <f ca="1"/>
      </c>
      <c r="HQ52">
        <f ca="1"/>
      </c>
      <c r="HR52">
        <f ca="1"/>
      </c>
      <c r="HS52">
        <f ca="1"/>
      </c>
      <c r="HT52">
        <f ca="1"/>
      </c>
      <c r="HU52">
        <f ca="1"/>
      </c>
      <c r="HV52">
        <f ca="1"/>
      </c>
      <c r="HW52">
        <f ca="1"/>
      </c>
      <c r="HX52">
        <f ca="1"/>
      </c>
      <c r="HY52">
        <f ca="1"/>
      </c>
      <c r="HZ52">
        <f ca="1"/>
      </c>
      <c r="IA52">
        <f ca="1"/>
      </c>
      <c r="IB52">
        <f ca="1"/>
      </c>
      <c r="IC52">
        <f ca="1"/>
      </c>
      <c r="ID52">
        <f ca="1"/>
      </c>
      <c r="IE52">
        <f ca="1"/>
      </c>
      <c r="IF52">
        <f ca="1"/>
      </c>
      <c r="IG52">
        <f ca="1"/>
      </c>
      <c r="IH52">
        <f ca="1"/>
      </c>
      <c r="II52">
        <f ca="1"/>
      </c>
      <c r="IJ52">
        <f ca="1"/>
      </c>
      <c r="IK52">
        <f ca="1"/>
      </c>
      <c r="IL52">
        <f ca="1"/>
      </c>
      <c r="IM52">
        <f ca="1"/>
      </c>
      <c r="IN52">
        <f ca="1"/>
      </c>
      <c r="IO52">
        <f ca="1"/>
      </c>
      <c r="IP52">
        <f ca="1"/>
      </c>
      <c r="IQ52">
        <f ca="1"/>
      </c>
      <c r="IR52">
        <f ca="1"/>
      </c>
      <c r="IS52">
        <f ca="1"/>
      </c>
      <c r="IT52">
        <f ca="1"/>
      </c>
      <c r="IU52">
        <f ca="1"/>
      </c>
      <c r="IV52">
        <f ca="1"/>
      </c>
      <c r="IW52">
        <f ca="1"/>
      </c>
      <c r="IX52">
        <f ca="1"/>
      </c>
      <c r="IY52">
        <f ca="1"/>
      </c>
      <c r="IZ52">
        <f ca="1"/>
      </c>
      <c r="JA52">
        <f ca="1"/>
      </c>
      <c r="JB52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F53">
        <f ca="1"/>
      </c>
      <c r="BG53">
        <f ca="1"/>
      </c>
      <c r="BI53">
        <f ca="1"/>
      </c>
      <c r="BJ53" s="11">
        <f ca="1"/>
      </c>
      <c r="BK53" s="11">
        <f ca="1"/>
      </c>
      <c r="BL53" s="11">
        <f ca="1"/>
      </c>
      <c r="BM53" s="11">
        <f ca="1"/>
      </c>
      <c r="BN53" s="11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J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F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B53">
        <f ca="1"/>
      </c>
      <c r="GC53">
        <f ca="1"/>
      </c>
      <c r="GD53">
        <f ca="1"/>
      </c>
      <c r="GE53">
        <f ca="1"/>
      </c>
      <c r="GF53">
        <f ca="1"/>
      </c>
      <c r="GG53">
        <f ca="1"/>
      </c>
      <c r="GH53">
        <f ca="1"/>
      </c>
      <c r="GI53">
        <f ca="1"/>
      </c>
      <c r="GJ53">
        <f ca="1"/>
      </c>
      <c r="GK53">
        <f ca="1"/>
      </c>
      <c r="GL53">
        <f ca="1"/>
      </c>
      <c r="GM53">
        <f ca="1"/>
      </c>
      <c r="GN53">
        <f ca="1"/>
      </c>
      <c r="GO53">
        <f ca="1"/>
      </c>
      <c r="GP53">
        <f ca="1"/>
      </c>
      <c r="GQ53">
        <f ca="1"/>
      </c>
      <c r="GR53">
        <f ca="1"/>
      </c>
      <c r="GS53">
        <f ca="1"/>
      </c>
      <c r="GT53">
        <f ca="1"/>
      </c>
      <c r="GU53">
        <f ca="1"/>
      </c>
      <c r="GV53">
        <f ca="1"/>
      </c>
      <c r="GW53">
        <f ca="1"/>
      </c>
      <c r="GX53">
        <f ca="1"/>
      </c>
      <c r="GY53">
        <f ca="1"/>
      </c>
      <c r="GZ53">
        <f ca="1"/>
      </c>
      <c r="HA53">
        <f ca="1"/>
      </c>
      <c r="HB53">
        <f ca="1"/>
      </c>
      <c r="HC53">
        <f ca="1"/>
      </c>
      <c r="HD53">
        <f ca="1"/>
      </c>
      <c r="HE53">
        <f ca="1"/>
      </c>
      <c r="HF53">
        <f ca="1"/>
      </c>
      <c r="HG53">
        <f ca="1"/>
      </c>
      <c r="HH53">
        <f ca="1"/>
      </c>
      <c r="HI53">
        <f ca="1"/>
      </c>
      <c r="HJ53">
        <f ca="1"/>
      </c>
      <c r="HK53">
        <f ca="1"/>
      </c>
      <c r="HL53">
        <f ca="1"/>
      </c>
      <c r="HM53">
        <f ca="1"/>
      </c>
      <c r="HN53">
        <f ca="1"/>
      </c>
      <c r="HO53">
        <f ca="1"/>
      </c>
      <c r="HP53">
        <f ca="1"/>
      </c>
      <c r="HQ53">
        <f ca="1"/>
      </c>
      <c r="HR53">
        <f ca="1"/>
      </c>
      <c r="HS53">
        <f ca="1"/>
      </c>
      <c r="HT53">
        <f ca="1"/>
      </c>
      <c r="HU53">
        <f ca="1"/>
      </c>
      <c r="HV53">
        <f ca="1"/>
      </c>
      <c r="HW53">
        <f ca="1"/>
      </c>
      <c r="HX53">
        <f ca="1"/>
      </c>
      <c r="HY53">
        <f ca="1"/>
      </c>
      <c r="HZ53">
        <f ca="1"/>
      </c>
      <c r="IA53">
        <f ca="1"/>
      </c>
      <c r="IB53">
        <f ca="1"/>
      </c>
      <c r="IC53">
        <f ca="1"/>
      </c>
      <c r="ID53">
        <f ca="1"/>
      </c>
      <c r="IE53">
        <f ca="1"/>
      </c>
      <c r="IF53">
        <f ca="1"/>
      </c>
      <c r="IG53">
        <f ca="1"/>
      </c>
      <c r="IH53">
        <f ca="1"/>
      </c>
      <c r="II53">
        <f ca="1"/>
      </c>
      <c r="IJ53">
        <f ca="1"/>
      </c>
      <c r="IK53">
        <f ca="1"/>
      </c>
      <c r="IL53">
        <f ca="1"/>
      </c>
      <c r="IM53">
        <f ca="1"/>
      </c>
      <c r="IN53">
        <f ca="1"/>
      </c>
      <c r="IO53">
        <f ca="1"/>
      </c>
      <c r="IP53">
        <f ca="1"/>
      </c>
      <c r="IQ53">
        <f ca="1"/>
      </c>
      <c r="IR53">
        <f ca="1"/>
      </c>
      <c r="IS53">
        <f ca="1"/>
      </c>
      <c r="IT53">
        <f ca="1"/>
      </c>
      <c r="IU53">
        <f ca="1"/>
      </c>
      <c r="IV53">
        <f ca="1"/>
      </c>
      <c r="IW53">
        <f ca="1"/>
      </c>
      <c r="IX53">
        <f ca="1"/>
      </c>
      <c r="IY53">
        <f ca="1"/>
      </c>
      <c r="IZ53">
        <f ca="1"/>
      </c>
      <c r="JA53">
        <f ca="1"/>
      </c>
      <c r="JB53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F54">
        <f ca="1"/>
      </c>
      <c r="BG54">
        <f ca="1"/>
      </c>
      <c r="BI54">
        <f ca="1"/>
      </c>
      <c r="BJ54" s="11">
        <f ca="1"/>
      </c>
      <c r="BK54" s="11">
        <f ca="1"/>
      </c>
      <c r="BL54" s="11">
        <f ca="1"/>
      </c>
      <c r="BM54" s="11">
        <f ca="1"/>
      </c>
      <c r="BN54" s="11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J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F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B54">
        <f ca="1"/>
      </c>
      <c r="GC54">
        <f ca="1"/>
      </c>
      <c r="GD54">
        <f ca="1"/>
      </c>
      <c r="GE54">
        <f ca="1"/>
      </c>
      <c r="GF54">
        <f ca="1"/>
      </c>
      <c r="GG54">
        <f ca="1"/>
      </c>
      <c r="GH54">
        <f ca="1"/>
      </c>
      <c r="GI54">
        <f ca="1"/>
      </c>
      <c r="GJ54">
        <f ca="1"/>
      </c>
      <c r="GK54">
        <f ca="1"/>
      </c>
      <c r="GL54">
        <f ca="1"/>
      </c>
      <c r="GM54">
        <f ca="1"/>
      </c>
      <c r="GN54">
        <f ca="1"/>
      </c>
      <c r="GO54">
        <f ca="1"/>
      </c>
      <c r="GP54">
        <f ca="1"/>
      </c>
      <c r="GQ54">
        <f ca="1"/>
      </c>
      <c r="GR54">
        <f ca="1"/>
      </c>
      <c r="GS54">
        <f ca="1"/>
      </c>
      <c r="GT54">
        <f ca="1"/>
      </c>
      <c r="GU54">
        <f ca="1"/>
      </c>
      <c r="GV54">
        <f ca="1"/>
      </c>
      <c r="GW54">
        <f ca="1"/>
      </c>
      <c r="GX54">
        <f ca="1"/>
      </c>
      <c r="GY54">
        <f ca="1"/>
      </c>
      <c r="GZ54">
        <f ca="1"/>
      </c>
      <c r="HA54">
        <f ca="1"/>
      </c>
      <c r="HB54">
        <f ca="1"/>
      </c>
      <c r="HC54">
        <f ca="1"/>
      </c>
      <c r="HD54">
        <f ca="1"/>
      </c>
      <c r="HE54">
        <f ca="1"/>
      </c>
      <c r="HF54">
        <f ca="1"/>
      </c>
      <c r="HG54">
        <f ca="1"/>
      </c>
      <c r="HH54">
        <f ca="1"/>
      </c>
      <c r="HI54">
        <f ca="1"/>
      </c>
      <c r="HJ54">
        <f ca="1"/>
      </c>
      <c r="HK54">
        <f ca="1"/>
      </c>
      <c r="HL54">
        <f ca="1"/>
      </c>
      <c r="HM54">
        <f ca="1"/>
      </c>
      <c r="HN54">
        <f ca="1"/>
      </c>
      <c r="HO54">
        <f ca="1"/>
      </c>
      <c r="HP54">
        <f ca="1"/>
      </c>
      <c r="HQ54">
        <f ca="1"/>
      </c>
      <c r="HR54">
        <f ca="1"/>
      </c>
      <c r="HS54">
        <f ca="1"/>
      </c>
      <c r="HT54">
        <f ca="1"/>
      </c>
      <c r="HU54">
        <f ca="1"/>
      </c>
      <c r="HV54">
        <f ca="1"/>
      </c>
      <c r="HW54">
        <f ca="1"/>
      </c>
      <c r="HX54">
        <f ca="1"/>
      </c>
      <c r="HY54">
        <f ca="1"/>
      </c>
      <c r="HZ54">
        <f ca="1"/>
      </c>
      <c r="IA54">
        <f ca="1"/>
      </c>
      <c r="IB54">
        <f ca="1"/>
      </c>
      <c r="IC54">
        <f ca="1"/>
      </c>
      <c r="ID54">
        <f ca="1"/>
      </c>
      <c r="IE54">
        <f ca="1"/>
      </c>
      <c r="IF54">
        <f ca="1"/>
      </c>
      <c r="IG54">
        <f ca="1"/>
      </c>
      <c r="IH54">
        <f ca="1"/>
      </c>
      <c r="II54">
        <f ca="1"/>
      </c>
      <c r="IJ54">
        <f ca="1"/>
      </c>
      <c r="IK54">
        <f ca="1"/>
      </c>
      <c r="IL54">
        <f ca="1"/>
      </c>
      <c r="IM54">
        <f ca="1"/>
      </c>
      <c r="IN54">
        <f ca="1"/>
      </c>
      <c r="IO54">
        <f ca="1"/>
      </c>
      <c r="IP54">
        <f ca="1"/>
      </c>
      <c r="IQ54">
        <f ca="1"/>
      </c>
      <c r="IR54">
        <f ca="1"/>
      </c>
      <c r="IS54">
        <f ca="1"/>
      </c>
      <c r="IT54">
        <f ca="1"/>
      </c>
      <c r="IU54">
        <f ca="1"/>
      </c>
      <c r="IV54">
        <f ca="1"/>
      </c>
      <c r="IW54">
        <f ca="1"/>
      </c>
      <c r="IX54">
        <f ca="1"/>
      </c>
      <c r="IY54">
        <f ca="1"/>
      </c>
      <c r="IZ54">
        <f ca="1"/>
      </c>
      <c r="JA54">
        <f ca="1"/>
      </c>
      <c r="JB54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F55">
        <f ca="1"/>
      </c>
      <c r="BG55">
        <f ca="1"/>
      </c>
      <c r="BI55">
        <f ca="1"/>
      </c>
      <c r="BJ55" s="11">
        <f ca="1"/>
      </c>
      <c r="BK55" s="11">
        <f ca="1"/>
      </c>
      <c r="BL55" s="11">
        <f ca="1"/>
      </c>
      <c r="BM55" s="11">
        <f ca="1"/>
      </c>
      <c r="BN55" s="11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J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F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B55">
        <f ca="1"/>
      </c>
      <c r="GC55">
        <f ca="1"/>
      </c>
      <c r="GD55">
        <f ca="1"/>
      </c>
      <c r="GE55">
        <f ca="1"/>
      </c>
      <c r="GF55">
        <f ca="1"/>
      </c>
      <c r="GG55">
        <f ca="1"/>
      </c>
      <c r="GH55">
        <f ca="1"/>
      </c>
      <c r="GI55">
        <f ca="1"/>
      </c>
      <c r="GJ55">
        <f ca="1"/>
      </c>
      <c r="GK55">
        <f ca="1"/>
      </c>
      <c r="GL55">
        <f ca="1"/>
      </c>
      <c r="GM55">
        <f ca="1"/>
      </c>
      <c r="GN55">
        <f ca="1"/>
      </c>
      <c r="GO55">
        <f ca="1"/>
      </c>
      <c r="GP55">
        <f ca="1"/>
      </c>
      <c r="GQ55">
        <f ca="1"/>
      </c>
      <c r="GR55">
        <f ca="1"/>
      </c>
      <c r="GS55">
        <f ca="1"/>
      </c>
      <c r="GT55">
        <f ca="1"/>
      </c>
      <c r="GU55">
        <f ca="1"/>
      </c>
      <c r="GV55">
        <f ca="1"/>
      </c>
      <c r="GW55">
        <f ca="1"/>
      </c>
      <c r="GX55">
        <f ca="1"/>
      </c>
      <c r="GY55">
        <f ca="1"/>
      </c>
      <c r="GZ55">
        <f ca="1"/>
      </c>
      <c r="HA55">
        <f ca="1"/>
      </c>
      <c r="HB55">
        <f ca="1"/>
      </c>
      <c r="HC55">
        <f ca="1"/>
      </c>
      <c r="HD55">
        <f ca="1"/>
      </c>
      <c r="HE55">
        <f ca="1"/>
      </c>
      <c r="HF55">
        <f ca="1"/>
      </c>
      <c r="HG55">
        <f ca="1"/>
      </c>
      <c r="HH55">
        <f ca="1"/>
      </c>
      <c r="HI55">
        <f ca="1"/>
      </c>
      <c r="HJ55">
        <f ca="1"/>
      </c>
      <c r="HK55">
        <f ca="1"/>
      </c>
      <c r="HL55">
        <f ca="1"/>
      </c>
      <c r="HM55">
        <f ca="1"/>
      </c>
      <c r="HN55">
        <f ca="1"/>
      </c>
      <c r="HO55">
        <f ca="1"/>
      </c>
      <c r="HP55">
        <f ca="1"/>
      </c>
      <c r="HQ55">
        <f ca="1"/>
      </c>
      <c r="HR55">
        <f ca="1"/>
      </c>
      <c r="HS55">
        <f ca="1"/>
      </c>
      <c r="HT55">
        <f ca="1"/>
      </c>
      <c r="HU55">
        <f ca="1"/>
      </c>
      <c r="HV55">
        <f ca="1"/>
      </c>
      <c r="HW55">
        <f ca="1"/>
      </c>
      <c r="HX55">
        <f ca="1"/>
      </c>
      <c r="HY55">
        <f ca="1"/>
      </c>
      <c r="HZ55">
        <f ca="1"/>
      </c>
      <c r="IA55">
        <f ca="1"/>
      </c>
      <c r="IB55">
        <f ca="1"/>
      </c>
      <c r="IC55">
        <f ca="1"/>
      </c>
      <c r="ID55">
        <f ca="1"/>
      </c>
      <c r="IE55">
        <f ca="1"/>
      </c>
      <c r="IF55">
        <f ca="1"/>
      </c>
      <c r="IG55">
        <f ca="1"/>
      </c>
      <c r="IH55">
        <f ca="1"/>
      </c>
      <c r="II55">
        <f ca="1"/>
      </c>
      <c r="IJ55">
        <f ca="1"/>
      </c>
      <c r="IK55">
        <f ca="1"/>
      </c>
      <c r="IL55">
        <f ca="1"/>
      </c>
      <c r="IM55">
        <f ca="1"/>
      </c>
      <c r="IN55">
        <f ca="1"/>
      </c>
      <c r="IO55">
        <f ca="1"/>
      </c>
      <c r="IP55">
        <f ca="1"/>
      </c>
      <c r="IQ55">
        <f ca="1"/>
      </c>
      <c r="IR55">
        <f ca="1"/>
      </c>
      <c r="IS55">
        <f ca="1"/>
      </c>
      <c r="IT55">
        <f ca="1"/>
      </c>
      <c r="IU55">
        <f ca="1"/>
      </c>
      <c r="IV55">
        <f ca="1"/>
      </c>
      <c r="IW55">
        <f ca="1"/>
      </c>
      <c r="IX55">
        <f ca="1"/>
      </c>
      <c r="IY55">
        <f ca="1"/>
      </c>
      <c r="IZ55">
        <f ca="1"/>
      </c>
      <c r="JA55">
        <f ca="1"/>
      </c>
      <c r="JB55">
        <f ca="1"/>
      </c>
      <c r="LA55">
        <f ca="1"/>
      </c>
      <c r="LB55">
        <f ca="1"/>
      </c>
      <c r="LC55">
        <f ca="1"/>
      </c>
    </row>
    <row r="56" spans="6:315" x14ac:dyDescent="0.55000000000000004">
      <c r="BF56">
        <f ca="1"/>
      </c>
      <c r="BG56">
        <f ca="1"/>
      </c>
      <c r="BI56">
        <f ca="1"/>
      </c>
      <c r="BJ56" s="11">
        <f ca="1"/>
      </c>
      <c r="BK56" s="11">
        <f ca="1"/>
      </c>
      <c r="BL56" s="11">
        <f ca="1"/>
      </c>
      <c r="BM56" s="11">
        <f ca="1"/>
      </c>
      <c r="BN56" s="11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J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F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B56">
        <f ca="1"/>
      </c>
      <c r="GC56">
        <f ca="1"/>
      </c>
      <c r="GD56">
        <f ca="1"/>
      </c>
      <c r="GE56">
        <f ca="1"/>
      </c>
      <c r="GF56">
        <f ca="1"/>
      </c>
      <c r="GG56">
        <f ca="1"/>
      </c>
      <c r="GH56">
        <f ca="1"/>
      </c>
      <c r="GI56">
        <f ca="1"/>
      </c>
      <c r="GJ56">
        <f ca="1"/>
      </c>
      <c r="GK56">
        <f ca="1"/>
      </c>
      <c r="GL56">
        <f ca="1"/>
      </c>
      <c r="GM56">
        <f ca="1"/>
      </c>
      <c r="GN56">
        <f ca="1"/>
      </c>
      <c r="GO56">
        <f ca="1"/>
      </c>
      <c r="GP56">
        <f ca="1"/>
      </c>
      <c r="GQ56">
        <f ca="1"/>
      </c>
      <c r="GR56">
        <f ca="1"/>
      </c>
      <c r="GS56">
        <f ca="1"/>
      </c>
      <c r="GT56">
        <f ca="1"/>
      </c>
      <c r="GU56">
        <f ca="1"/>
      </c>
      <c r="GV56">
        <f ca="1"/>
      </c>
      <c r="GW56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C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R56">
        <f ca="1"/>
      </c>
      <c r="HS56">
        <f ca="1"/>
      </c>
      <c r="HT56">
        <f ca="1"/>
      </c>
      <c r="HU56">
        <f ca="1"/>
      </c>
      <c r="HV56">
        <f ca="1"/>
      </c>
      <c r="HW56">
        <f ca="1"/>
      </c>
      <c r="HX56">
        <f ca="1"/>
      </c>
      <c r="HY56">
        <f ca="1"/>
      </c>
      <c r="HZ56">
        <f ca="1"/>
      </c>
      <c r="IA56">
        <f ca="1"/>
      </c>
      <c r="IB56">
        <f ca="1"/>
      </c>
      <c r="IC56">
        <f ca="1"/>
      </c>
      <c r="ID56">
        <f ca="1"/>
      </c>
      <c r="IE56">
        <f ca="1"/>
      </c>
      <c r="IF56">
        <f ca="1"/>
      </c>
      <c r="IG56">
        <f ca="1"/>
      </c>
      <c r="IH56">
        <f ca="1"/>
      </c>
      <c r="II56">
        <f ca="1"/>
      </c>
      <c r="IJ56">
        <f ca="1"/>
      </c>
      <c r="IK56">
        <f ca="1"/>
      </c>
      <c r="IL56">
        <f ca="1"/>
      </c>
      <c r="IM56">
        <f ca="1"/>
      </c>
      <c r="IN56">
        <f ca="1"/>
      </c>
      <c r="IO56">
        <f ca="1"/>
      </c>
      <c r="IP56">
        <f ca="1"/>
      </c>
      <c r="IQ56">
        <f ca="1"/>
      </c>
      <c r="IR56">
        <f ca="1"/>
      </c>
      <c r="IS56">
        <f ca="1"/>
      </c>
      <c r="IT56">
        <f ca="1"/>
      </c>
      <c r="IU56">
        <f ca="1"/>
      </c>
      <c r="IV56">
        <f ca="1"/>
      </c>
      <c r="IW56">
        <f ca="1"/>
      </c>
      <c r="IX56">
        <f ca="1"/>
      </c>
      <c r="IY56">
        <f ca="1"/>
      </c>
      <c r="IZ56">
        <f ca="1"/>
      </c>
      <c r="JA56">
        <f ca="1"/>
      </c>
      <c r="JB56">
        <f ca="1"/>
      </c>
      <c r="LA56">
        <f ca="1"/>
      </c>
      <c r="LB56">
        <f ca="1"/>
      </c>
      <c r="LC56">
        <f ca="1"/>
      </c>
    </row>
    <row r="57" spans="6:315" x14ac:dyDescent="0.55000000000000004">
      <c r="BF57">
        <f ca="1"/>
      </c>
      <c r="BG57">
        <f ca="1"/>
      </c>
      <c r="BI57">
        <f ca="1"/>
      </c>
      <c r="BJ57" s="11">
        <f ca="1"/>
      </c>
      <c r="BK57" s="11">
        <f ca="1"/>
      </c>
      <c r="BL57" s="11">
        <f ca="1"/>
      </c>
      <c r="BM57" s="11">
        <f ca="1"/>
      </c>
      <c r="BN57" s="11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J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F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B57">
        <f ca="1"/>
      </c>
      <c r="GC57">
        <f ca="1"/>
      </c>
      <c r="GD57">
        <f ca="1"/>
      </c>
      <c r="GE57">
        <f ca="1"/>
      </c>
      <c r="GF57">
        <f ca="1"/>
      </c>
      <c r="GG57">
        <f ca="1"/>
      </c>
      <c r="GH57">
        <f ca="1"/>
      </c>
      <c r="GI57">
        <f ca="1"/>
      </c>
      <c r="GJ57">
        <f ca="1"/>
      </c>
      <c r="GK57">
        <f ca="1"/>
      </c>
      <c r="GL57">
        <f ca="1"/>
      </c>
      <c r="GM57">
        <f ca="1"/>
      </c>
      <c r="GN57">
        <f ca="1"/>
      </c>
      <c r="GO57">
        <f ca="1"/>
      </c>
      <c r="GP57">
        <f ca="1"/>
      </c>
      <c r="GQ57">
        <f ca="1"/>
      </c>
      <c r="GR57">
        <f ca="1"/>
      </c>
      <c r="GS57">
        <f ca="1"/>
      </c>
      <c r="GT57">
        <f ca="1"/>
      </c>
      <c r="GU57">
        <f ca="1"/>
      </c>
      <c r="GV57">
        <f ca="1"/>
      </c>
      <c r="GW57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C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R57">
        <f ca="1"/>
      </c>
      <c r="HS57">
        <f ca="1"/>
      </c>
      <c r="HT57">
        <f ca="1"/>
      </c>
      <c r="HU57">
        <f ca="1"/>
      </c>
      <c r="HV57">
        <f ca="1"/>
      </c>
      <c r="HW57">
        <f ca="1"/>
      </c>
      <c r="HX57">
        <f ca="1"/>
      </c>
      <c r="HY57">
        <f ca="1"/>
      </c>
      <c r="HZ57">
        <f ca="1"/>
      </c>
      <c r="IA57">
        <f ca="1"/>
      </c>
      <c r="IB57">
        <f ca="1"/>
      </c>
      <c r="IC57">
        <f ca="1"/>
      </c>
      <c r="ID57">
        <f ca="1"/>
      </c>
      <c r="IE57">
        <f ca="1"/>
      </c>
      <c r="IF57">
        <f ca="1"/>
      </c>
      <c r="IG57">
        <f ca="1"/>
      </c>
      <c r="IH57">
        <f ca="1"/>
      </c>
      <c r="II57">
        <f ca="1"/>
      </c>
      <c r="IJ57">
        <f ca="1"/>
      </c>
      <c r="IK57">
        <f ca="1"/>
      </c>
      <c r="IL57">
        <f ca="1"/>
      </c>
      <c r="IM57">
        <f ca="1"/>
      </c>
      <c r="IN57">
        <f ca="1"/>
      </c>
      <c r="IO57">
        <f ca="1"/>
      </c>
      <c r="IP57">
        <f ca="1"/>
      </c>
      <c r="IQ57">
        <f ca="1"/>
      </c>
      <c r="IR57">
        <f ca="1"/>
      </c>
      <c r="IS57">
        <f ca="1"/>
      </c>
      <c r="IT57">
        <f ca="1"/>
      </c>
      <c r="IU57">
        <f ca="1"/>
      </c>
      <c r="IV57">
        <f ca="1"/>
      </c>
      <c r="IW57">
        <f ca="1"/>
      </c>
      <c r="IX57">
        <f ca="1"/>
      </c>
      <c r="IY57">
        <f ca="1"/>
      </c>
      <c r="IZ57">
        <f ca="1"/>
      </c>
      <c r="JA57">
        <f ca="1"/>
      </c>
      <c r="JB57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250</v>
      </c>
      <c r="U58" s="4" t="s">
        <v>251</v>
      </c>
      <c r="AJ58" s="4" t="s">
        <v>252</v>
      </c>
      <c r="BF58">
        <f ca="1"/>
      </c>
      <c r="BG58">
        <f ca="1"/>
      </c>
      <c r="BI58">
        <f ca="1"/>
      </c>
      <c r="BJ58" s="11">
        <f ca="1"/>
      </c>
      <c r="BK58" s="11">
        <f ca="1"/>
      </c>
      <c r="BL58" s="11">
        <f ca="1"/>
      </c>
      <c r="BM58" s="11">
        <f ca="1"/>
      </c>
      <c r="BN58" s="11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J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F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B58">
        <f ca="1"/>
      </c>
      <c r="GC58">
        <f ca="1"/>
      </c>
      <c r="GD58">
        <f ca="1"/>
      </c>
      <c r="GE58">
        <f ca="1"/>
      </c>
      <c r="GF58">
        <f ca="1"/>
      </c>
      <c r="GG58">
        <f ca="1"/>
      </c>
      <c r="GH58">
        <f ca="1"/>
      </c>
      <c r="GI58">
        <f ca="1"/>
      </c>
      <c r="GJ58">
        <f ca="1"/>
      </c>
      <c r="GK58">
        <f ca="1"/>
      </c>
      <c r="GL58">
        <f ca="1"/>
      </c>
      <c r="GM58">
        <f ca="1"/>
      </c>
      <c r="GN58">
        <f ca="1"/>
      </c>
      <c r="GO58">
        <f ca="1"/>
      </c>
      <c r="GP58">
        <f ca="1"/>
      </c>
      <c r="GQ58">
        <f ca="1"/>
      </c>
      <c r="GR58">
        <f ca="1"/>
      </c>
      <c r="GS58">
        <f ca="1"/>
      </c>
      <c r="GT58">
        <f ca="1"/>
      </c>
      <c r="GU58">
        <f ca="1"/>
      </c>
      <c r="GV58">
        <f ca="1"/>
      </c>
      <c r="GW58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C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R58">
        <f ca="1"/>
      </c>
      <c r="HS58">
        <f ca="1"/>
      </c>
      <c r="HT58">
        <f ca="1"/>
      </c>
      <c r="HU58">
        <f ca="1"/>
      </c>
      <c r="HV58">
        <f ca="1"/>
      </c>
      <c r="HW58">
        <f ca="1"/>
      </c>
      <c r="HX58">
        <f ca="1"/>
      </c>
      <c r="HY58">
        <f ca="1"/>
      </c>
      <c r="HZ58">
        <f ca="1"/>
      </c>
      <c r="IA58">
        <f ca="1"/>
      </c>
      <c r="IB58">
        <f ca="1"/>
      </c>
      <c r="IC58">
        <f ca="1"/>
      </c>
      <c r="ID58">
        <f ca="1"/>
      </c>
      <c r="IE58">
        <f ca="1"/>
      </c>
      <c r="IF58">
        <f ca="1"/>
      </c>
      <c r="IG58">
        <f ca="1"/>
      </c>
      <c r="IH58">
        <f ca="1"/>
      </c>
      <c r="II58">
        <f ca="1"/>
      </c>
      <c r="IJ58">
        <f ca="1"/>
      </c>
      <c r="IK58">
        <f ca="1"/>
      </c>
      <c r="IL58">
        <f ca="1"/>
      </c>
      <c r="IM58">
        <f ca="1"/>
      </c>
      <c r="IN58">
        <f ca="1"/>
      </c>
      <c r="IO58">
        <f ca="1"/>
      </c>
      <c r="IP58">
        <f ca="1"/>
      </c>
      <c r="IQ58">
        <f ca="1"/>
      </c>
      <c r="IR58">
        <f ca="1"/>
      </c>
      <c r="IS58">
        <f ca="1"/>
      </c>
      <c r="IT58">
        <f ca="1"/>
      </c>
      <c r="IU58">
        <f ca="1"/>
      </c>
      <c r="IV58">
        <f ca="1"/>
      </c>
      <c r="IW58">
        <f ca="1"/>
      </c>
      <c r="IX58">
        <f ca="1"/>
      </c>
      <c r="IY58">
        <f ca="1"/>
      </c>
      <c r="IZ58">
        <f ca="1"/>
      </c>
      <c r="JA58">
        <f ca="1"/>
      </c>
      <c r="JB58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245</v>
      </c>
      <c r="G59" cm="1">
        <f t="array" ref="G59:R59">TRANSPOSE(VOL_Tenors)</f>
      </c>
      <c r="U59" s="5" t="s">
        <v>245</v>
      </c>
      <c r="V59" cm="1">
        <f t="array" ref="V59:AG59">TRANSPOSE(VOL_Tenors)</f>
      </c>
      <c r="AJ59" s="5" t="s">
        <v>245</v>
      </c>
      <c r="AK59" cm="1">
        <f t="array" ref="AK59:AV59">TRANSPOSE(VOL_Tenors)</f>
      </c>
      <c r="BF59">
        <f ca="1"/>
      </c>
      <c r="BG59">
        <f ca="1"/>
      </c>
      <c r="BI59">
        <f ca="1"/>
      </c>
      <c r="BJ59" s="11">
        <f ca="1"/>
      </c>
      <c r="BK59" s="11">
        <f ca="1"/>
      </c>
      <c r="BL59" s="11">
        <f ca="1"/>
      </c>
      <c r="BM59" s="11">
        <f ca="1"/>
      </c>
      <c r="BN59" s="11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J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F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B59">
        <f ca="1"/>
      </c>
      <c r="GC59">
        <f ca="1"/>
      </c>
      <c r="GD59">
        <f ca="1"/>
      </c>
      <c r="GE59">
        <f ca="1"/>
      </c>
      <c r="GF59">
        <f ca="1"/>
      </c>
      <c r="GG59">
        <f ca="1"/>
      </c>
      <c r="GH59">
        <f ca="1"/>
      </c>
      <c r="GI59">
        <f ca="1"/>
      </c>
      <c r="GJ59">
        <f ca="1"/>
      </c>
      <c r="GK59">
        <f ca="1"/>
      </c>
      <c r="GL59">
        <f ca="1"/>
      </c>
      <c r="GM59">
        <f ca="1"/>
      </c>
      <c r="GN59">
        <f ca="1"/>
      </c>
      <c r="GO59">
        <f ca="1"/>
      </c>
      <c r="GP59">
        <f ca="1"/>
      </c>
      <c r="GQ59">
        <f ca="1"/>
      </c>
      <c r="GR59">
        <f ca="1"/>
      </c>
      <c r="GS59">
        <f ca="1"/>
      </c>
      <c r="GT59">
        <f ca="1"/>
      </c>
      <c r="GU59">
        <f ca="1"/>
      </c>
      <c r="GV59">
        <f ca="1"/>
      </c>
      <c r="GW59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C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R59">
        <f ca="1"/>
      </c>
      <c r="HS59">
        <f ca="1"/>
      </c>
      <c r="HT59">
        <f ca="1"/>
      </c>
      <c r="HU59">
        <f ca="1"/>
      </c>
      <c r="HV59">
        <f ca="1"/>
      </c>
      <c r="HW59">
        <f ca="1"/>
      </c>
      <c r="HX59">
        <f ca="1"/>
      </c>
      <c r="HY59">
        <f ca="1"/>
      </c>
      <c r="HZ59">
        <f ca="1"/>
      </c>
      <c r="IA59">
        <f ca="1"/>
      </c>
      <c r="IB59">
        <f ca="1"/>
      </c>
      <c r="IC59">
        <f ca="1"/>
      </c>
      <c r="ID59">
        <f ca="1"/>
      </c>
      <c r="IE59">
        <f ca="1"/>
      </c>
      <c r="IF59">
        <f ca="1"/>
      </c>
      <c r="IG59">
        <f ca="1"/>
      </c>
      <c r="IH59">
        <f ca="1"/>
      </c>
      <c r="II59">
        <f ca="1"/>
      </c>
      <c r="IJ59">
        <f ca="1"/>
      </c>
      <c r="IK59">
        <f ca="1"/>
      </c>
      <c r="IL59">
        <f ca="1"/>
      </c>
      <c r="IM59">
        <f ca="1"/>
      </c>
      <c r="IN59">
        <f ca="1"/>
      </c>
      <c r="IO59">
        <f ca="1"/>
      </c>
      <c r="IP59">
        <f ca="1"/>
      </c>
      <c r="IQ59">
        <f ca="1"/>
      </c>
      <c r="IR59">
        <f ca="1"/>
      </c>
      <c r="IS59">
        <f ca="1"/>
      </c>
      <c r="IT59">
        <f ca="1"/>
      </c>
      <c r="IU59">
        <f ca="1"/>
      </c>
      <c r="IV59">
        <f ca="1"/>
      </c>
      <c r="IW59">
        <f ca="1"/>
      </c>
      <c r="IX59">
        <f ca="1"/>
      </c>
      <c r="IY59">
        <f ca="1"/>
      </c>
      <c r="IZ59">
        <f ca="1"/>
      </c>
      <c r="JA59">
        <f ca="1"/>
      </c>
      <c r="JB59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5">VOL_Expiries</f>
      </c>
      <c r="G60" s="13" cm="1">
        <f t="array" aca="1" ref="G60:R75" ca="1">_xlfn.XLOOKUP(_xlfn.ANCHORARRAY(F60)&amp;"x"&amp;_xlfn.ANCHORARRAY(G59),_xlfn.ANCHORARRAY($BI$5),_xlfn.LET(_xlpm.V,_xlfn.DROP(_xlfn.ANCHORARRAY($BP$4),1,4),IF(1&lt;=COLUMNS(_xlpm.V),_xlfn.CHOOSECOLS(_xlpm.V,MIN(1,COLUMNS(_xlpm.V))),IF(_xlfn.SEQUENCE(ROWS(_xlpm.V)),NA()))))</f>
      </c>
      <c r="H60" s="13">
        <f ca="1"/>
      </c>
      <c r="I60" s="13">
        <f ca="1"/>
      </c>
      <c r="J60" s="13">
        <f ca="1"/>
      </c>
      <c r="K60" s="13">
        <f ca="1"/>
      </c>
      <c r="L60" s="13">
        <f ca="1"/>
      </c>
      <c r="M60" s="13">
        <f ca="1"/>
      </c>
      <c r="N60" s="13">
        <f ca="1"/>
      </c>
      <c r="O60" s="13">
        <f ca="1"/>
      </c>
      <c r="P60" s="13">
        <f ca="1"/>
      </c>
      <c r="Q60" s="13">
        <f ca="1"/>
      </c>
      <c r="R60" s="13">
        <f ca="1"/>
      </c>
      <c r="S60" s="13"/>
      <c r="T60" s="13"/>
      <c r="U60" s="13" cm="1">
        <f t="array" ref="U60:U75">VOL_Expiries</f>
      </c>
      <c r="V60" s="13" cm="1">
        <f t="array" aca="1" ref="V60:AG75" ca="1">_xlfn.XLOOKUP(_xlfn.ANCHORARRAY(U60)&amp;"x"&amp;_xlfn.ANCHORARRAY(V59),_xlfn.ANCHORARRAY($BI$5),_xlfn.LET(_xlpm.V,_xlfn.DROP(_xlfn.ANCHORARRAY($BP$4),1,4),IF(2&lt;=COLUMNS(_xlpm.V),_xlfn.CHOOSECOLS(_xlpm.V,MIN(2,COLUMNS(_xlpm.V))),IF(_xlfn.SEQUENCE(ROWS(_xlpm.V)),NA()))))</f>
      </c>
      <c r="W60" s="13">
        <f ca="1"/>
      </c>
      <c r="X60" s="13">
        <f ca="1"/>
      </c>
      <c r="Y60" s="13">
        <f ca="1"/>
      </c>
      <c r="Z60" s="13">
        <f ca="1"/>
      </c>
      <c r="AA60" s="13">
        <f ca="1"/>
      </c>
      <c r="AB60" s="13">
        <f ca="1"/>
      </c>
      <c r="AC60" s="13">
        <f ca="1"/>
      </c>
      <c r="AD60" s="13">
        <f ca="1"/>
      </c>
      <c r="AE60" s="13">
        <f ca="1"/>
      </c>
      <c r="AF60" s="13">
        <f ca="1"/>
      </c>
      <c r="AG60" s="13">
        <f ca="1"/>
      </c>
      <c r="AH60" s="13"/>
      <c r="AI60" s="13"/>
      <c r="AJ60" s="13" cm="1">
        <f t="array" ref="AJ60:AJ75">VOL_Expiries</f>
      </c>
      <c r="AK60" s="13" cm="1">
        <f t="array" aca="1" ref="AK60:AV75" ca="1">_xlfn.XLOOKUP(_xlfn.ANCHORARRAY(AJ60)&amp;"x"&amp;_xlfn.ANCHORARRAY(AK59),_xlfn.ANCHORARRAY($BI$5),_xlfn.LET(_xlpm.V,_xlfn.DROP(_xlfn.ANCHORARRAY($BP$4),1,4),IF(3&lt;=COLUMNS(_xlpm.V),_xlfn.CHOOSECOLS(_xlpm.V,MIN(3,COLUMNS(_xlpm.V))),IF(_xlfn.SEQUENCE(ROWS(_xlpm.V)),NA()))))</f>
      </c>
      <c r="AL60" s="13">
        <f ca="1"/>
      </c>
      <c r="AM60" s="13">
        <f ca="1"/>
      </c>
      <c r="AN60" s="13">
        <f ca="1"/>
      </c>
      <c r="AO60" s="13">
        <f ca="1"/>
      </c>
      <c r="AP60" s="13">
        <f ca="1"/>
      </c>
      <c r="AQ60" s="13">
        <f ca="1"/>
      </c>
      <c r="AR60" s="13">
        <f ca="1"/>
      </c>
      <c r="AS60" s="13">
        <f ca="1"/>
      </c>
      <c r="AT60" s="13">
        <f ca="1"/>
      </c>
      <c r="AU60" s="13">
        <f ca="1"/>
      </c>
      <c r="AV60" s="13">
        <f ca="1"/>
      </c>
      <c r="AW60" s="13"/>
      <c r="AX60" s="13"/>
      <c r="AY60" s="13"/>
      <c r="AZ60" s="13"/>
      <c r="BA60" s="13"/>
      <c r="BB60" s="13"/>
      <c r="BC60" s="13"/>
      <c r="BD60" s="13"/>
      <c r="BF60">
        <f ca="1"/>
      </c>
      <c r="BG60">
        <f ca="1"/>
      </c>
      <c r="BI60">
        <f ca="1"/>
      </c>
      <c r="BJ60" s="11">
        <f ca="1"/>
      </c>
      <c r="BK60" s="11">
        <f ca="1"/>
      </c>
      <c r="BL60" s="11">
        <f ca="1"/>
      </c>
      <c r="BM60" s="11">
        <f ca="1"/>
      </c>
      <c r="BN60" s="11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J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F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B60">
        <f ca="1"/>
      </c>
      <c r="GC60">
        <f ca="1"/>
      </c>
      <c r="GD60">
        <f ca="1"/>
      </c>
      <c r="GE60">
        <f ca="1"/>
      </c>
      <c r="GF60">
        <f ca="1"/>
      </c>
      <c r="GG60">
        <f ca="1"/>
      </c>
      <c r="GH60">
        <f ca="1"/>
      </c>
      <c r="GI60">
        <f ca="1"/>
      </c>
      <c r="GJ60">
        <f ca="1"/>
      </c>
      <c r="GK60">
        <f ca="1"/>
      </c>
      <c r="GL60">
        <f ca="1"/>
      </c>
      <c r="GM60">
        <f ca="1"/>
      </c>
      <c r="GN60">
        <f ca="1"/>
      </c>
      <c r="GO60">
        <f ca="1"/>
      </c>
      <c r="GP60">
        <f ca="1"/>
      </c>
      <c r="GQ60">
        <f ca="1"/>
      </c>
      <c r="GR60">
        <f ca="1"/>
      </c>
      <c r="GS60">
        <f ca="1"/>
      </c>
      <c r="GT60">
        <f ca="1"/>
      </c>
      <c r="GU60">
        <f ca="1"/>
      </c>
      <c r="GV60">
        <f ca="1"/>
      </c>
      <c r="GW60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C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R60">
        <f ca="1"/>
      </c>
      <c r="HS60">
        <f ca="1"/>
      </c>
      <c r="HT60">
        <f ca="1"/>
      </c>
      <c r="HU60">
        <f ca="1"/>
      </c>
      <c r="HV60">
        <f ca="1"/>
      </c>
      <c r="HW60">
        <f ca="1"/>
      </c>
      <c r="HX60">
        <f ca="1"/>
      </c>
      <c r="HY60">
        <f ca="1"/>
      </c>
      <c r="HZ60">
        <f ca="1"/>
      </c>
      <c r="IA60">
        <f ca="1"/>
      </c>
      <c r="IB60">
        <f ca="1"/>
      </c>
      <c r="IC60">
        <f ca="1"/>
      </c>
      <c r="ID60">
        <f ca="1"/>
      </c>
      <c r="IE60">
        <f ca="1"/>
      </c>
      <c r="IF60">
        <f ca="1"/>
      </c>
      <c r="IG60">
        <f ca="1"/>
      </c>
      <c r="IH60">
        <f ca="1"/>
      </c>
      <c r="II60">
        <f ca="1"/>
      </c>
      <c r="IJ60">
        <f ca="1"/>
      </c>
      <c r="IK60">
        <f ca="1"/>
      </c>
      <c r="IL60">
        <f ca="1"/>
      </c>
      <c r="IM60">
        <f ca="1"/>
      </c>
      <c r="IN60">
        <f ca="1"/>
      </c>
      <c r="IO60">
        <f ca="1"/>
      </c>
      <c r="IP60">
        <f ca="1"/>
      </c>
      <c r="IQ60">
        <f ca="1"/>
      </c>
      <c r="IR60">
        <f ca="1"/>
      </c>
      <c r="IS60">
        <f ca="1"/>
      </c>
      <c r="IT60">
        <f ca="1"/>
      </c>
      <c r="IU60">
        <f ca="1"/>
      </c>
      <c r="IV60">
        <f ca="1"/>
      </c>
      <c r="IW60">
        <f ca="1"/>
      </c>
      <c r="IX60">
        <f ca="1"/>
      </c>
      <c r="IY60">
        <f ca="1"/>
      </c>
      <c r="IZ60">
        <f ca="1"/>
      </c>
      <c r="JA60">
        <f ca="1"/>
      </c>
      <c r="JB60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>
        <f ca="1"/>
      </c>
      <c r="H61" s="13">
        <f ca="1"/>
      </c>
      <c r="I61" s="13">
        <f ca="1"/>
      </c>
      <c r="J61" s="13">
        <f ca="1"/>
      </c>
      <c r="K61" s="13">
        <f ca="1"/>
      </c>
      <c r="L61" s="13">
        <f ca="1"/>
      </c>
      <c r="M61" s="13">
        <f ca="1"/>
      </c>
      <c r="N61" s="13">
        <f ca="1"/>
      </c>
      <c r="O61" s="13">
        <f ca="1"/>
      </c>
      <c r="P61" s="13">
        <f ca="1"/>
      </c>
      <c r="Q61" s="13">
        <f ca="1"/>
      </c>
      <c r="R61" s="13">
        <f ca="1"/>
      </c>
      <c r="S61" s="13"/>
      <c r="T61" s="13"/>
      <c r="U61" s="13"/>
      <c r="V61" s="13">
        <f ca="1"/>
      </c>
      <c r="W61" s="13">
        <f ca="1"/>
      </c>
      <c r="X61" s="13">
        <f ca="1"/>
      </c>
      <c r="Y61" s="13">
        <f ca="1"/>
      </c>
      <c r="Z61" s="13">
        <f ca="1"/>
      </c>
      <c r="AA61" s="13">
        <f ca="1"/>
      </c>
      <c r="AB61" s="13">
        <f ca="1"/>
      </c>
      <c r="AC61" s="13">
        <f ca="1"/>
      </c>
      <c r="AD61" s="13">
        <f ca="1"/>
      </c>
      <c r="AE61" s="13">
        <f ca="1"/>
      </c>
      <c r="AF61" s="13">
        <f ca="1"/>
      </c>
      <c r="AG61" s="13">
        <f ca="1"/>
      </c>
      <c r="AH61" s="13"/>
      <c r="AI61" s="13"/>
      <c r="AJ61" s="13"/>
      <c r="AK61" s="13">
        <f ca="1"/>
      </c>
      <c r="AL61" s="13">
        <f ca="1"/>
      </c>
      <c r="AM61" s="13">
        <f ca="1"/>
      </c>
      <c r="AN61" s="13">
        <f ca="1"/>
      </c>
      <c r="AO61" s="13">
        <f ca="1"/>
      </c>
      <c r="AP61" s="13">
        <f ca="1"/>
      </c>
      <c r="AQ61" s="13">
        <f ca="1"/>
      </c>
      <c r="AR61" s="13">
        <f ca="1"/>
      </c>
      <c r="AS61" s="13">
        <f ca="1"/>
      </c>
      <c r="AT61" s="13">
        <f ca="1"/>
      </c>
      <c r="AU61" s="13">
        <f ca="1"/>
      </c>
      <c r="AV61" s="13">
        <f ca="1"/>
      </c>
      <c r="AW61" s="13"/>
      <c r="AX61" s="13"/>
      <c r="AY61" s="13"/>
      <c r="AZ61" s="13"/>
      <c r="BA61" s="13"/>
      <c r="BB61" s="13"/>
      <c r="BC61" s="13"/>
      <c r="BD61" s="13"/>
      <c r="BF61">
        <f ca="1"/>
      </c>
      <c r="BG61">
        <f ca="1"/>
      </c>
      <c r="BI61">
        <f ca="1"/>
      </c>
      <c r="BJ61" s="11">
        <f ca="1"/>
      </c>
      <c r="BK61" s="11">
        <f ca="1"/>
      </c>
      <c r="BL61" s="11">
        <f ca="1"/>
      </c>
      <c r="BM61" s="11">
        <f ca="1"/>
      </c>
      <c r="BN61" s="1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J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F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B61">
        <f ca="1"/>
      </c>
      <c r="GC61">
        <f ca="1"/>
      </c>
      <c r="GD61">
        <f ca="1"/>
      </c>
      <c r="GE61">
        <f ca="1"/>
      </c>
      <c r="GF61">
        <f ca="1"/>
      </c>
      <c r="GG61">
        <f ca="1"/>
      </c>
      <c r="GH61">
        <f ca="1"/>
      </c>
      <c r="GI61">
        <f ca="1"/>
      </c>
      <c r="GJ61">
        <f ca="1"/>
      </c>
      <c r="GK61">
        <f ca="1"/>
      </c>
      <c r="GL61">
        <f ca="1"/>
      </c>
      <c r="GM61">
        <f ca="1"/>
      </c>
      <c r="GN61">
        <f ca="1"/>
      </c>
      <c r="GO61">
        <f ca="1"/>
      </c>
      <c r="GP61">
        <f ca="1"/>
      </c>
      <c r="GQ61">
        <f ca="1"/>
      </c>
      <c r="GR61">
        <f ca="1"/>
      </c>
      <c r="GS61">
        <f ca="1"/>
      </c>
      <c r="GT61">
        <f ca="1"/>
      </c>
      <c r="GU61">
        <f ca="1"/>
      </c>
      <c r="GV61">
        <f ca="1"/>
      </c>
      <c r="GW6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C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R61">
        <f ca="1"/>
      </c>
      <c r="HS61">
        <f ca="1"/>
      </c>
      <c r="HT61">
        <f ca="1"/>
      </c>
      <c r="HU61">
        <f ca="1"/>
      </c>
      <c r="HV61">
        <f ca="1"/>
      </c>
      <c r="HW61">
        <f ca="1"/>
      </c>
      <c r="HX61">
        <f ca="1"/>
      </c>
      <c r="HY61">
        <f ca="1"/>
      </c>
      <c r="HZ61">
        <f ca="1"/>
      </c>
      <c r="IA61">
        <f ca="1"/>
      </c>
      <c r="IB61">
        <f ca="1"/>
      </c>
      <c r="IC61">
        <f ca="1"/>
      </c>
      <c r="ID61">
        <f ca="1"/>
      </c>
      <c r="IE61">
        <f ca="1"/>
      </c>
      <c r="IF61">
        <f ca="1"/>
      </c>
      <c r="IG61">
        <f ca="1"/>
      </c>
      <c r="IH61">
        <f ca="1"/>
      </c>
      <c r="II61">
        <f ca="1"/>
      </c>
      <c r="IJ61">
        <f ca="1"/>
      </c>
      <c r="IK61">
        <f ca="1"/>
      </c>
      <c r="IL61">
        <f ca="1"/>
      </c>
      <c r="IM61">
        <f ca="1"/>
      </c>
      <c r="IN61">
        <f ca="1"/>
      </c>
      <c r="IO61">
        <f ca="1"/>
      </c>
      <c r="IP61">
        <f ca="1"/>
      </c>
      <c r="IQ61">
        <f ca="1"/>
      </c>
      <c r="IR61">
        <f ca="1"/>
      </c>
      <c r="IS61">
        <f ca="1"/>
      </c>
      <c r="IT61">
        <f ca="1"/>
      </c>
      <c r="IU61">
        <f ca="1"/>
      </c>
      <c r="IV61">
        <f ca="1"/>
      </c>
      <c r="IW61">
        <f ca="1"/>
      </c>
      <c r="IX61">
        <f ca="1"/>
      </c>
      <c r="IY61">
        <f ca="1"/>
      </c>
      <c r="IZ61">
        <f ca="1"/>
      </c>
      <c r="JA61">
        <f ca="1"/>
      </c>
      <c r="JB6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>
        <f ca="1"/>
      </c>
      <c r="H62" s="13">
        <f ca="1"/>
      </c>
      <c r="I62" s="13">
        <f ca="1"/>
      </c>
      <c r="J62" s="13">
        <f ca="1"/>
      </c>
      <c r="K62" s="13">
        <f ca="1"/>
      </c>
      <c r="L62" s="13">
        <f ca="1"/>
      </c>
      <c r="M62" s="13">
        <f ca="1"/>
      </c>
      <c r="N62" s="13">
        <f ca="1"/>
      </c>
      <c r="O62" s="13">
        <f ca="1"/>
      </c>
      <c r="P62" s="13">
        <f ca="1"/>
      </c>
      <c r="Q62" s="13">
        <f ca="1"/>
      </c>
      <c r="R62" s="13">
        <f ca="1"/>
      </c>
      <c r="S62" s="13"/>
      <c r="T62" s="13"/>
      <c r="U62" s="13"/>
      <c r="V62" s="13">
        <f ca="1"/>
      </c>
      <c r="W62" s="13">
        <f ca="1"/>
      </c>
      <c r="X62" s="13">
        <f ca="1"/>
      </c>
      <c r="Y62" s="13">
        <f ca="1"/>
      </c>
      <c r="Z62" s="13">
        <f ca="1"/>
      </c>
      <c r="AA62" s="13">
        <f ca="1"/>
      </c>
      <c r="AB62" s="13">
        <f ca="1"/>
      </c>
      <c r="AC62" s="13">
        <f ca="1"/>
      </c>
      <c r="AD62" s="13">
        <f ca="1"/>
      </c>
      <c r="AE62" s="13">
        <f ca="1"/>
      </c>
      <c r="AF62" s="13">
        <f ca="1"/>
      </c>
      <c r="AG62" s="13">
        <f ca="1"/>
      </c>
      <c r="AH62" s="13"/>
      <c r="AI62" s="13"/>
      <c r="AJ62" s="13"/>
      <c r="AK62" s="13">
        <f ca="1"/>
      </c>
      <c r="AL62" s="13">
        <f ca="1"/>
      </c>
      <c r="AM62" s="13">
        <f ca="1"/>
      </c>
      <c r="AN62" s="13">
        <f ca="1"/>
      </c>
      <c r="AO62" s="13">
        <f ca="1"/>
      </c>
      <c r="AP62" s="13">
        <f ca="1"/>
      </c>
      <c r="AQ62" s="13">
        <f ca="1"/>
      </c>
      <c r="AR62" s="13">
        <f ca="1"/>
      </c>
      <c r="AS62" s="13">
        <f ca="1"/>
      </c>
      <c r="AT62" s="13">
        <f ca="1"/>
      </c>
      <c r="AU62" s="13">
        <f ca="1"/>
      </c>
      <c r="AV62" s="13">
        <f ca="1"/>
      </c>
      <c r="AW62" s="13"/>
      <c r="AX62" s="13"/>
      <c r="AY62" s="13"/>
      <c r="AZ62" s="13"/>
      <c r="BA62" s="13"/>
      <c r="BB62" s="13"/>
      <c r="BC62" s="13"/>
      <c r="BD62" s="13"/>
      <c r="BF62">
        <f ca="1"/>
      </c>
      <c r="BG62">
        <f ca="1"/>
      </c>
      <c r="BI62">
        <f ca="1"/>
      </c>
      <c r="BJ62" s="11">
        <f ca="1"/>
      </c>
      <c r="BK62" s="11">
        <f ca="1"/>
      </c>
      <c r="BL62" s="11">
        <f ca="1"/>
      </c>
      <c r="BM62" s="11">
        <f ca="1"/>
      </c>
      <c r="BN62" s="11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J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F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B62">
        <f ca="1"/>
      </c>
      <c r="GC62">
        <f ca="1"/>
      </c>
      <c r="GD62">
        <f ca="1"/>
      </c>
      <c r="GE62">
        <f ca="1"/>
      </c>
      <c r="GF62">
        <f ca="1"/>
      </c>
      <c r="GG62">
        <f ca="1"/>
      </c>
      <c r="GH62">
        <f ca="1"/>
      </c>
      <c r="GI62">
        <f ca="1"/>
      </c>
      <c r="GJ62">
        <f ca="1"/>
      </c>
      <c r="GK62">
        <f ca="1"/>
      </c>
      <c r="GL62">
        <f ca="1"/>
      </c>
      <c r="GM62">
        <f ca="1"/>
      </c>
      <c r="GN62">
        <f ca="1"/>
      </c>
      <c r="GO62">
        <f ca="1"/>
      </c>
      <c r="GP62">
        <f ca="1"/>
      </c>
      <c r="GQ62">
        <f ca="1"/>
      </c>
      <c r="GR62">
        <f ca="1"/>
      </c>
      <c r="GS62">
        <f ca="1"/>
      </c>
      <c r="GT62">
        <f ca="1"/>
      </c>
      <c r="GU62">
        <f ca="1"/>
      </c>
      <c r="GV62">
        <f ca="1"/>
      </c>
      <c r="GW62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C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R62">
        <f ca="1"/>
      </c>
      <c r="HS62">
        <f ca="1"/>
      </c>
      <c r="HT62">
        <f ca="1"/>
      </c>
      <c r="HU62">
        <f ca="1"/>
      </c>
      <c r="HV62">
        <f ca="1"/>
      </c>
      <c r="HW62">
        <f ca="1"/>
      </c>
      <c r="HX62">
        <f ca="1"/>
      </c>
      <c r="HY62">
        <f ca="1"/>
      </c>
      <c r="HZ62">
        <f ca="1"/>
      </c>
      <c r="IA62">
        <f ca="1"/>
      </c>
      <c r="IB62">
        <f ca="1"/>
      </c>
      <c r="IC62">
        <f ca="1"/>
      </c>
      <c r="ID62">
        <f ca="1"/>
      </c>
      <c r="IE62">
        <f ca="1"/>
      </c>
      <c r="IF62">
        <f ca="1"/>
      </c>
      <c r="IG62">
        <f ca="1"/>
      </c>
      <c r="IH62">
        <f ca="1"/>
      </c>
      <c r="II62">
        <f ca="1"/>
      </c>
      <c r="IJ62">
        <f ca="1"/>
      </c>
      <c r="IK62">
        <f ca="1"/>
      </c>
      <c r="IL62">
        <f ca="1"/>
      </c>
      <c r="IM62">
        <f ca="1"/>
      </c>
      <c r="IN62">
        <f ca="1"/>
      </c>
      <c r="IO62">
        <f ca="1"/>
      </c>
      <c r="IP62">
        <f ca="1"/>
      </c>
      <c r="IQ62">
        <f ca="1"/>
      </c>
      <c r="IR62">
        <f ca="1"/>
      </c>
      <c r="IS62">
        <f ca="1"/>
      </c>
      <c r="IT62">
        <f ca="1"/>
      </c>
      <c r="IU62">
        <f ca="1"/>
      </c>
      <c r="IV62">
        <f ca="1"/>
      </c>
      <c r="IW62">
        <f ca="1"/>
      </c>
      <c r="IX62">
        <f ca="1"/>
      </c>
      <c r="IY62">
        <f ca="1"/>
      </c>
      <c r="IZ62">
        <f ca="1"/>
      </c>
      <c r="JA62">
        <f ca="1"/>
      </c>
      <c r="JB62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>
        <f ca="1"/>
      </c>
      <c r="H63" s="13">
        <f ca="1"/>
      </c>
      <c r="I63" s="13">
        <f ca="1"/>
      </c>
      <c r="J63" s="13">
        <f ca="1"/>
      </c>
      <c r="K63" s="13">
        <f ca="1"/>
      </c>
      <c r="L63" s="13">
        <f ca="1"/>
      </c>
      <c r="M63" s="13">
        <f ca="1"/>
      </c>
      <c r="N63" s="13">
        <f ca="1"/>
      </c>
      <c r="O63" s="13">
        <f ca="1"/>
      </c>
      <c r="P63" s="13">
        <f ca="1"/>
      </c>
      <c r="Q63" s="13">
        <f ca="1"/>
      </c>
      <c r="R63" s="13">
        <f ca="1"/>
      </c>
      <c r="S63" s="13"/>
      <c r="T63" s="13"/>
      <c r="U63" s="13"/>
      <c r="V63" s="13">
        <f ca="1"/>
      </c>
      <c r="W63" s="13">
        <f ca="1"/>
      </c>
      <c r="X63" s="13">
        <f ca="1"/>
      </c>
      <c r="Y63" s="13">
        <f ca="1"/>
      </c>
      <c r="Z63" s="13">
        <f ca="1"/>
      </c>
      <c r="AA63" s="13">
        <f ca="1"/>
      </c>
      <c r="AB63" s="13">
        <f ca="1"/>
      </c>
      <c r="AC63" s="13">
        <f ca="1"/>
      </c>
      <c r="AD63" s="13">
        <f ca="1"/>
      </c>
      <c r="AE63" s="13">
        <f ca="1"/>
      </c>
      <c r="AF63" s="13">
        <f ca="1"/>
      </c>
      <c r="AG63" s="13">
        <f ca="1"/>
      </c>
      <c r="AH63" s="13"/>
      <c r="AI63" s="13"/>
      <c r="AJ63" s="13"/>
      <c r="AK63" s="13">
        <f ca="1"/>
      </c>
      <c r="AL63" s="13">
        <f ca="1"/>
      </c>
      <c r="AM63" s="13">
        <f ca="1"/>
      </c>
      <c r="AN63" s="13">
        <f ca="1"/>
      </c>
      <c r="AO63" s="13">
        <f ca="1"/>
      </c>
      <c r="AP63" s="13">
        <f ca="1"/>
      </c>
      <c r="AQ63" s="13">
        <f ca="1"/>
      </c>
      <c r="AR63" s="13">
        <f ca="1"/>
      </c>
      <c r="AS63" s="13">
        <f ca="1"/>
      </c>
      <c r="AT63" s="13">
        <f ca="1"/>
      </c>
      <c r="AU63" s="13">
        <f ca="1"/>
      </c>
      <c r="AV63" s="13">
        <f ca="1"/>
      </c>
      <c r="AW63" s="13"/>
      <c r="AX63" s="13"/>
      <c r="AY63" s="13"/>
      <c r="AZ63" s="13"/>
      <c r="BA63" s="13"/>
      <c r="BB63" s="13"/>
      <c r="BC63" s="13"/>
      <c r="BD63" s="13"/>
      <c r="BF63">
        <f ca="1"/>
      </c>
      <c r="BG63">
        <f ca="1"/>
      </c>
      <c r="BI63">
        <f ca="1"/>
      </c>
      <c r="BJ63" s="11">
        <f ca="1"/>
      </c>
      <c r="BK63" s="11">
        <f ca="1"/>
      </c>
      <c r="BL63" s="11">
        <f ca="1"/>
      </c>
      <c r="BM63" s="11">
        <f ca="1"/>
      </c>
      <c r="BN63" s="11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J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F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B63">
        <f ca="1"/>
      </c>
      <c r="GC63">
        <f ca="1"/>
      </c>
      <c r="GD63">
        <f ca="1"/>
      </c>
      <c r="GE63">
        <f ca="1"/>
      </c>
      <c r="GF63">
        <f ca="1"/>
      </c>
      <c r="GG63">
        <f ca="1"/>
      </c>
      <c r="GH63">
        <f ca="1"/>
      </c>
      <c r="GI63">
        <f ca="1"/>
      </c>
      <c r="GJ63">
        <f ca="1"/>
      </c>
      <c r="GK63">
        <f ca="1"/>
      </c>
      <c r="GL63">
        <f ca="1"/>
      </c>
      <c r="GM63">
        <f ca="1"/>
      </c>
      <c r="GN63">
        <f ca="1"/>
      </c>
      <c r="GO63">
        <f ca="1"/>
      </c>
      <c r="GP63">
        <f ca="1"/>
      </c>
      <c r="GQ63">
        <f ca="1"/>
      </c>
      <c r="GR63">
        <f ca="1"/>
      </c>
      <c r="GS63">
        <f ca="1"/>
      </c>
      <c r="GT63">
        <f ca="1"/>
      </c>
      <c r="GU63">
        <f ca="1"/>
      </c>
      <c r="GV63">
        <f ca="1"/>
      </c>
      <c r="GW63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C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R63">
        <f ca="1"/>
      </c>
      <c r="HS63">
        <f ca="1"/>
      </c>
      <c r="HT63">
        <f ca="1"/>
      </c>
      <c r="HU63">
        <f ca="1"/>
      </c>
      <c r="HV63">
        <f ca="1"/>
      </c>
      <c r="HW63">
        <f ca="1"/>
      </c>
      <c r="HX63">
        <f ca="1"/>
      </c>
      <c r="HY63">
        <f ca="1"/>
      </c>
      <c r="HZ63">
        <f ca="1"/>
      </c>
      <c r="IA63">
        <f ca="1"/>
      </c>
      <c r="IB63">
        <f ca="1"/>
      </c>
      <c r="IC63">
        <f ca="1"/>
      </c>
      <c r="ID63">
        <f ca="1"/>
      </c>
      <c r="IE63">
        <f ca="1"/>
      </c>
      <c r="IF63">
        <f ca="1"/>
      </c>
      <c r="IG63">
        <f ca="1"/>
      </c>
      <c r="IH63">
        <f ca="1"/>
      </c>
      <c r="II63">
        <f ca="1"/>
      </c>
      <c r="IJ63">
        <f ca="1"/>
      </c>
      <c r="IK63">
        <f ca="1"/>
      </c>
      <c r="IL63">
        <f ca="1"/>
      </c>
      <c r="IM63">
        <f ca="1"/>
      </c>
      <c r="IN63">
        <f ca="1"/>
      </c>
      <c r="IO63">
        <f ca="1"/>
      </c>
      <c r="IP63">
        <f ca="1"/>
      </c>
      <c r="IQ63">
        <f ca="1"/>
      </c>
      <c r="IR63">
        <f ca="1"/>
      </c>
      <c r="IS63">
        <f ca="1"/>
      </c>
      <c r="IT63">
        <f ca="1"/>
      </c>
      <c r="IU63">
        <f ca="1"/>
      </c>
      <c r="IV63">
        <f ca="1"/>
      </c>
      <c r="IW63">
        <f ca="1"/>
      </c>
      <c r="IX63">
        <f ca="1"/>
      </c>
      <c r="IY63">
        <f ca="1"/>
      </c>
      <c r="IZ63">
        <f ca="1"/>
      </c>
      <c r="JA63">
        <f ca="1"/>
      </c>
      <c r="JB63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>
        <f ca="1"/>
      </c>
      <c r="H64" s="13">
        <f ca="1"/>
      </c>
      <c r="I64" s="13">
        <f ca="1"/>
      </c>
      <c r="J64" s="13">
        <f ca="1"/>
      </c>
      <c r="K64" s="13">
        <f ca="1"/>
      </c>
      <c r="L64" s="13">
        <f ca="1"/>
      </c>
      <c r="M64" s="13">
        <f ca="1"/>
      </c>
      <c r="N64" s="13">
        <f ca="1"/>
      </c>
      <c r="O64" s="13">
        <f ca="1"/>
      </c>
      <c r="P64" s="13">
        <f ca="1"/>
      </c>
      <c r="Q64" s="13">
        <f ca="1"/>
      </c>
      <c r="R64" s="13">
        <f ca="1"/>
      </c>
      <c r="S64" s="13"/>
      <c r="T64" s="13"/>
      <c r="U64" s="13"/>
      <c r="V64" s="13">
        <f ca="1"/>
      </c>
      <c r="W64" s="13">
        <f ca="1"/>
      </c>
      <c r="X64" s="13">
        <f ca="1"/>
      </c>
      <c r="Y64" s="13">
        <f ca="1"/>
      </c>
      <c r="Z64" s="13">
        <f ca="1"/>
      </c>
      <c r="AA64" s="13">
        <f ca="1"/>
      </c>
      <c r="AB64" s="13">
        <f ca="1"/>
      </c>
      <c r="AC64" s="13">
        <f ca="1"/>
      </c>
      <c r="AD64" s="13">
        <f ca="1"/>
      </c>
      <c r="AE64" s="13">
        <f ca="1"/>
      </c>
      <c r="AF64" s="13">
        <f ca="1"/>
      </c>
      <c r="AG64" s="13">
        <f ca="1"/>
      </c>
      <c r="AH64" s="13"/>
      <c r="AI64" s="13"/>
      <c r="AJ64" s="13"/>
      <c r="AK64" s="13">
        <f ca="1"/>
      </c>
      <c r="AL64" s="13">
        <f ca="1"/>
      </c>
      <c r="AM64" s="13">
        <f ca="1"/>
      </c>
      <c r="AN64" s="13">
        <f ca="1"/>
      </c>
      <c r="AO64" s="13">
        <f ca="1"/>
      </c>
      <c r="AP64" s="13">
        <f ca="1"/>
      </c>
      <c r="AQ64" s="13">
        <f ca="1"/>
      </c>
      <c r="AR64" s="13">
        <f ca="1"/>
      </c>
      <c r="AS64" s="13">
        <f ca="1"/>
      </c>
      <c r="AT64" s="13">
        <f ca="1"/>
      </c>
      <c r="AU64" s="13">
        <f ca="1"/>
      </c>
      <c r="AV64" s="13">
        <f ca="1"/>
      </c>
      <c r="AW64" s="13"/>
      <c r="AX64" s="13"/>
      <c r="AY64" s="13"/>
      <c r="AZ64" s="13"/>
      <c r="BA64" s="13"/>
      <c r="BB64" s="13"/>
      <c r="BC64" s="13"/>
      <c r="BD64" s="13"/>
      <c r="BF64">
        <f ca="1"/>
      </c>
      <c r="BG64">
        <f ca="1"/>
      </c>
      <c r="BI64">
        <f ca="1"/>
      </c>
      <c r="BJ64" s="11">
        <f ca="1"/>
      </c>
      <c r="BK64" s="11">
        <f ca="1"/>
      </c>
      <c r="BL64" s="11">
        <f ca="1"/>
      </c>
      <c r="BM64" s="11">
        <f ca="1"/>
      </c>
      <c r="BN64" s="11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J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F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B64">
        <f ca="1"/>
      </c>
      <c r="GC64">
        <f ca="1"/>
      </c>
      <c r="GD64">
        <f ca="1"/>
      </c>
      <c r="GE64">
        <f ca="1"/>
      </c>
      <c r="GF64">
        <f ca="1"/>
      </c>
      <c r="GG64">
        <f ca="1"/>
      </c>
      <c r="GH64">
        <f ca="1"/>
      </c>
      <c r="GI64">
        <f ca="1"/>
      </c>
      <c r="GJ64">
        <f ca="1"/>
      </c>
      <c r="GK64">
        <f ca="1"/>
      </c>
      <c r="GL64">
        <f ca="1"/>
      </c>
      <c r="GM64">
        <f ca="1"/>
      </c>
      <c r="GN64">
        <f ca="1"/>
      </c>
      <c r="GO64">
        <f ca="1"/>
      </c>
      <c r="GP64">
        <f ca="1"/>
      </c>
      <c r="GQ64">
        <f ca="1"/>
      </c>
      <c r="GR64">
        <f ca="1"/>
      </c>
      <c r="GS64">
        <f ca="1"/>
      </c>
      <c r="GT64">
        <f ca="1"/>
      </c>
      <c r="GU64">
        <f ca="1"/>
      </c>
      <c r="GV64">
        <f ca="1"/>
      </c>
      <c r="GW64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C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R64">
        <f ca="1"/>
      </c>
      <c r="HS64">
        <f ca="1"/>
      </c>
      <c r="HT64">
        <f ca="1"/>
      </c>
      <c r="HU64">
        <f ca="1"/>
      </c>
      <c r="HV64">
        <f ca="1"/>
      </c>
      <c r="HW64">
        <f ca="1"/>
      </c>
      <c r="HX64">
        <f ca="1"/>
      </c>
      <c r="HY64">
        <f ca="1"/>
      </c>
      <c r="HZ64">
        <f ca="1"/>
      </c>
      <c r="IA64">
        <f ca="1"/>
      </c>
      <c r="IB64">
        <f ca="1"/>
      </c>
      <c r="IC64">
        <f ca="1"/>
      </c>
      <c r="ID64">
        <f ca="1"/>
      </c>
      <c r="IE64">
        <f ca="1"/>
      </c>
      <c r="IF64">
        <f ca="1"/>
      </c>
      <c r="IG64">
        <f ca="1"/>
      </c>
      <c r="IH64">
        <f ca="1"/>
      </c>
      <c r="II64">
        <f ca="1"/>
      </c>
      <c r="IJ64">
        <f ca="1"/>
      </c>
      <c r="IK64">
        <f ca="1"/>
      </c>
      <c r="IL64">
        <f ca="1"/>
      </c>
      <c r="IM64">
        <f ca="1"/>
      </c>
      <c r="IN64">
        <f ca="1"/>
      </c>
      <c r="IO64">
        <f ca="1"/>
      </c>
      <c r="IP64">
        <f ca="1"/>
      </c>
      <c r="IQ64">
        <f ca="1"/>
      </c>
      <c r="IR64">
        <f ca="1"/>
      </c>
      <c r="IS64">
        <f ca="1"/>
      </c>
      <c r="IT64">
        <f ca="1"/>
      </c>
      <c r="IU64">
        <f ca="1"/>
      </c>
      <c r="IV64">
        <f ca="1"/>
      </c>
      <c r="IW64">
        <f ca="1"/>
      </c>
      <c r="IX64">
        <f ca="1"/>
      </c>
      <c r="IY64">
        <f ca="1"/>
      </c>
      <c r="IZ64">
        <f ca="1"/>
      </c>
      <c r="JA64">
        <f ca="1"/>
      </c>
      <c r="JB64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>
        <f ca="1"/>
      </c>
      <c r="H65" s="13">
        <f ca="1"/>
      </c>
      <c r="I65" s="13">
        <f ca="1"/>
      </c>
      <c r="J65" s="13">
        <f ca="1"/>
      </c>
      <c r="K65" s="13">
        <f ca="1"/>
      </c>
      <c r="L65" s="13">
        <f ca="1"/>
      </c>
      <c r="M65" s="13">
        <f ca="1"/>
      </c>
      <c r="N65" s="13">
        <f ca="1"/>
      </c>
      <c r="O65" s="13">
        <f ca="1"/>
      </c>
      <c r="P65" s="13">
        <f ca="1"/>
      </c>
      <c r="Q65" s="13">
        <f ca="1"/>
      </c>
      <c r="R65" s="13">
        <f ca="1"/>
      </c>
      <c r="S65" s="13"/>
      <c r="T65" s="13"/>
      <c r="U65" s="13"/>
      <c r="V65" s="13">
        <f ca="1"/>
      </c>
      <c r="W65" s="13">
        <f ca="1"/>
      </c>
      <c r="X65" s="13">
        <f ca="1"/>
      </c>
      <c r="Y65" s="13">
        <f ca="1"/>
      </c>
      <c r="Z65" s="13">
        <f ca="1"/>
      </c>
      <c r="AA65" s="13">
        <f ca="1"/>
      </c>
      <c r="AB65" s="13">
        <f ca="1"/>
      </c>
      <c r="AC65" s="13">
        <f ca="1"/>
      </c>
      <c r="AD65" s="13">
        <f ca="1"/>
      </c>
      <c r="AE65" s="13">
        <f ca="1"/>
      </c>
      <c r="AF65" s="13">
        <f ca="1"/>
      </c>
      <c r="AG65" s="13">
        <f ca="1"/>
      </c>
      <c r="AH65" s="13"/>
      <c r="AI65" s="13"/>
      <c r="AJ65" s="13"/>
      <c r="AK65" s="13">
        <f ca="1"/>
      </c>
      <c r="AL65" s="13">
        <f ca="1"/>
      </c>
      <c r="AM65" s="13">
        <f ca="1"/>
      </c>
      <c r="AN65" s="13">
        <f ca="1"/>
      </c>
      <c r="AO65" s="13">
        <f ca="1"/>
      </c>
      <c r="AP65" s="13">
        <f ca="1"/>
      </c>
      <c r="AQ65" s="13">
        <f ca="1"/>
      </c>
      <c r="AR65" s="13">
        <f ca="1"/>
      </c>
      <c r="AS65" s="13">
        <f ca="1"/>
      </c>
      <c r="AT65" s="13">
        <f ca="1"/>
      </c>
      <c r="AU65" s="13">
        <f ca="1"/>
      </c>
      <c r="AV65" s="13">
        <f ca="1"/>
      </c>
      <c r="AW65" s="13"/>
      <c r="AX65" s="13"/>
      <c r="AY65" s="13"/>
      <c r="AZ65" s="13"/>
      <c r="BA65" s="13"/>
      <c r="BB65" s="13"/>
      <c r="BC65" s="13"/>
      <c r="BD65" s="13"/>
      <c r="BF65">
        <f ca="1"/>
      </c>
      <c r="BG65">
        <f ca="1"/>
      </c>
      <c r="BI65">
        <f ca="1"/>
      </c>
      <c r="BJ65" s="11">
        <f ca="1"/>
      </c>
      <c r="BK65" s="11">
        <f ca="1"/>
      </c>
      <c r="BL65" s="11">
        <f ca="1"/>
      </c>
      <c r="BM65" s="11">
        <f ca="1"/>
      </c>
      <c r="BN65" s="11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J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F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B65">
        <f ca="1"/>
      </c>
      <c r="GC65">
        <f ca="1"/>
      </c>
      <c r="GD65">
        <f ca="1"/>
      </c>
      <c r="GE65">
        <f ca="1"/>
      </c>
      <c r="GF65">
        <f ca="1"/>
      </c>
      <c r="GG65">
        <f ca="1"/>
      </c>
      <c r="GH65">
        <f ca="1"/>
      </c>
      <c r="GI65">
        <f ca="1"/>
      </c>
      <c r="GJ65">
        <f ca="1"/>
      </c>
      <c r="GK65">
        <f ca="1"/>
      </c>
      <c r="GL65">
        <f ca="1"/>
      </c>
      <c r="GM65">
        <f ca="1"/>
      </c>
      <c r="GN65">
        <f ca="1"/>
      </c>
      <c r="GO65">
        <f ca="1"/>
      </c>
      <c r="GP65">
        <f ca="1"/>
      </c>
      <c r="GQ65">
        <f ca="1"/>
      </c>
      <c r="GR65">
        <f ca="1"/>
      </c>
      <c r="GS65">
        <f ca="1"/>
      </c>
      <c r="GT65">
        <f ca="1"/>
      </c>
      <c r="GU65">
        <f ca="1"/>
      </c>
      <c r="GV65">
        <f ca="1"/>
      </c>
      <c r="GW65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C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R65">
        <f ca="1"/>
      </c>
      <c r="HS65">
        <f ca="1"/>
      </c>
      <c r="HT65">
        <f ca="1"/>
      </c>
      <c r="HU65">
        <f ca="1"/>
      </c>
      <c r="HV65">
        <f ca="1"/>
      </c>
      <c r="HW65">
        <f ca="1"/>
      </c>
      <c r="HX65">
        <f ca="1"/>
      </c>
      <c r="HY65">
        <f ca="1"/>
      </c>
      <c r="HZ65">
        <f ca="1"/>
      </c>
      <c r="IA65">
        <f ca="1"/>
      </c>
      <c r="IB65">
        <f ca="1"/>
      </c>
      <c r="IC65">
        <f ca="1"/>
      </c>
      <c r="ID65">
        <f ca="1"/>
      </c>
      <c r="IE65">
        <f ca="1"/>
      </c>
      <c r="IF65">
        <f ca="1"/>
      </c>
      <c r="IG65">
        <f ca="1"/>
      </c>
      <c r="IH65">
        <f ca="1"/>
      </c>
      <c r="II65">
        <f ca="1"/>
      </c>
      <c r="IJ65">
        <f ca="1"/>
      </c>
      <c r="IK65">
        <f ca="1"/>
      </c>
      <c r="IL65">
        <f ca="1"/>
      </c>
      <c r="IM65">
        <f ca="1"/>
      </c>
      <c r="IN65">
        <f ca="1"/>
      </c>
      <c r="IO65">
        <f ca="1"/>
      </c>
      <c r="IP65">
        <f ca="1"/>
      </c>
      <c r="IQ65">
        <f ca="1"/>
      </c>
      <c r="IR65">
        <f ca="1"/>
      </c>
      <c r="IS65">
        <f ca="1"/>
      </c>
      <c r="IT65">
        <f ca="1"/>
      </c>
      <c r="IU65">
        <f ca="1"/>
      </c>
      <c r="IV65">
        <f ca="1"/>
      </c>
      <c r="IW65">
        <f ca="1"/>
      </c>
      <c r="IX65">
        <f ca="1"/>
      </c>
      <c r="IY65">
        <f ca="1"/>
      </c>
      <c r="IZ65">
        <f ca="1"/>
      </c>
      <c r="JA65">
        <f ca="1"/>
      </c>
      <c r="JB65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>
        <f ca="1"/>
      </c>
      <c r="H66" s="13">
        <f ca="1"/>
      </c>
      <c r="I66" s="13">
        <f ca="1"/>
      </c>
      <c r="J66" s="13">
        <f ca="1"/>
      </c>
      <c r="K66" s="13">
        <f ca="1"/>
      </c>
      <c r="L66" s="13">
        <f ca="1"/>
      </c>
      <c r="M66" s="13">
        <f ca="1"/>
      </c>
      <c r="N66" s="13">
        <f ca="1"/>
      </c>
      <c r="O66" s="13">
        <f ca="1"/>
      </c>
      <c r="P66" s="13">
        <f ca="1"/>
      </c>
      <c r="Q66" s="13">
        <f ca="1"/>
      </c>
      <c r="R66" s="13">
        <f ca="1"/>
      </c>
      <c r="S66" s="13"/>
      <c r="T66" s="13"/>
      <c r="U66" s="13"/>
      <c r="V66" s="13">
        <f ca="1"/>
      </c>
      <c r="W66" s="13">
        <f ca="1"/>
      </c>
      <c r="X66" s="13">
        <f ca="1"/>
      </c>
      <c r="Y66" s="13">
        <f ca="1"/>
      </c>
      <c r="Z66" s="13">
        <f ca="1"/>
      </c>
      <c r="AA66" s="13">
        <f ca="1"/>
      </c>
      <c r="AB66" s="13">
        <f ca="1"/>
      </c>
      <c r="AC66" s="13">
        <f ca="1"/>
      </c>
      <c r="AD66" s="13">
        <f ca="1"/>
      </c>
      <c r="AE66" s="13">
        <f ca="1"/>
      </c>
      <c r="AF66" s="13">
        <f ca="1"/>
      </c>
      <c r="AG66" s="13">
        <f ca="1"/>
      </c>
      <c r="AH66" s="13"/>
      <c r="AI66" s="13"/>
      <c r="AJ66" s="13"/>
      <c r="AK66" s="13">
        <f ca="1"/>
      </c>
      <c r="AL66" s="13">
        <f ca="1"/>
      </c>
      <c r="AM66" s="13">
        <f ca="1"/>
      </c>
      <c r="AN66" s="13">
        <f ca="1"/>
      </c>
      <c r="AO66" s="13">
        <f ca="1"/>
      </c>
      <c r="AP66" s="13">
        <f ca="1"/>
      </c>
      <c r="AQ66" s="13">
        <f ca="1"/>
      </c>
      <c r="AR66" s="13">
        <f ca="1"/>
      </c>
      <c r="AS66" s="13">
        <f ca="1"/>
      </c>
      <c r="AT66" s="13">
        <f ca="1"/>
      </c>
      <c r="AU66" s="13">
        <f ca="1"/>
      </c>
      <c r="AV66" s="13">
        <f ca="1"/>
      </c>
      <c r="AW66" s="13"/>
      <c r="AX66" s="13"/>
      <c r="AY66" s="13"/>
      <c r="AZ66" s="13"/>
      <c r="BA66" s="13"/>
      <c r="BB66" s="13"/>
      <c r="BC66" s="13"/>
      <c r="BD66" s="13"/>
      <c r="BF66">
        <f ca="1"/>
      </c>
      <c r="BG66">
        <f ca="1"/>
      </c>
      <c r="BI66">
        <f ca="1"/>
      </c>
      <c r="BJ66" s="11">
        <f ca="1"/>
      </c>
      <c r="BK66" s="11">
        <f ca="1"/>
      </c>
      <c r="BL66" s="11">
        <f ca="1"/>
      </c>
      <c r="BM66" s="11">
        <f ca="1"/>
      </c>
      <c r="BN66" s="11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J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F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B66">
        <f ca="1"/>
      </c>
      <c r="GC66">
        <f ca="1"/>
      </c>
      <c r="GD66">
        <f ca="1"/>
      </c>
      <c r="GE66">
        <f ca="1"/>
      </c>
      <c r="GF66">
        <f ca="1"/>
      </c>
      <c r="GG66">
        <f ca="1"/>
      </c>
      <c r="GH66">
        <f ca="1"/>
      </c>
      <c r="GI66">
        <f ca="1"/>
      </c>
      <c r="GJ66">
        <f ca="1"/>
      </c>
      <c r="GK66">
        <f ca="1"/>
      </c>
      <c r="GL66">
        <f ca="1"/>
      </c>
      <c r="GM66">
        <f ca="1"/>
      </c>
      <c r="GN66">
        <f ca="1"/>
      </c>
      <c r="GO66">
        <f ca="1"/>
      </c>
      <c r="GP66">
        <f ca="1"/>
      </c>
      <c r="GQ66">
        <f ca="1"/>
      </c>
      <c r="GR66">
        <f ca="1"/>
      </c>
      <c r="GS66">
        <f ca="1"/>
      </c>
      <c r="GT66">
        <f ca="1"/>
      </c>
      <c r="GU66">
        <f ca="1"/>
      </c>
      <c r="GV66">
        <f ca="1"/>
      </c>
      <c r="GW66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C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R66">
        <f ca="1"/>
      </c>
      <c r="HS66">
        <f ca="1"/>
      </c>
      <c r="HT66">
        <f ca="1"/>
      </c>
      <c r="HU66">
        <f ca="1"/>
      </c>
      <c r="HV66">
        <f ca="1"/>
      </c>
      <c r="HW66">
        <f ca="1"/>
      </c>
      <c r="HX66">
        <f ca="1"/>
      </c>
      <c r="HY66">
        <f ca="1"/>
      </c>
      <c r="HZ66">
        <f ca="1"/>
      </c>
      <c r="IA66">
        <f ca="1"/>
      </c>
      <c r="IB66">
        <f ca="1"/>
      </c>
      <c r="IC66">
        <f ca="1"/>
      </c>
      <c r="ID66">
        <f ca="1"/>
      </c>
      <c r="IE66">
        <f ca="1"/>
      </c>
      <c r="IF66">
        <f ca="1"/>
      </c>
      <c r="IG66">
        <f ca="1"/>
      </c>
      <c r="IH66">
        <f ca="1"/>
      </c>
      <c r="II66">
        <f ca="1"/>
      </c>
      <c r="IJ66">
        <f ca="1"/>
      </c>
      <c r="IK66">
        <f ca="1"/>
      </c>
      <c r="IL66">
        <f ca="1"/>
      </c>
      <c r="IM66">
        <f ca="1"/>
      </c>
      <c r="IN66">
        <f ca="1"/>
      </c>
      <c r="IO66">
        <f ca="1"/>
      </c>
      <c r="IP66">
        <f ca="1"/>
      </c>
      <c r="IQ66">
        <f ca="1"/>
      </c>
      <c r="IR66">
        <f ca="1"/>
      </c>
      <c r="IS66">
        <f ca="1"/>
      </c>
      <c r="IT66">
        <f ca="1"/>
      </c>
      <c r="IU66">
        <f ca="1"/>
      </c>
      <c r="IV66">
        <f ca="1"/>
      </c>
      <c r="IW66">
        <f ca="1"/>
      </c>
      <c r="IX66">
        <f ca="1"/>
      </c>
      <c r="IY66">
        <f ca="1"/>
      </c>
      <c r="IZ66">
        <f ca="1"/>
      </c>
      <c r="JA66">
        <f ca="1"/>
      </c>
      <c r="JB66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>
        <f ca="1"/>
      </c>
      <c r="H67" s="13">
        <f ca="1"/>
      </c>
      <c r="I67" s="13">
        <f ca="1"/>
      </c>
      <c r="J67" s="13">
        <f ca="1"/>
      </c>
      <c r="K67" s="13">
        <f ca="1"/>
      </c>
      <c r="L67" s="13">
        <f ca="1"/>
      </c>
      <c r="M67" s="13">
        <f ca="1"/>
      </c>
      <c r="N67" s="13">
        <f ca="1"/>
      </c>
      <c r="O67" s="13">
        <f ca="1"/>
      </c>
      <c r="P67" s="13">
        <f ca="1"/>
      </c>
      <c r="Q67" s="13">
        <f ca="1"/>
      </c>
      <c r="R67" s="13">
        <f ca="1"/>
      </c>
      <c r="S67" s="13"/>
      <c r="T67" s="13"/>
      <c r="U67" s="13"/>
      <c r="V67" s="13">
        <f ca="1"/>
      </c>
      <c r="W67" s="13">
        <f ca="1"/>
      </c>
      <c r="X67" s="13">
        <f ca="1"/>
      </c>
      <c r="Y67" s="13">
        <f ca="1"/>
      </c>
      <c r="Z67" s="13">
        <f ca="1"/>
      </c>
      <c r="AA67" s="13">
        <f ca="1"/>
      </c>
      <c r="AB67" s="13">
        <f ca="1"/>
      </c>
      <c r="AC67" s="13">
        <f ca="1"/>
      </c>
      <c r="AD67" s="13">
        <f ca="1"/>
      </c>
      <c r="AE67" s="13">
        <f ca="1"/>
      </c>
      <c r="AF67" s="13">
        <f ca="1"/>
      </c>
      <c r="AG67" s="13">
        <f ca="1"/>
      </c>
      <c r="AH67" s="13"/>
      <c r="AI67" s="13"/>
      <c r="AJ67" s="13"/>
      <c r="AK67" s="13">
        <f ca="1"/>
      </c>
      <c r="AL67" s="13">
        <f ca="1"/>
      </c>
      <c r="AM67" s="13">
        <f ca="1"/>
      </c>
      <c r="AN67" s="13">
        <f ca="1"/>
      </c>
      <c r="AO67" s="13">
        <f ca="1"/>
      </c>
      <c r="AP67" s="13">
        <f ca="1"/>
      </c>
      <c r="AQ67" s="13">
        <f ca="1"/>
      </c>
      <c r="AR67" s="13">
        <f ca="1"/>
      </c>
      <c r="AS67" s="13">
        <f ca="1"/>
      </c>
      <c r="AT67" s="13">
        <f ca="1"/>
      </c>
      <c r="AU67" s="13">
        <f ca="1"/>
      </c>
      <c r="AV67" s="13">
        <f ca="1"/>
      </c>
      <c r="AW67" s="13"/>
      <c r="AX67" s="13"/>
      <c r="AY67" s="13"/>
      <c r="AZ67" s="13"/>
      <c r="BA67" s="13"/>
      <c r="BB67" s="13"/>
      <c r="BC67" s="13"/>
      <c r="BD67" s="13"/>
      <c r="BF67">
        <f ca="1"/>
      </c>
      <c r="BG67">
        <f ca="1"/>
      </c>
      <c r="BI67">
        <f ca="1"/>
      </c>
      <c r="BJ67" s="11">
        <f ca="1"/>
      </c>
      <c r="BK67" s="11">
        <f ca="1"/>
      </c>
      <c r="BL67" s="11">
        <f ca="1"/>
      </c>
      <c r="BM67" s="11">
        <f ca="1"/>
      </c>
      <c r="BN67" s="11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J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F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B67">
        <f ca="1"/>
      </c>
      <c r="GC67">
        <f ca="1"/>
      </c>
      <c r="GD67">
        <f ca="1"/>
      </c>
      <c r="GE67">
        <f ca="1"/>
      </c>
      <c r="GF67">
        <f ca="1"/>
      </c>
      <c r="GG67">
        <f ca="1"/>
      </c>
      <c r="GH67">
        <f ca="1"/>
      </c>
      <c r="GI67">
        <f ca="1"/>
      </c>
      <c r="GJ67">
        <f ca="1"/>
      </c>
      <c r="GK67">
        <f ca="1"/>
      </c>
      <c r="GL67">
        <f ca="1"/>
      </c>
      <c r="GM67">
        <f ca="1"/>
      </c>
      <c r="GN67">
        <f ca="1"/>
      </c>
      <c r="GO67">
        <f ca="1"/>
      </c>
      <c r="GP67">
        <f ca="1"/>
      </c>
      <c r="GQ67">
        <f ca="1"/>
      </c>
      <c r="GR67">
        <f ca="1"/>
      </c>
      <c r="GS67">
        <f ca="1"/>
      </c>
      <c r="GT67">
        <f ca="1"/>
      </c>
      <c r="GU67">
        <f ca="1"/>
      </c>
      <c r="GV67">
        <f ca="1"/>
      </c>
      <c r="GW67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C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R67">
        <f ca="1"/>
      </c>
      <c r="HS67">
        <f ca="1"/>
      </c>
      <c r="HT67">
        <f ca="1"/>
      </c>
      <c r="HU67">
        <f ca="1"/>
      </c>
      <c r="HV67">
        <f ca="1"/>
      </c>
      <c r="HW67">
        <f ca="1"/>
      </c>
      <c r="HX67">
        <f ca="1"/>
      </c>
      <c r="HY67">
        <f ca="1"/>
      </c>
      <c r="HZ67">
        <f ca="1"/>
      </c>
      <c r="IA67">
        <f ca="1"/>
      </c>
      <c r="IB67">
        <f ca="1"/>
      </c>
      <c r="IC67">
        <f ca="1"/>
      </c>
      <c r="ID67">
        <f ca="1"/>
      </c>
      <c r="IE67">
        <f ca="1"/>
      </c>
      <c r="IF67">
        <f ca="1"/>
      </c>
      <c r="IG67">
        <f ca="1"/>
      </c>
      <c r="IH67">
        <f ca="1"/>
      </c>
      <c r="II67">
        <f ca="1"/>
      </c>
      <c r="IJ67">
        <f ca="1"/>
      </c>
      <c r="IK67">
        <f ca="1"/>
      </c>
      <c r="IL67">
        <f ca="1"/>
      </c>
      <c r="IM67">
        <f ca="1"/>
      </c>
      <c r="IN67">
        <f ca="1"/>
      </c>
      <c r="IO67">
        <f ca="1"/>
      </c>
      <c r="IP67">
        <f ca="1"/>
      </c>
      <c r="IQ67">
        <f ca="1"/>
      </c>
      <c r="IR67">
        <f ca="1"/>
      </c>
      <c r="IS67">
        <f ca="1"/>
      </c>
      <c r="IT67">
        <f ca="1"/>
      </c>
      <c r="IU67">
        <f ca="1"/>
      </c>
      <c r="IV67">
        <f ca="1"/>
      </c>
      <c r="IW67">
        <f ca="1"/>
      </c>
      <c r="IX67">
        <f ca="1"/>
      </c>
      <c r="IY67">
        <f ca="1"/>
      </c>
      <c r="IZ67">
        <f ca="1"/>
      </c>
      <c r="JA67">
        <f ca="1"/>
      </c>
      <c r="JB67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>
        <f ca="1"/>
      </c>
      <c r="H68" s="13">
        <f ca="1"/>
      </c>
      <c r="I68" s="13">
        <f ca="1"/>
      </c>
      <c r="J68" s="13">
        <f ca="1"/>
      </c>
      <c r="K68" s="13">
        <f ca="1"/>
      </c>
      <c r="L68" s="13">
        <f ca="1"/>
      </c>
      <c r="M68" s="13">
        <f ca="1"/>
      </c>
      <c r="N68" s="13">
        <f ca="1"/>
      </c>
      <c r="O68" s="13">
        <f ca="1"/>
      </c>
      <c r="P68" s="13">
        <f ca="1"/>
      </c>
      <c r="Q68" s="13">
        <f ca="1"/>
      </c>
      <c r="R68" s="13">
        <f ca="1"/>
      </c>
      <c r="S68" s="13"/>
      <c r="T68" s="13"/>
      <c r="U68" s="13"/>
      <c r="V68" s="13">
        <f ca="1"/>
      </c>
      <c r="W68" s="13">
        <f ca="1"/>
      </c>
      <c r="X68" s="13">
        <f ca="1"/>
      </c>
      <c r="Y68" s="13">
        <f ca="1"/>
      </c>
      <c r="Z68" s="13">
        <f ca="1"/>
      </c>
      <c r="AA68" s="13">
        <f ca="1"/>
      </c>
      <c r="AB68" s="13">
        <f ca="1"/>
      </c>
      <c r="AC68" s="13">
        <f ca="1"/>
      </c>
      <c r="AD68" s="13">
        <f ca="1"/>
      </c>
      <c r="AE68" s="13">
        <f ca="1"/>
      </c>
      <c r="AF68" s="13">
        <f ca="1"/>
      </c>
      <c r="AG68" s="13">
        <f ca="1"/>
      </c>
      <c r="AH68" s="13"/>
      <c r="AI68" s="13"/>
      <c r="AJ68" s="13"/>
      <c r="AK68" s="13">
        <f ca="1"/>
      </c>
      <c r="AL68" s="13">
        <f ca="1"/>
      </c>
      <c r="AM68" s="13">
        <f ca="1"/>
      </c>
      <c r="AN68" s="13">
        <f ca="1"/>
      </c>
      <c r="AO68" s="13">
        <f ca="1"/>
      </c>
      <c r="AP68" s="13">
        <f ca="1"/>
      </c>
      <c r="AQ68" s="13">
        <f ca="1"/>
      </c>
      <c r="AR68" s="13">
        <f ca="1"/>
      </c>
      <c r="AS68" s="13">
        <f ca="1"/>
      </c>
      <c r="AT68" s="13">
        <f ca="1"/>
      </c>
      <c r="AU68" s="13">
        <f ca="1"/>
      </c>
      <c r="AV68" s="13">
        <f ca="1"/>
      </c>
      <c r="AW68" s="13"/>
      <c r="AX68" s="13"/>
      <c r="AY68" s="13"/>
      <c r="AZ68" s="13"/>
      <c r="BA68" s="13"/>
      <c r="BB68" s="13"/>
      <c r="BC68" s="13"/>
      <c r="BD68" s="13"/>
      <c r="BF68">
        <f ca="1"/>
      </c>
      <c r="BG68">
        <f ca="1"/>
      </c>
      <c r="BI68">
        <f ca="1"/>
      </c>
      <c r="BJ68" s="11">
        <f ca="1"/>
      </c>
      <c r="BK68" s="11">
        <f ca="1"/>
      </c>
      <c r="BL68" s="11">
        <f ca="1"/>
      </c>
      <c r="BM68" s="11">
        <f ca="1"/>
      </c>
      <c r="BN68" s="11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J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F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B68">
        <f ca="1"/>
      </c>
      <c r="GC68">
        <f ca="1"/>
      </c>
      <c r="GD68">
        <f ca="1"/>
      </c>
      <c r="GE68">
        <f ca="1"/>
      </c>
      <c r="GF68">
        <f ca="1"/>
      </c>
      <c r="GG68">
        <f ca="1"/>
      </c>
      <c r="GH68">
        <f ca="1"/>
      </c>
      <c r="GI68">
        <f ca="1"/>
      </c>
      <c r="GJ68">
        <f ca="1"/>
      </c>
      <c r="GK68">
        <f ca="1"/>
      </c>
      <c r="GL68">
        <f ca="1"/>
      </c>
      <c r="GM68">
        <f ca="1"/>
      </c>
      <c r="GN68">
        <f ca="1"/>
      </c>
      <c r="GO68">
        <f ca="1"/>
      </c>
      <c r="GP68">
        <f ca="1"/>
      </c>
      <c r="GQ68">
        <f ca="1"/>
      </c>
      <c r="GR68">
        <f ca="1"/>
      </c>
      <c r="GS68">
        <f ca="1"/>
      </c>
      <c r="GT68">
        <f ca="1"/>
      </c>
      <c r="GU68">
        <f ca="1"/>
      </c>
      <c r="GV68">
        <f ca="1"/>
      </c>
      <c r="GW68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C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R68">
        <f ca="1"/>
      </c>
      <c r="HS68">
        <f ca="1"/>
      </c>
      <c r="HT68">
        <f ca="1"/>
      </c>
      <c r="HU68">
        <f ca="1"/>
      </c>
      <c r="HV68">
        <f ca="1"/>
      </c>
      <c r="HW68">
        <f ca="1"/>
      </c>
      <c r="HX68">
        <f ca="1"/>
      </c>
      <c r="HY68">
        <f ca="1"/>
      </c>
      <c r="HZ68">
        <f ca="1"/>
      </c>
      <c r="IA68">
        <f ca="1"/>
      </c>
      <c r="IB68">
        <f ca="1"/>
      </c>
      <c r="IC68">
        <f ca="1"/>
      </c>
      <c r="ID68">
        <f ca="1"/>
      </c>
      <c r="IE68">
        <f ca="1"/>
      </c>
      <c r="IF68">
        <f ca="1"/>
      </c>
      <c r="IG68">
        <f ca="1"/>
      </c>
      <c r="IH68">
        <f ca="1"/>
      </c>
      <c r="II68">
        <f ca="1"/>
      </c>
      <c r="IJ68">
        <f ca="1"/>
      </c>
      <c r="IK68">
        <f ca="1"/>
      </c>
      <c r="IL68">
        <f ca="1"/>
      </c>
      <c r="IM68">
        <f ca="1"/>
      </c>
      <c r="IN68">
        <f ca="1"/>
      </c>
      <c r="IO68">
        <f ca="1"/>
      </c>
      <c r="IP68">
        <f ca="1"/>
      </c>
      <c r="IQ68">
        <f ca="1"/>
      </c>
      <c r="IR68">
        <f ca="1"/>
      </c>
      <c r="IS68">
        <f ca="1"/>
      </c>
      <c r="IT68">
        <f ca="1"/>
      </c>
      <c r="IU68">
        <f ca="1"/>
      </c>
      <c r="IV68">
        <f ca="1"/>
      </c>
      <c r="IW68">
        <f ca="1"/>
      </c>
      <c r="IX68">
        <f ca="1"/>
      </c>
      <c r="IY68">
        <f ca="1"/>
      </c>
      <c r="IZ68">
        <f ca="1"/>
      </c>
      <c r="JA68">
        <f ca="1"/>
      </c>
      <c r="JB68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>
        <f ca="1"/>
      </c>
      <c r="H69" s="13">
        <f ca="1"/>
      </c>
      <c r="I69" s="13">
        <f ca="1"/>
      </c>
      <c r="J69" s="13">
        <f ca="1"/>
      </c>
      <c r="K69" s="13">
        <f ca="1"/>
      </c>
      <c r="L69" s="13">
        <f ca="1"/>
      </c>
      <c r="M69" s="13">
        <f ca="1"/>
      </c>
      <c r="N69" s="13">
        <f ca="1"/>
      </c>
      <c r="O69" s="13">
        <f ca="1"/>
      </c>
      <c r="P69" s="13">
        <f ca="1"/>
      </c>
      <c r="Q69" s="13">
        <f ca="1"/>
      </c>
      <c r="R69" s="13">
        <f ca="1"/>
      </c>
      <c r="S69" s="13"/>
      <c r="T69" s="13"/>
      <c r="U69" s="13"/>
      <c r="V69" s="13">
        <f ca="1"/>
      </c>
      <c r="W69" s="13">
        <f ca="1"/>
      </c>
      <c r="X69" s="13">
        <f ca="1"/>
      </c>
      <c r="Y69" s="13">
        <f ca="1"/>
      </c>
      <c r="Z69" s="13">
        <f ca="1"/>
      </c>
      <c r="AA69" s="13">
        <f ca="1"/>
      </c>
      <c r="AB69" s="13">
        <f ca="1"/>
      </c>
      <c r="AC69" s="13">
        <f ca="1"/>
      </c>
      <c r="AD69" s="13">
        <f ca="1"/>
      </c>
      <c r="AE69" s="13">
        <f ca="1"/>
      </c>
      <c r="AF69" s="13">
        <f ca="1"/>
      </c>
      <c r="AG69" s="13">
        <f ca="1"/>
      </c>
      <c r="AH69" s="13"/>
      <c r="AI69" s="13"/>
      <c r="AJ69" s="13"/>
      <c r="AK69" s="13">
        <f ca="1"/>
      </c>
      <c r="AL69" s="13">
        <f ca="1"/>
      </c>
      <c r="AM69" s="13">
        <f ca="1"/>
      </c>
      <c r="AN69" s="13">
        <f ca="1"/>
      </c>
      <c r="AO69" s="13">
        <f ca="1"/>
      </c>
      <c r="AP69" s="13">
        <f ca="1"/>
      </c>
      <c r="AQ69" s="13">
        <f ca="1"/>
      </c>
      <c r="AR69" s="13">
        <f ca="1"/>
      </c>
      <c r="AS69" s="13">
        <f ca="1"/>
      </c>
      <c r="AT69" s="13">
        <f ca="1"/>
      </c>
      <c r="AU69" s="13">
        <f ca="1"/>
      </c>
      <c r="AV69" s="13">
        <f ca="1"/>
      </c>
      <c r="AW69" s="13"/>
      <c r="AX69" s="13"/>
      <c r="AY69" s="13"/>
      <c r="AZ69" s="13"/>
      <c r="BA69" s="13"/>
      <c r="BB69" s="13"/>
      <c r="BC69" s="13"/>
      <c r="BD69" s="13"/>
      <c r="BF69">
        <f ca="1"/>
      </c>
      <c r="BG69">
        <f ca="1"/>
      </c>
      <c r="BI69">
        <f ca="1"/>
      </c>
      <c r="BJ69" s="11">
        <f ca="1"/>
      </c>
      <c r="BK69" s="11">
        <f ca="1"/>
      </c>
      <c r="BL69" s="11">
        <f ca="1"/>
      </c>
      <c r="BM69" s="11">
        <f ca="1"/>
      </c>
      <c r="BN69" s="11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J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F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B69">
        <f ca="1"/>
      </c>
      <c r="GC69">
        <f ca="1"/>
      </c>
      <c r="GD69">
        <f ca="1"/>
      </c>
      <c r="GE69">
        <f ca="1"/>
      </c>
      <c r="GF69">
        <f ca="1"/>
      </c>
      <c r="GG69">
        <f ca="1"/>
      </c>
      <c r="GH69">
        <f ca="1"/>
      </c>
      <c r="GI69">
        <f ca="1"/>
      </c>
      <c r="GJ69">
        <f ca="1"/>
      </c>
      <c r="GK69">
        <f ca="1"/>
      </c>
      <c r="GL69">
        <f ca="1"/>
      </c>
      <c r="GM69">
        <f ca="1"/>
      </c>
      <c r="GN69">
        <f ca="1"/>
      </c>
      <c r="GO69">
        <f ca="1"/>
      </c>
      <c r="GP69">
        <f ca="1"/>
      </c>
      <c r="GQ69">
        <f ca="1"/>
      </c>
      <c r="GR69">
        <f ca="1"/>
      </c>
      <c r="GS69">
        <f ca="1"/>
      </c>
      <c r="GT69">
        <f ca="1"/>
      </c>
      <c r="GU69">
        <f ca="1"/>
      </c>
      <c r="GV69">
        <f ca="1"/>
      </c>
      <c r="GW69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C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R69">
        <f ca="1"/>
      </c>
      <c r="HS69">
        <f ca="1"/>
      </c>
      <c r="HT69">
        <f ca="1"/>
      </c>
      <c r="HU69">
        <f ca="1"/>
      </c>
      <c r="HV69">
        <f ca="1"/>
      </c>
      <c r="HW69">
        <f ca="1"/>
      </c>
      <c r="HX69">
        <f ca="1"/>
      </c>
      <c r="HY69">
        <f ca="1"/>
      </c>
      <c r="HZ69">
        <f ca="1"/>
      </c>
      <c r="IA69">
        <f ca="1"/>
      </c>
      <c r="IB69">
        <f ca="1"/>
      </c>
      <c r="IC69">
        <f ca="1"/>
      </c>
      <c r="ID69">
        <f ca="1"/>
      </c>
      <c r="IE69">
        <f ca="1"/>
      </c>
      <c r="IF69">
        <f ca="1"/>
      </c>
      <c r="IG69">
        <f ca="1"/>
      </c>
      <c r="IH69">
        <f ca="1"/>
      </c>
      <c r="II69">
        <f ca="1"/>
      </c>
      <c r="IJ69">
        <f ca="1"/>
      </c>
      <c r="IK69">
        <f ca="1"/>
      </c>
      <c r="IL69">
        <f ca="1"/>
      </c>
      <c r="IM69">
        <f ca="1"/>
      </c>
      <c r="IN69">
        <f ca="1"/>
      </c>
      <c r="IO69">
        <f ca="1"/>
      </c>
      <c r="IP69">
        <f ca="1"/>
      </c>
      <c r="IQ69">
        <f ca="1"/>
      </c>
      <c r="IR69">
        <f ca="1"/>
      </c>
      <c r="IS69">
        <f ca="1"/>
      </c>
      <c r="IT69">
        <f ca="1"/>
      </c>
      <c r="IU69">
        <f ca="1"/>
      </c>
      <c r="IV69">
        <f ca="1"/>
      </c>
      <c r="IW69">
        <f ca="1"/>
      </c>
      <c r="IX69">
        <f ca="1"/>
      </c>
      <c r="IY69">
        <f ca="1"/>
      </c>
      <c r="IZ69">
        <f ca="1"/>
      </c>
      <c r="JA69">
        <f ca="1"/>
      </c>
      <c r="JB69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>
        <f ca="1"/>
      </c>
      <c r="H70" s="13">
        <f ca="1"/>
      </c>
      <c r="I70" s="13">
        <f ca="1"/>
      </c>
      <c r="J70" s="13">
        <f ca="1"/>
      </c>
      <c r="K70" s="13">
        <f ca="1"/>
      </c>
      <c r="L70" s="13">
        <f ca="1"/>
      </c>
      <c r="M70" s="13">
        <f ca="1"/>
      </c>
      <c r="N70" s="13">
        <f ca="1"/>
      </c>
      <c r="O70" s="13">
        <f ca="1"/>
      </c>
      <c r="P70" s="13">
        <f ca="1"/>
      </c>
      <c r="Q70" s="13">
        <f ca="1"/>
      </c>
      <c r="R70" s="13">
        <f ca="1"/>
      </c>
      <c r="S70" s="13"/>
      <c r="T70" s="13"/>
      <c r="U70" s="13"/>
      <c r="V70" s="13">
        <f ca="1"/>
      </c>
      <c r="W70" s="13">
        <f ca="1"/>
      </c>
      <c r="X70" s="13">
        <f ca="1"/>
      </c>
      <c r="Y70" s="13">
        <f ca="1"/>
      </c>
      <c r="Z70" s="13">
        <f ca="1"/>
      </c>
      <c r="AA70" s="13">
        <f ca="1"/>
      </c>
      <c r="AB70" s="13">
        <f ca="1"/>
      </c>
      <c r="AC70" s="13">
        <f ca="1"/>
      </c>
      <c r="AD70" s="13">
        <f ca="1"/>
      </c>
      <c r="AE70" s="13">
        <f ca="1"/>
      </c>
      <c r="AF70" s="13">
        <f ca="1"/>
      </c>
      <c r="AG70" s="13">
        <f ca="1"/>
      </c>
      <c r="AH70" s="13"/>
      <c r="AI70" s="13"/>
      <c r="AJ70" s="13"/>
      <c r="AK70" s="13">
        <f ca="1"/>
      </c>
      <c r="AL70" s="13">
        <f ca="1"/>
      </c>
      <c r="AM70" s="13">
        <f ca="1"/>
      </c>
      <c r="AN70" s="13">
        <f ca="1"/>
      </c>
      <c r="AO70" s="13">
        <f ca="1"/>
      </c>
      <c r="AP70" s="13">
        <f ca="1"/>
      </c>
      <c r="AQ70" s="13">
        <f ca="1"/>
      </c>
      <c r="AR70" s="13">
        <f ca="1"/>
      </c>
      <c r="AS70" s="13">
        <f ca="1"/>
      </c>
      <c r="AT70" s="13">
        <f ca="1"/>
      </c>
      <c r="AU70" s="13">
        <f ca="1"/>
      </c>
      <c r="AV70" s="13">
        <f ca="1"/>
      </c>
      <c r="AW70" s="13"/>
      <c r="AX70" s="13"/>
      <c r="AY70" s="13"/>
      <c r="AZ70" s="13"/>
      <c r="BA70" s="13"/>
      <c r="BB70" s="13"/>
      <c r="BC70" s="13"/>
      <c r="BD70" s="13"/>
      <c r="BF70">
        <f ca="1"/>
      </c>
      <c r="BG70">
        <f ca="1"/>
      </c>
      <c r="BI70">
        <f ca="1"/>
      </c>
      <c r="BJ70" s="11">
        <f ca="1"/>
      </c>
      <c r="BK70" s="11">
        <f ca="1"/>
      </c>
      <c r="BL70" s="11">
        <f ca="1"/>
      </c>
      <c r="BM70" s="11">
        <f ca="1"/>
      </c>
      <c r="BN70" s="11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J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F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B70">
        <f ca="1"/>
      </c>
      <c r="GC70">
        <f ca="1"/>
      </c>
      <c r="GD70">
        <f ca="1"/>
      </c>
      <c r="GE70">
        <f ca="1"/>
      </c>
      <c r="GF70">
        <f ca="1"/>
      </c>
      <c r="GG70">
        <f ca="1"/>
      </c>
      <c r="GH70">
        <f ca="1"/>
      </c>
      <c r="GI70">
        <f ca="1"/>
      </c>
      <c r="GJ70">
        <f ca="1"/>
      </c>
      <c r="GK70">
        <f ca="1"/>
      </c>
      <c r="GL70">
        <f ca="1"/>
      </c>
      <c r="GM70">
        <f ca="1"/>
      </c>
      <c r="GN70">
        <f ca="1"/>
      </c>
      <c r="GO70">
        <f ca="1"/>
      </c>
      <c r="GP70">
        <f ca="1"/>
      </c>
      <c r="GQ70">
        <f ca="1"/>
      </c>
      <c r="GR70">
        <f ca="1"/>
      </c>
      <c r="GS70">
        <f ca="1"/>
      </c>
      <c r="GT70">
        <f ca="1"/>
      </c>
      <c r="GU70">
        <f ca="1"/>
      </c>
      <c r="GV70">
        <f ca="1"/>
      </c>
      <c r="GW70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C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R70">
        <f ca="1"/>
      </c>
      <c r="HS70">
        <f ca="1"/>
      </c>
      <c r="HT70">
        <f ca="1"/>
      </c>
      <c r="HU70">
        <f ca="1"/>
      </c>
      <c r="HV70">
        <f ca="1"/>
      </c>
      <c r="HW70">
        <f ca="1"/>
      </c>
      <c r="HX70">
        <f ca="1"/>
      </c>
      <c r="HY70">
        <f ca="1"/>
      </c>
      <c r="HZ70">
        <f ca="1"/>
      </c>
      <c r="IA70">
        <f ca="1"/>
      </c>
      <c r="IB70">
        <f ca="1"/>
      </c>
      <c r="IC70">
        <f ca="1"/>
      </c>
      <c r="ID70">
        <f ca="1"/>
      </c>
      <c r="IE70">
        <f ca="1"/>
      </c>
      <c r="IF70">
        <f ca="1"/>
      </c>
      <c r="IG70">
        <f ca="1"/>
      </c>
      <c r="IH70">
        <f ca="1"/>
      </c>
      <c r="II70">
        <f ca="1"/>
      </c>
      <c r="IJ70">
        <f ca="1"/>
      </c>
      <c r="IK70">
        <f ca="1"/>
      </c>
      <c r="IL70">
        <f ca="1"/>
      </c>
      <c r="IM70">
        <f ca="1"/>
      </c>
      <c r="IN70">
        <f ca="1"/>
      </c>
      <c r="IO70">
        <f ca="1"/>
      </c>
      <c r="IP70">
        <f ca="1"/>
      </c>
      <c r="IQ70">
        <f ca="1"/>
      </c>
      <c r="IR70">
        <f ca="1"/>
      </c>
      <c r="IS70">
        <f ca="1"/>
      </c>
      <c r="IT70">
        <f ca="1"/>
      </c>
      <c r="IU70">
        <f ca="1"/>
      </c>
      <c r="IV70">
        <f ca="1"/>
      </c>
      <c r="IW70">
        <f ca="1"/>
      </c>
      <c r="IX70">
        <f ca="1"/>
      </c>
      <c r="IY70">
        <f ca="1"/>
      </c>
      <c r="IZ70">
        <f ca="1"/>
      </c>
      <c r="JA70">
        <f ca="1"/>
      </c>
      <c r="JB70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>
        <f ca="1"/>
      </c>
      <c r="H71" s="13">
        <f ca="1"/>
      </c>
      <c r="I71" s="13">
        <f ca="1"/>
      </c>
      <c r="J71" s="13">
        <f ca="1"/>
      </c>
      <c r="K71" s="13">
        <f ca="1"/>
      </c>
      <c r="L71" s="13">
        <f ca="1"/>
      </c>
      <c r="M71" s="13">
        <f ca="1"/>
      </c>
      <c r="N71" s="13">
        <f ca="1"/>
      </c>
      <c r="O71" s="13">
        <f ca="1"/>
      </c>
      <c r="P71" s="13">
        <f ca="1"/>
      </c>
      <c r="Q71" s="13">
        <f ca="1"/>
      </c>
      <c r="R71" s="13">
        <f ca="1"/>
      </c>
      <c r="S71" s="13"/>
      <c r="T71" s="13"/>
      <c r="U71" s="13"/>
      <c r="V71" s="13">
        <f ca="1"/>
      </c>
      <c r="W71" s="13">
        <f ca="1"/>
      </c>
      <c r="X71" s="13">
        <f ca="1"/>
      </c>
      <c r="Y71" s="13">
        <f ca="1"/>
      </c>
      <c r="Z71" s="13">
        <f ca="1"/>
      </c>
      <c r="AA71" s="13">
        <f ca="1"/>
      </c>
      <c r="AB71" s="13">
        <f ca="1"/>
      </c>
      <c r="AC71" s="13">
        <f ca="1"/>
      </c>
      <c r="AD71" s="13">
        <f ca="1"/>
      </c>
      <c r="AE71" s="13">
        <f ca="1"/>
      </c>
      <c r="AF71" s="13">
        <f ca="1"/>
      </c>
      <c r="AG71" s="13">
        <f ca="1"/>
      </c>
      <c r="AH71" s="13"/>
      <c r="AI71" s="13"/>
      <c r="AJ71" s="13"/>
      <c r="AK71" s="13">
        <f ca="1"/>
      </c>
      <c r="AL71" s="13">
        <f ca="1"/>
      </c>
      <c r="AM71" s="13">
        <f ca="1"/>
      </c>
      <c r="AN71" s="13">
        <f ca="1"/>
      </c>
      <c r="AO71" s="13">
        <f ca="1"/>
      </c>
      <c r="AP71" s="13">
        <f ca="1"/>
      </c>
      <c r="AQ71" s="13">
        <f ca="1"/>
      </c>
      <c r="AR71" s="13">
        <f ca="1"/>
      </c>
      <c r="AS71" s="13">
        <f ca="1"/>
      </c>
      <c r="AT71" s="13">
        <f ca="1"/>
      </c>
      <c r="AU71" s="13">
        <f ca="1"/>
      </c>
      <c r="AV71" s="13">
        <f ca="1"/>
      </c>
      <c r="AW71" s="13"/>
      <c r="AX71" s="13"/>
      <c r="AY71" s="13"/>
      <c r="AZ71" s="13"/>
      <c r="BA71" s="13"/>
      <c r="BB71" s="13"/>
      <c r="BC71" s="13"/>
      <c r="BD71" s="13"/>
      <c r="BF71">
        <f ca="1"/>
      </c>
      <c r="BG71">
        <f ca="1"/>
      </c>
      <c r="BI71">
        <f ca="1"/>
      </c>
      <c r="BJ71" s="11">
        <f ca="1"/>
      </c>
      <c r="BK71" s="11">
        <f ca="1"/>
      </c>
      <c r="BL71" s="11">
        <f ca="1"/>
      </c>
      <c r="BM71" s="11">
        <f ca="1"/>
      </c>
      <c r="BN71" s="1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J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F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B71">
        <f ca="1"/>
      </c>
      <c r="GC71">
        <f ca="1"/>
      </c>
      <c r="GD71">
        <f ca="1"/>
      </c>
      <c r="GE71">
        <f ca="1"/>
      </c>
      <c r="GF71">
        <f ca="1"/>
      </c>
      <c r="GG71">
        <f ca="1"/>
      </c>
      <c r="GH71">
        <f ca="1"/>
      </c>
      <c r="GI71">
        <f ca="1"/>
      </c>
      <c r="GJ71">
        <f ca="1"/>
      </c>
      <c r="GK71">
        <f ca="1"/>
      </c>
      <c r="GL71">
        <f ca="1"/>
      </c>
      <c r="GM71">
        <f ca="1"/>
      </c>
      <c r="GN71">
        <f ca="1"/>
      </c>
      <c r="GO71">
        <f ca="1"/>
      </c>
      <c r="GP71">
        <f ca="1"/>
      </c>
      <c r="GQ71">
        <f ca="1"/>
      </c>
      <c r="GR71">
        <f ca="1"/>
      </c>
      <c r="GS71">
        <f ca="1"/>
      </c>
      <c r="GT71">
        <f ca="1"/>
      </c>
      <c r="GU71">
        <f ca="1"/>
      </c>
      <c r="GV71">
        <f ca="1"/>
      </c>
      <c r="GW7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C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R71">
        <f ca="1"/>
      </c>
      <c r="HS71">
        <f ca="1"/>
      </c>
      <c r="HT71">
        <f ca="1"/>
      </c>
      <c r="HU71">
        <f ca="1"/>
      </c>
      <c r="HV71">
        <f ca="1"/>
      </c>
      <c r="HW71">
        <f ca="1"/>
      </c>
      <c r="HX71">
        <f ca="1"/>
      </c>
      <c r="HY71">
        <f ca="1"/>
      </c>
      <c r="HZ71">
        <f ca="1"/>
      </c>
      <c r="IA71">
        <f ca="1"/>
      </c>
      <c r="IB71">
        <f ca="1"/>
      </c>
      <c r="IC71">
        <f ca="1"/>
      </c>
      <c r="ID71">
        <f ca="1"/>
      </c>
      <c r="IE71">
        <f ca="1"/>
      </c>
      <c r="IF71">
        <f ca="1"/>
      </c>
      <c r="IG71">
        <f ca="1"/>
      </c>
      <c r="IH71">
        <f ca="1"/>
      </c>
      <c r="II71">
        <f ca="1"/>
      </c>
      <c r="IJ71">
        <f ca="1"/>
      </c>
      <c r="IK71">
        <f ca="1"/>
      </c>
      <c r="IL71">
        <f ca="1"/>
      </c>
      <c r="IM71">
        <f ca="1"/>
      </c>
      <c r="IN71">
        <f ca="1"/>
      </c>
      <c r="IO71">
        <f ca="1"/>
      </c>
      <c r="IP71">
        <f ca="1"/>
      </c>
      <c r="IQ71">
        <f ca="1"/>
      </c>
      <c r="IR71">
        <f ca="1"/>
      </c>
      <c r="IS71">
        <f ca="1"/>
      </c>
      <c r="IT71">
        <f ca="1"/>
      </c>
      <c r="IU71">
        <f ca="1"/>
      </c>
      <c r="IV71">
        <f ca="1"/>
      </c>
      <c r="IW71">
        <f ca="1"/>
      </c>
      <c r="IX71">
        <f ca="1"/>
      </c>
      <c r="IY71">
        <f ca="1"/>
      </c>
      <c r="IZ71">
        <f ca="1"/>
      </c>
      <c r="JA71">
        <f ca="1"/>
      </c>
      <c r="JB7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>
        <f ca="1"/>
      </c>
      <c r="H72" s="13">
        <f ca="1"/>
      </c>
      <c r="I72" s="13">
        <f ca="1"/>
      </c>
      <c r="J72" s="13">
        <f ca="1"/>
      </c>
      <c r="K72" s="13">
        <f ca="1"/>
      </c>
      <c r="L72" s="13">
        <f ca="1"/>
      </c>
      <c r="M72" s="13">
        <f ca="1"/>
      </c>
      <c r="N72" s="13">
        <f ca="1"/>
      </c>
      <c r="O72" s="13">
        <f ca="1"/>
      </c>
      <c r="P72" s="13">
        <f ca="1"/>
      </c>
      <c r="Q72" s="13">
        <f ca="1"/>
      </c>
      <c r="R72" s="13">
        <f ca="1"/>
      </c>
      <c r="S72" s="13"/>
      <c r="T72" s="13"/>
      <c r="U72" s="13"/>
      <c r="V72" s="13">
        <f ca="1"/>
      </c>
      <c r="W72" s="13">
        <f ca="1"/>
      </c>
      <c r="X72" s="13">
        <f ca="1"/>
      </c>
      <c r="Y72" s="13">
        <f ca="1"/>
      </c>
      <c r="Z72" s="13">
        <f ca="1"/>
      </c>
      <c r="AA72" s="13">
        <f ca="1"/>
      </c>
      <c r="AB72" s="13">
        <f ca="1"/>
      </c>
      <c r="AC72" s="13">
        <f ca="1"/>
      </c>
      <c r="AD72" s="13">
        <f ca="1"/>
      </c>
      <c r="AE72" s="13">
        <f ca="1"/>
      </c>
      <c r="AF72" s="13">
        <f ca="1"/>
      </c>
      <c r="AG72" s="13">
        <f ca="1"/>
      </c>
      <c r="AH72" s="13"/>
      <c r="AI72" s="13"/>
      <c r="AJ72" s="13"/>
      <c r="AK72" s="13">
        <f ca="1"/>
      </c>
      <c r="AL72" s="13">
        <f ca="1"/>
      </c>
      <c r="AM72" s="13">
        <f ca="1"/>
      </c>
      <c r="AN72" s="13">
        <f ca="1"/>
      </c>
      <c r="AO72" s="13">
        <f ca="1"/>
      </c>
      <c r="AP72" s="13">
        <f ca="1"/>
      </c>
      <c r="AQ72" s="13">
        <f ca="1"/>
      </c>
      <c r="AR72" s="13">
        <f ca="1"/>
      </c>
      <c r="AS72" s="13">
        <f ca="1"/>
      </c>
      <c r="AT72" s="13">
        <f ca="1"/>
      </c>
      <c r="AU72" s="13">
        <f ca="1"/>
      </c>
      <c r="AV72" s="13">
        <f ca="1"/>
      </c>
      <c r="AW72" s="13"/>
      <c r="AX72" s="13"/>
      <c r="AY72" s="13"/>
      <c r="AZ72" s="13"/>
      <c r="BA72" s="13"/>
      <c r="BB72" s="13"/>
      <c r="BC72" s="13"/>
      <c r="BD72" s="13"/>
      <c r="BF72">
        <f ca="1"/>
      </c>
      <c r="BG72">
        <f ca="1"/>
      </c>
      <c r="BI72">
        <f ca="1"/>
      </c>
      <c r="BJ72" s="11">
        <f ca="1"/>
      </c>
      <c r="BK72" s="11">
        <f ca="1"/>
      </c>
      <c r="BL72" s="11">
        <f ca="1"/>
      </c>
      <c r="BM72" s="11">
        <f ca="1"/>
      </c>
      <c r="BN72" s="11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J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F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B72">
        <f ca="1"/>
      </c>
      <c r="GC72">
        <f ca="1"/>
      </c>
      <c r="GD72">
        <f ca="1"/>
      </c>
      <c r="GE72">
        <f ca="1"/>
      </c>
      <c r="GF72">
        <f ca="1"/>
      </c>
      <c r="GG72">
        <f ca="1"/>
      </c>
      <c r="GH72">
        <f ca="1"/>
      </c>
      <c r="GI72">
        <f ca="1"/>
      </c>
      <c r="GJ72">
        <f ca="1"/>
      </c>
      <c r="GK72">
        <f ca="1"/>
      </c>
      <c r="GL72">
        <f ca="1"/>
      </c>
      <c r="GM72">
        <f ca="1"/>
      </c>
      <c r="GN72">
        <f ca="1"/>
      </c>
      <c r="GO72">
        <f ca="1"/>
      </c>
      <c r="GP72">
        <f ca="1"/>
      </c>
      <c r="GQ72">
        <f ca="1"/>
      </c>
      <c r="GR72">
        <f ca="1"/>
      </c>
      <c r="GS72">
        <f ca="1"/>
      </c>
      <c r="GT72">
        <f ca="1"/>
      </c>
      <c r="GU72">
        <f ca="1"/>
      </c>
      <c r="GV72">
        <f ca="1"/>
      </c>
      <c r="GW72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C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R72">
        <f ca="1"/>
      </c>
      <c r="HS72">
        <f ca="1"/>
      </c>
      <c r="HT72">
        <f ca="1"/>
      </c>
      <c r="HU72">
        <f ca="1"/>
      </c>
      <c r="HV72">
        <f ca="1"/>
      </c>
      <c r="HW72">
        <f ca="1"/>
      </c>
      <c r="HX72">
        <f ca="1"/>
      </c>
      <c r="HY72">
        <f ca="1"/>
      </c>
      <c r="HZ72">
        <f ca="1"/>
      </c>
      <c r="IA72">
        <f ca="1"/>
      </c>
      <c r="IB72">
        <f ca="1"/>
      </c>
      <c r="IC72">
        <f ca="1"/>
      </c>
      <c r="ID72">
        <f ca="1"/>
      </c>
      <c r="IE72">
        <f ca="1"/>
      </c>
      <c r="IF72">
        <f ca="1"/>
      </c>
      <c r="IG72">
        <f ca="1"/>
      </c>
      <c r="IH72">
        <f ca="1"/>
      </c>
      <c r="II72">
        <f ca="1"/>
      </c>
      <c r="IJ72">
        <f ca="1"/>
      </c>
      <c r="IK72">
        <f ca="1"/>
      </c>
      <c r="IL72">
        <f ca="1"/>
      </c>
      <c r="IM72">
        <f ca="1"/>
      </c>
      <c r="IN72">
        <f ca="1"/>
      </c>
      <c r="IO72">
        <f ca="1"/>
      </c>
      <c r="IP72">
        <f ca="1"/>
      </c>
      <c r="IQ72">
        <f ca="1"/>
      </c>
      <c r="IR72">
        <f ca="1"/>
      </c>
      <c r="IS72">
        <f ca="1"/>
      </c>
      <c r="IT72">
        <f ca="1"/>
      </c>
      <c r="IU72">
        <f ca="1"/>
      </c>
      <c r="IV72">
        <f ca="1"/>
      </c>
      <c r="IW72">
        <f ca="1"/>
      </c>
      <c r="IX72">
        <f ca="1"/>
      </c>
      <c r="IY72">
        <f ca="1"/>
      </c>
      <c r="IZ72">
        <f ca="1"/>
      </c>
      <c r="JA72">
        <f ca="1"/>
      </c>
      <c r="JB72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>
        <f ca="1"/>
      </c>
      <c r="H73" s="13">
        <f ca="1"/>
      </c>
      <c r="I73" s="13">
        <f ca="1"/>
      </c>
      <c r="J73" s="13">
        <f ca="1"/>
      </c>
      <c r="K73" s="13">
        <f ca="1"/>
      </c>
      <c r="L73" s="13">
        <f ca="1"/>
      </c>
      <c r="M73" s="13">
        <f ca="1"/>
      </c>
      <c r="N73" s="13">
        <f ca="1"/>
      </c>
      <c r="O73" s="13">
        <f ca="1"/>
      </c>
      <c r="P73" s="13">
        <f ca="1"/>
      </c>
      <c r="Q73" s="13">
        <f ca="1"/>
      </c>
      <c r="R73" s="13">
        <f ca="1"/>
      </c>
      <c r="S73" s="13"/>
      <c r="T73" s="13"/>
      <c r="U73" s="13"/>
      <c r="V73" s="13">
        <f ca="1"/>
      </c>
      <c r="W73" s="13">
        <f ca="1"/>
      </c>
      <c r="X73" s="13">
        <f ca="1"/>
      </c>
      <c r="Y73" s="13">
        <f ca="1"/>
      </c>
      <c r="Z73" s="13">
        <f ca="1"/>
      </c>
      <c r="AA73" s="13">
        <f ca="1"/>
      </c>
      <c r="AB73" s="13">
        <f ca="1"/>
      </c>
      <c r="AC73" s="13">
        <f ca="1"/>
      </c>
      <c r="AD73" s="13">
        <f ca="1"/>
      </c>
      <c r="AE73" s="13">
        <f ca="1"/>
      </c>
      <c r="AF73" s="13">
        <f ca="1"/>
      </c>
      <c r="AG73" s="13">
        <f ca="1"/>
      </c>
      <c r="AH73" s="13"/>
      <c r="AI73" s="13"/>
      <c r="AJ73" s="13"/>
      <c r="AK73" s="13">
        <f ca="1"/>
      </c>
      <c r="AL73" s="13">
        <f ca="1"/>
      </c>
      <c r="AM73" s="13">
        <f ca="1"/>
      </c>
      <c r="AN73" s="13">
        <f ca="1"/>
      </c>
      <c r="AO73" s="13">
        <f ca="1"/>
      </c>
      <c r="AP73" s="13">
        <f ca="1"/>
      </c>
      <c r="AQ73" s="13">
        <f ca="1"/>
      </c>
      <c r="AR73" s="13">
        <f ca="1"/>
      </c>
      <c r="AS73" s="13">
        <f ca="1"/>
      </c>
      <c r="AT73" s="13">
        <f ca="1"/>
      </c>
      <c r="AU73" s="13">
        <f ca="1"/>
      </c>
      <c r="AV73" s="13">
        <f ca="1"/>
      </c>
      <c r="AW73" s="13"/>
      <c r="AX73" s="13"/>
      <c r="AY73" s="13"/>
      <c r="AZ73" s="13"/>
      <c r="BA73" s="13"/>
      <c r="BB73" s="13"/>
      <c r="BC73" s="13"/>
      <c r="BD73" s="13"/>
      <c r="BF73">
        <f ca="1"/>
      </c>
      <c r="BG73">
        <f ca="1"/>
      </c>
      <c r="BI73">
        <f ca="1"/>
      </c>
      <c r="BJ73" s="11">
        <f ca="1"/>
      </c>
      <c r="BK73" s="11">
        <f ca="1"/>
      </c>
      <c r="BL73" s="11">
        <f ca="1"/>
      </c>
      <c r="BM73" s="11">
        <f ca="1"/>
      </c>
      <c r="BN73" s="11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J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F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B73">
        <f ca="1"/>
      </c>
      <c r="GC73">
        <f ca="1"/>
      </c>
      <c r="GD73">
        <f ca="1"/>
      </c>
      <c r="GE73">
        <f ca="1"/>
      </c>
      <c r="GF73">
        <f ca="1"/>
      </c>
      <c r="GG73">
        <f ca="1"/>
      </c>
      <c r="GH73">
        <f ca="1"/>
      </c>
      <c r="GI73">
        <f ca="1"/>
      </c>
      <c r="GJ73">
        <f ca="1"/>
      </c>
      <c r="GK73">
        <f ca="1"/>
      </c>
      <c r="GL73">
        <f ca="1"/>
      </c>
      <c r="GM73">
        <f ca="1"/>
      </c>
      <c r="GN73">
        <f ca="1"/>
      </c>
      <c r="GO73">
        <f ca="1"/>
      </c>
      <c r="GP73">
        <f ca="1"/>
      </c>
      <c r="GQ73">
        <f ca="1"/>
      </c>
      <c r="GR73">
        <f ca="1"/>
      </c>
      <c r="GS73">
        <f ca="1"/>
      </c>
      <c r="GT73">
        <f ca="1"/>
      </c>
      <c r="GU73">
        <f ca="1"/>
      </c>
      <c r="GV73">
        <f ca="1"/>
      </c>
      <c r="GW73">
        <f ca="1"/>
      </c>
      <c r="GX73">
        <f ca="1"/>
      </c>
      <c r="GY73">
        <f ca="1"/>
      </c>
      <c r="GZ73">
        <f ca="1"/>
      </c>
      <c r="HA73">
        <f ca="1"/>
      </c>
      <c r="HB73">
        <f ca="1"/>
      </c>
      <c r="HC73">
        <f ca="1"/>
      </c>
      <c r="HD73">
        <f ca="1"/>
      </c>
      <c r="HE73">
        <f ca="1"/>
      </c>
      <c r="HF73">
        <f ca="1"/>
      </c>
      <c r="HG73">
        <f ca="1"/>
      </c>
      <c r="HH73">
        <f ca="1"/>
      </c>
      <c r="HI73">
        <f ca="1"/>
      </c>
      <c r="HJ73">
        <f ca="1"/>
      </c>
      <c r="HK73">
        <f ca="1"/>
      </c>
      <c r="HL73">
        <f ca="1"/>
      </c>
      <c r="HM73">
        <f ca="1"/>
      </c>
      <c r="HN73">
        <f ca="1"/>
      </c>
      <c r="HO73">
        <f ca="1"/>
      </c>
      <c r="HP73">
        <f ca="1"/>
      </c>
      <c r="HQ73">
        <f ca="1"/>
      </c>
      <c r="HR73">
        <f ca="1"/>
      </c>
      <c r="HS73">
        <f ca="1"/>
      </c>
      <c r="HT73">
        <f ca="1"/>
      </c>
      <c r="HU73">
        <f ca="1"/>
      </c>
      <c r="HV73">
        <f ca="1"/>
      </c>
      <c r="HW73">
        <f ca="1"/>
      </c>
      <c r="HX73">
        <f ca="1"/>
      </c>
      <c r="HY73">
        <f ca="1"/>
      </c>
      <c r="HZ73">
        <f ca="1"/>
      </c>
      <c r="IA73">
        <f ca="1"/>
      </c>
      <c r="IB73">
        <f ca="1"/>
      </c>
      <c r="IC73">
        <f ca="1"/>
      </c>
      <c r="ID73">
        <f ca="1"/>
      </c>
      <c r="IE73">
        <f ca="1"/>
      </c>
      <c r="IF73">
        <f ca="1"/>
      </c>
      <c r="IG73">
        <f ca="1"/>
      </c>
      <c r="IH73">
        <f ca="1"/>
      </c>
      <c r="II73">
        <f ca="1"/>
      </c>
      <c r="IJ73">
        <f ca="1"/>
      </c>
      <c r="IK73">
        <f ca="1"/>
      </c>
      <c r="IL73">
        <f ca="1"/>
      </c>
      <c r="IM73">
        <f ca="1"/>
      </c>
      <c r="IN73">
        <f ca="1"/>
      </c>
      <c r="IO73">
        <f ca="1"/>
      </c>
      <c r="IP73">
        <f ca="1"/>
      </c>
      <c r="IQ73">
        <f ca="1"/>
      </c>
      <c r="IR73">
        <f ca="1"/>
      </c>
      <c r="IS73">
        <f ca="1"/>
      </c>
      <c r="IT73">
        <f ca="1"/>
      </c>
      <c r="IU73">
        <f ca="1"/>
      </c>
      <c r="IV73">
        <f ca="1"/>
      </c>
      <c r="IW73">
        <f ca="1"/>
      </c>
      <c r="IX73">
        <f ca="1"/>
      </c>
      <c r="IY73">
        <f ca="1"/>
      </c>
      <c r="IZ73">
        <f ca="1"/>
      </c>
      <c r="JA73">
        <f ca="1"/>
      </c>
      <c r="JB73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>
        <f ca="1"/>
      </c>
      <c r="H74" s="13">
        <f ca="1"/>
      </c>
      <c r="I74" s="13">
        <f ca="1"/>
      </c>
      <c r="J74" s="13">
        <f ca="1"/>
      </c>
      <c r="K74" s="13">
        <f ca="1"/>
      </c>
      <c r="L74" s="13">
        <f ca="1"/>
      </c>
      <c r="M74" s="13">
        <f ca="1"/>
      </c>
      <c r="N74" s="13">
        <f ca="1"/>
      </c>
      <c r="O74" s="13">
        <f ca="1"/>
      </c>
      <c r="P74" s="13">
        <f ca="1"/>
      </c>
      <c r="Q74" s="13">
        <f ca="1"/>
      </c>
      <c r="R74" s="13">
        <f ca="1"/>
      </c>
      <c r="S74" s="13"/>
      <c r="T74" s="13"/>
      <c r="U74" s="13"/>
      <c r="V74" s="13">
        <f ca="1"/>
      </c>
      <c r="W74" s="13">
        <f ca="1"/>
      </c>
      <c r="X74" s="13">
        <f ca="1"/>
      </c>
      <c r="Y74" s="13">
        <f ca="1"/>
      </c>
      <c r="Z74" s="13">
        <f ca="1"/>
      </c>
      <c r="AA74" s="13">
        <f ca="1"/>
      </c>
      <c r="AB74" s="13">
        <f ca="1"/>
      </c>
      <c r="AC74" s="13">
        <f ca="1"/>
      </c>
      <c r="AD74" s="13">
        <f ca="1"/>
      </c>
      <c r="AE74" s="13">
        <f ca="1"/>
      </c>
      <c r="AF74" s="13">
        <f ca="1"/>
      </c>
      <c r="AG74" s="13">
        <f ca="1"/>
      </c>
      <c r="AH74" s="13"/>
      <c r="AI74" s="13"/>
      <c r="AJ74" s="13"/>
      <c r="AK74" s="13">
        <f ca="1"/>
      </c>
      <c r="AL74" s="13">
        <f ca="1"/>
      </c>
      <c r="AM74" s="13">
        <f ca="1"/>
      </c>
      <c r="AN74" s="13">
        <f ca="1"/>
      </c>
      <c r="AO74" s="13">
        <f ca="1"/>
      </c>
      <c r="AP74" s="13">
        <f ca="1"/>
      </c>
      <c r="AQ74" s="13">
        <f ca="1"/>
      </c>
      <c r="AR74" s="13">
        <f ca="1"/>
      </c>
      <c r="AS74" s="13">
        <f ca="1"/>
      </c>
      <c r="AT74" s="13">
        <f ca="1"/>
      </c>
      <c r="AU74" s="13">
        <f ca="1"/>
      </c>
      <c r="AV74" s="13">
        <f ca="1"/>
      </c>
      <c r="AW74" s="13"/>
      <c r="AX74" s="13"/>
      <c r="AY74" s="13"/>
      <c r="AZ74" s="13"/>
      <c r="BA74" s="13"/>
      <c r="BB74" s="13"/>
      <c r="BC74" s="13"/>
      <c r="BD74" s="13"/>
      <c r="BF74">
        <f ca="1"/>
      </c>
      <c r="BG74">
        <f ca="1"/>
      </c>
      <c r="BI74">
        <f ca="1"/>
      </c>
      <c r="BJ74" s="11">
        <f ca="1"/>
      </c>
      <c r="BK74" s="11">
        <f ca="1"/>
      </c>
      <c r="BL74" s="11">
        <f ca="1"/>
      </c>
      <c r="BM74" s="11">
        <f ca="1"/>
      </c>
      <c r="BN74" s="11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J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F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B74">
        <f ca="1"/>
      </c>
      <c r="GC74">
        <f ca="1"/>
      </c>
      <c r="GD74">
        <f ca="1"/>
      </c>
      <c r="GE74">
        <f ca="1"/>
      </c>
      <c r="GF74">
        <f ca="1"/>
      </c>
      <c r="GG74">
        <f ca="1"/>
      </c>
      <c r="GH74">
        <f ca="1"/>
      </c>
      <c r="GI74">
        <f ca="1"/>
      </c>
      <c r="GJ74">
        <f ca="1"/>
      </c>
      <c r="GK74">
        <f ca="1"/>
      </c>
      <c r="GL74">
        <f ca="1"/>
      </c>
      <c r="GM74">
        <f ca="1"/>
      </c>
      <c r="GN74">
        <f ca="1"/>
      </c>
      <c r="GO74">
        <f ca="1"/>
      </c>
      <c r="GP74">
        <f ca="1"/>
      </c>
      <c r="GQ74">
        <f ca="1"/>
      </c>
      <c r="GR74">
        <f ca="1"/>
      </c>
      <c r="GS74">
        <f ca="1"/>
      </c>
      <c r="GT74">
        <f ca="1"/>
      </c>
      <c r="GU74">
        <f ca="1"/>
      </c>
      <c r="GV74">
        <f ca="1"/>
      </c>
      <c r="GW74">
        <f ca="1"/>
      </c>
      <c r="GX74">
        <f ca="1"/>
      </c>
      <c r="GY74">
        <f ca="1"/>
      </c>
      <c r="GZ74">
        <f ca="1"/>
      </c>
      <c r="HA74">
        <f ca="1"/>
      </c>
      <c r="HB74">
        <f ca="1"/>
      </c>
      <c r="HC74">
        <f ca="1"/>
      </c>
      <c r="HD74">
        <f ca="1"/>
      </c>
      <c r="HE74">
        <f ca="1"/>
      </c>
      <c r="HF74">
        <f ca="1"/>
      </c>
      <c r="HG74">
        <f ca="1"/>
      </c>
      <c r="HH74">
        <f ca="1"/>
      </c>
      <c r="HI74">
        <f ca="1"/>
      </c>
      <c r="HJ74">
        <f ca="1"/>
      </c>
      <c r="HK74">
        <f ca="1"/>
      </c>
      <c r="HL74">
        <f ca="1"/>
      </c>
      <c r="HM74">
        <f ca="1"/>
      </c>
      <c r="HN74">
        <f ca="1"/>
      </c>
      <c r="HO74">
        <f ca="1"/>
      </c>
      <c r="HP74">
        <f ca="1"/>
      </c>
      <c r="HQ74">
        <f ca="1"/>
      </c>
      <c r="HR74">
        <f ca="1"/>
      </c>
      <c r="HS74">
        <f ca="1"/>
      </c>
      <c r="HT74">
        <f ca="1"/>
      </c>
      <c r="HU74">
        <f ca="1"/>
      </c>
      <c r="HV74">
        <f ca="1"/>
      </c>
      <c r="HW74">
        <f ca="1"/>
      </c>
      <c r="HX74">
        <f ca="1"/>
      </c>
      <c r="HY74">
        <f ca="1"/>
      </c>
      <c r="HZ74">
        <f ca="1"/>
      </c>
      <c r="IA74">
        <f ca="1"/>
      </c>
      <c r="IB74">
        <f ca="1"/>
      </c>
      <c r="IC74">
        <f ca="1"/>
      </c>
      <c r="ID74">
        <f ca="1"/>
      </c>
      <c r="IE74">
        <f ca="1"/>
      </c>
      <c r="IF74">
        <f ca="1"/>
      </c>
      <c r="IG74">
        <f ca="1"/>
      </c>
      <c r="IH74">
        <f ca="1"/>
      </c>
      <c r="II74">
        <f ca="1"/>
      </c>
      <c r="IJ74">
        <f ca="1"/>
      </c>
      <c r="IK74">
        <f ca="1"/>
      </c>
      <c r="IL74">
        <f ca="1"/>
      </c>
      <c r="IM74">
        <f ca="1"/>
      </c>
      <c r="IN74">
        <f ca="1"/>
      </c>
      <c r="IO74">
        <f ca="1"/>
      </c>
      <c r="IP74">
        <f ca="1"/>
      </c>
      <c r="IQ74">
        <f ca="1"/>
      </c>
      <c r="IR74">
        <f ca="1"/>
      </c>
      <c r="IS74">
        <f ca="1"/>
      </c>
      <c r="IT74">
        <f ca="1"/>
      </c>
      <c r="IU74">
        <f ca="1"/>
      </c>
      <c r="IV74">
        <f ca="1"/>
      </c>
      <c r="IW74">
        <f ca="1"/>
      </c>
      <c r="IX74">
        <f ca="1"/>
      </c>
      <c r="IY74">
        <f ca="1"/>
      </c>
      <c r="IZ74">
        <f ca="1"/>
      </c>
      <c r="JA74">
        <f ca="1"/>
      </c>
      <c r="JB74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>
        <f ca="1"/>
      </c>
      <c r="H75" s="13">
        <f ca="1"/>
      </c>
      <c r="I75" s="13">
        <f ca="1"/>
      </c>
      <c r="J75" s="13">
        <f ca="1"/>
      </c>
      <c r="K75" s="13">
        <f ca="1"/>
      </c>
      <c r="L75" s="13">
        <f ca="1"/>
      </c>
      <c r="M75" s="13">
        <f ca="1"/>
      </c>
      <c r="N75" s="13">
        <f ca="1"/>
      </c>
      <c r="O75" s="13">
        <f ca="1"/>
      </c>
      <c r="P75" s="13">
        <f ca="1"/>
      </c>
      <c r="Q75" s="13">
        <f ca="1"/>
      </c>
      <c r="R75" s="13">
        <f ca="1"/>
      </c>
      <c r="S75" s="13"/>
      <c r="T75" s="13"/>
      <c r="U75" s="13"/>
      <c r="V75" s="13">
        <f ca="1"/>
      </c>
      <c r="W75" s="13">
        <f ca="1"/>
      </c>
      <c r="X75" s="13">
        <f ca="1"/>
      </c>
      <c r="Y75" s="13">
        <f ca="1"/>
      </c>
      <c r="Z75" s="13">
        <f ca="1"/>
      </c>
      <c r="AA75" s="13">
        <f ca="1"/>
      </c>
      <c r="AB75" s="13">
        <f ca="1"/>
      </c>
      <c r="AC75" s="13">
        <f ca="1"/>
      </c>
      <c r="AD75" s="13">
        <f ca="1"/>
      </c>
      <c r="AE75" s="13">
        <f ca="1"/>
      </c>
      <c r="AF75" s="13">
        <f ca="1"/>
      </c>
      <c r="AG75" s="13">
        <f ca="1"/>
      </c>
      <c r="AH75" s="13"/>
      <c r="AI75" s="13"/>
      <c r="AJ75" s="13"/>
      <c r="AK75" s="13">
        <f ca="1"/>
      </c>
      <c r="AL75" s="13">
        <f ca="1"/>
      </c>
      <c r="AM75" s="13">
        <f ca="1"/>
      </c>
      <c r="AN75" s="13">
        <f ca="1"/>
      </c>
      <c r="AO75" s="13">
        <f ca="1"/>
      </c>
      <c r="AP75" s="13">
        <f ca="1"/>
      </c>
      <c r="AQ75" s="13">
        <f ca="1"/>
      </c>
      <c r="AR75" s="13">
        <f ca="1"/>
      </c>
      <c r="AS75" s="13">
        <f ca="1"/>
      </c>
      <c r="AT75" s="13">
        <f ca="1"/>
      </c>
      <c r="AU75" s="13">
        <f ca="1"/>
      </c>
      <c r="AV75" s="13">
        <f ca="1"/>
      </c>
      <c r="AW75" s="13"/>
      <c r="AX75" s="13"/>
      <c r="AY75" s="13"/>
      <c r="AZ75" s="13"/>
      <c r="BA75" s="13"/>
      <c r="BB75" s="13"/>
      <c r="BC75" s="13"/>
      <c r="BD75" s="13"/>
      <c r="BF75">
        <f ca="1"/>
      </c>
      <c r="BG75">
        <f ca="1"/>
      </c>
      <c r="BI75">
        <f ca="1"/>
      </c>
      <c r="BJ75" s="11">
        <f ca="1"/>
      </c>
      <c r="BK75" s="11">
        <f ca="1"/>
      </c>
      <c r="BL75" s="11">
        <f ca="1"/>
      </c>
      <c r="BM75" s="11">
        <f ca="1"/>
      </c>
      <c r="BN75" s="11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J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F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B75">
        <f ca="1"/>
      </c>
      <c r="GC75">
        <f ca="1"/>
      </c>
      <c r="GD75">
        <f ca="1"/>
      </c>
      <c r="GE75">
        <f ca="1"/>
      </c>
      <c r="GF75">
        <f ca="1"/>
      </c>
      <c r="GG75">
        <f ca="1"/>
      </c>
      <c r="GH75">
        <f ca="1"/>
      </c>
      <c r="GI75">
        <f ca="1"/>
      </c>
      <c r="GJ75">
        <f ca="1"/>
      </c>
      <c r="GK75">
        <f ca="1"/>
      </c>
      <c r="GL75">
        <f ca="1"/>
      </c>
      <c r="GM75">
        <f ca="1"/>
      </c>
      <c r="GN75">
        <f ca="1"/>
      </c>
      <c r="GO75">
        <f ca="1"/>
      </c>
      <c r="GP75">
        <f ca="1"/>
      </c>
      <c r="GQ75">
        <f ca="1"/>
      </c>
      <c r="GR75">
        <f ca="1"/>
      </c>
      <c r="GS75">
        <f ca="1"/>
      </c>
      <c r="GT75">
        <f ca="1"/>
      </c>
      <c r="GU75">
        <f ca="1"/>
      </c>
      <c r="GV75">
        <f ca="1"/>
      </c>
      <c r="GW75">
        <f ca="1"/>
      </c>
      <c r="GX75">
        <f ca="1"/>
      </c>
      <c r="GY75">
        <f ca="1"/>
      </c>
      <c r="GZ75">
        <f ca="1"/>
      </c>
      <c r="HA75">
        <f ca="1"/>
      </c>
      <c r="HB75">
        <f ca="1"/>
      </c>
      <c r="HC75">
        <f ca="1"/>
      </c>
      <c r="HD75">
        <f ca="1"/>
      </c>
      <c r="HE75">
        <f ca="1"/>
      </c>
      <c r="HF75">
        <f ca="1"/>
      </c>
      <c r="HG75">
        <f ca="1"/>
      </c>
      <c r="HH75">
        <f ca="1"/>
      </c>
      <c r="HI75">
        <f ca="1"/>
      </c>
      <c r="HJ75">
        <f ca="1"/>
      </c>
      <c r="HK75">
        <f ca="1"/>
      </c>
      <c r="HL75">
        <f ca="1"/>
      </c>
      <c r="HM75">
        <f ca="1"/>
      </c>
      <c r="HN75">
        <f ca="1"/>
      </c>
      <c r="HO75">
        <f ca="1"/>
      </c>
      <c r="HP75">
        <f ca="1"/>
      </c>
      <c r="HQ75">
        <f ca="1"/>
      </c>
      <c r="HR75">
        <f ca="1"/>
      </c>
      <c r="HS75">
        <f ca="1"/>
      </c>
      <c r="HT75">
        <f ca="1"/>
      </c>
      <c r="HU75">
        <f ca="1"/>
      </c>
      <c r="HV75">
        <f ca="1"/>
      </c>
      <c r="HW75">
        <f ca="1"/>
      </c>
      <c r="HX75">
        <f ca="1"/>
      </c>
      <c r="HY75">
        <f ca="1"/>
      </c>
      <c r="HZ75">
        <f ca="1"/>
      </c>
      <c r="IA75">
        <f ca="1"/>
      </c>
      <c r="IB75">
        <f ca="1"/>
      </c>
      <c r="IC75">
        <f ca="1"/>
      </c>
      <c r="ID75">
        <f ca="1"/>
      </c>
      <c r="IE75">
        <f ca="1"/>
      </c>
      <c r="IF75">
        <f ca="1"/>
      </c>
      <c r="IG75">
        <f ca="1"/>
      </c>
      <c r="IH75">
        <f ca="1"/>
      </c>
      <c r="II75">
        <f ca="1"/>
      </c>
      <c r="IJ75">
        <f ca="1"/>
      </c>
      <c r="IK75">
        <f ca="1"/>
      </c>
      <c r="IL75">
        <f ca="1"/>
      </c>
      <c r="IM75">
        <f ca="1"/>
      </c>
      <c r="IN75">
        <f ca="1"/>
      </c>
      <c r="IO75">
        <f ca="1"/>
      </c>
      <c r="IP75">
        <f ca="1"/>
      </c>
      <c r="IQ75">
        <f ca="1"/>
      </c>
      <c r="IR75">
        <f ca="1"/>
      </c>
      <c r="IS75">
        <f ca="1"/>
      </c>
      <c r="IT75">
        <f ca="1"/>
      </c>
      <c r="IU75">
        <f ca="1"/>
      </c>
      <c r="IV75">
        <f ca="1"/>
      </c>
      <c r="IW75">
        <f ca="1"/>
      </c>
      <c r="IX75">
        <f ca="1"/>
      </c>
      <c r="IY75">
        <f ca="1"/>
      </c>
      <c r="IZ75">
        <f ca="1"/>
      </c>
      <c r="JA75">
        <f ca="1"/>
      </c>
      <c r="JB75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F76">
        <f ca="1"/>
      </c>
      <c r="BG76">
        <f ca="1"/>
      </c>
      <c r="BI76">
        <f ca="1"/>
      </c>
      <c r="BJ76" s="11">
        <f ca="1"/>
      </c>
      <c r="BK76" s="11">
        <f ca="1"/>
      </c>
      <c r="BL76" s="11">
        <f ca="1"/>
      </c>
      <c r="BM76" s="11">
        <f ca="1"/>
      </c>
      <c r="BN76" s="11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J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F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B76">
        <f ca="1"/>
      </c>
      <c r="GC76">
        <f ca="1"/>
      </c>
      <c r="GD76">
        <f ca="1"/>
      </c>
      <c r="GE76">
        <f ca="1"/>
      </c>
      <c r="GF76">
        <f ca="1"/>
      </c>
      <c r="GG76">
        <f ca="1"/>
      </c>
      <c r="GH76">
        <f ca="1"/>
      </c>
      <c r="GI76">
        <f ca="1"/>
      </c>
      <c r="GJ76">
        <f ca="1"/>
      </c>
      <c r="GK76">
        <f ca="1"/>
      </c>
      <c r="GL76">
        <f ca="1"/>
      </c>
      <c r="GM76">
        <f ca="1"/>
      </c>
      <c r="GN76">
        <f ca="1"/>
      </c>
      <c r="GO76">
        <f ca="1"/>
      </c>
      <c r="GP76">
        <f ca="1"/>
      </c>
      <c r="GQ76">
        <f ca="1"/>
      </c>
      <c r="GR76">
        <f ca="1"/>
      </c>
      <c r="GS76">
        <f ca="1"/>
      </c>
      <c r="GT76">
        <f ca="1"/>
      </c>
      <c r="GU76">
        <f ca="1"/>
      </c>
      <c r="GV76">
        <f ca="1"/>
      </c>
      <c r="GW76">
        <f ca="1"/>
      </c>
      <c r="GX76">
        <f ca="1"/>
      </c>
      <c r="GY76">
        <f ca="1"/>
      </c>
      <c r="GZ76">
        <f ca="1"/>
      </c>
      <c r="HA76">
        <f ca="1"/>
      </c>
      <c r="HB76">
        <f ca="1"/>
      </c>
      <c r="HC76">
        <f ca="1"/>
      </c>
      <c r="HD76">
        <f ca="1"/>
      </c>
      <c r="HE76">
        <f ca="1"/>
      </c>
      <c r="HF76">
        <f ca="1"/>
      </c>
      <c r="HG76">
        <f ca="1"/>
      </c>
      <c r="HH76">
        <f ca="1"/>
      </c>
      <c r="HI76">
        <f ca="1"/>
      </c>
      <c r="HJ76">
        <f ca="1"/>
      </c>
      <c r="HK76">
        <f ca="1"/>
      </c>
      <c r="HL76">
        <f ca="1"/>
      </c>
      <c r="HM76">
        <f ca="1"/>
      </c>
      <c r="HN76">
        <f ca="1"/>
      </c>
      <c r="HO76">
        <f ca="1"/>
      </c>
      <c r="HP76">
        <f ca="1"/>
      </c>
      <c r="HQ76">
        <f ca="1"/>
      </c>
      <c r="HR76">
        <f ca="1"/>
      </c>
      <c r="HS76">
        <f ca="1"/>
      </c>
      <c r="HT76">
        <f ca="1"/>
      </c>
      <c r="HU76">
        <f ca="1"/>
      </c>
      <c r="HV76">
        <f ca="1"/>
      </c>
      <c r="HW76">
        <f ca="1"/>
      </c>
      <c r="HX76">
        <f ca="1"/>
      </c>
      <c r="HY76">
        <f ca="1"/>
      </c>
      <c r="HZ76">
        <f ca="1"/>
      </c>
      <c r="IA76">
        <f ca="1"/>
      </c>
      <c r="IB76">
        <f ca="1"/>
      </c>
      <c r="IC76">
        <f ca="1"/>
      </c>
      <c r="ID76">
        <f ca="1"/>
      </c>
      <c r="IE76">
        <f ca="1"/>
      </c>
      <c r="IF76">
        <f ca="1"/>
      </c>
      <c r="IG76">
        <f ca="1"/>
      </c>
      <c r="IH76">
        <f ca="1"/>
      </c>
      <c r="II76">
        <f ca="1"/>
      </c>
      <c r="IJ76">
        <f ca="1"/>
      </c>
      <c r="IK76">
        <f ca="1"/>
      </c>
      <c r="IL76">
        <f ca="1"/>
      </c>
      <c r="IM76">
        <f ca="1"/>
      </c>
      <c r="IN76">
        <f ca="1"/>
      </c>
      <c r="IO76">
        <f ca="1"/>
      </c>
      <c r="IP76">
        <f ca="1"/>
      </c>
      <c r="IQ76">
        <f ca="1"/>
      </c>
      <c r="IR76">
        <f ca="1"/>
      </c>
      <c r="IS76">
        <f ca="1"/>
      </c>
      <c r="IT76">
        <f ca="1"/>
      </c>
      <c r="IU76">
        <f ca="1"/>
      </c>
      <c r="IV76">
        <f ca="1"/>
      </c>
      <c r="IW76">
        <f ca="1"/>
      </c>
      <c r="IX76">
        <f ca="1"/>
      </c>
      <c r="IY76">
        <f ca="1"/>
      </c>
      <c r="IZ76">
        <f ca="1"/>
      </c>
      <c r="JA76">
        <f ca="1"/>
      </c>
      <c r="JB76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F77">
        <f ca="1"/>
      </c>
      <c r="BG77">
        <f ca="1"/>
      </c>
      <c r="BI77">
        <f ca="1"/>
      </c>
      <c r="BJ77" s="11">
        <f ca="1"/>
      </c>
      <c r="BK77" s="11">
        <f ca="1"/>
      </c>
      <c r="BL77" s="11">
        <f ca="1"/>
      </c>
      <c r="BM77" s="11">
        <f ca="1"/>
      </c>
      <c r="BN77" s="11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J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F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B77">
        <f ca="1"/>
      </c>
      <c r="GC77">
        <f ca="1"/>
      </c>
      <c r="GD77">
        <f ca="1"/>
      </c>
      <c r="GE77">
        <f ca="1"/>
      </c>
      <c r="GF77">
        <f ca="1"/>
      </c>
      <c r="GG77">
        <f ca="1"/>
      </c>
      <c r="GH77">
        <f ca="1"/>
      </c>
      <c r="GI77">
        <f ca="1"/>
      </c>
      <c r="GJ77">
        <f ca="1"/>
      </c>
      <c r="GK77">
        <f ca="1"/>
      </c>
      <c r="GL77">
        <f ca="1"/>
      </c>
      <c r="GM77">
        <f ca="1"/>
      </c>
      <c r="GN77">
        <f ca="1"/>
      </c>
      <c r="GO77">
        <f ca="1"/>
      </c>
      <c r="GP77">
        <f ca="1"/>
      </c>
      <c r="GQ77">
        <f ca="1"/>
      </c>
      <c r="GR77">
        <f ca="1"/>
      </c>
      <c r="GS77">
        <f ca="1"/>
      </c>
      <c r="GT77">
        <f ca="1"/>
      </c>
      <c r="GU77">
        <f ca="1"/>
      </c>
      <c r="GV77">
        <f ca="1"/>
      </c>
      <c r="GW77">
        <f ca="1"/>
      </c>
      <c r="GX77">
        <f ca="1"/>
      </c>
      <c r="GY77">
        <f ca="1"/>
      </c>
      <c r="GZ77">
        <f ca="1"/>
      </c>
      <c r="HA77">
        <f ca="1"/>
      </c>
      <c r="HB77">
        <f ca="1"/>
      </c>
      <c r="HC77">
        <f ca="1"/>
      </c>
      <c r="HD77">
        <f ca="1"/>
      </c>
      <c r="HE77">
        <f ca="1"/>
      </c>
      <c r="HF77">
        <f ca="1"/>
      </c>
      <c r="HG77">
        <f ca="1"/>
      </c>
      <c r="HH77">
        <f ca="1"/>
      </c>
      <c r="HI77">
        <f ca="1"/>
      </c>
      <c r="HJ77">
        <f ca="1"/>
      </c>
      <c r="HK77">
        <f ca="1"/>
      </c>
      <c r="HL77">
        <f ca="1"/>
      </c>
      <c r="HM77">
        <f ca="1"/>
      </c>
      <c r="HN77">
        <f ca="1"/>
      </c>
      <c r="HO77">
        <f ca="1"/>
      </c>
      <c r="HP77">
        <f ca="1"/>
      </c>
      <c r="HQ77">
        <f ca="1"/>
      </c>
      <c r="HR77">
        <f ca="1"/>
      </c>
      <c r="HS77">
        <f ca="1"/>
      </c>
      <c r="HT77">
        <f ca="1"/>
      </c>
      <c r="HU77">
        <f ca="1"/>
      </c>
      <c r="HV77">
        <f ca="1"/>
      </c>
      <c r="HW77">
        <f ca="1"/>
      </c>
      <c r="HX77">
        <f ca="1"/>
      </c>
      <c r="HY77">
        <f ca="1"/>
      </c>
      <c r="HZ77">
        <f ca="1"/>
      </c>
      <c r="IA77">
        <f ca="1"/>
      </c>
      <c r="IB77">
        <f ca="1"/>
      </c>
      <c r="IC77">
        <f ca="1"/>
      </c>
      <c r="ID77">
        <f ca="1"/>
      </c>
      <c r="IE77">
        <f ca="1"/>
      </c>
      <c r="IF77">
        <f ca="1"/>
      </c>
      <c r="IG77">
        <f ca="1"/>
      </c>
      <c r="IH77">
        <f ca="1"/>
      </c>
      <c r="II77">
        <f ca="1"/>
      </c>
      <c r="IJ77">
        <f ca="1"/>
      </c>
      <c r="IK77">
        <f ca="1"/>
      </c>
      <c r="IL77">
        <f ca="1"/>
      </c>
      <c r="IM77">
        <f ca="1"/>
      </c>
      <c r="IN77">
        <f ca="1"/>
      </c>
      <c r="IO77">
        <f ca="1"/>
      </c>
      <c r="IP77">
        <f ca="1"/>
      </c>
      <c r="IQ77">
        <f ca="1"/>
      </c>
      <c r="IR77">
        <f ca="1"/>
      </c>
      <c r="IS77">
        <f ca="1"/>
      </c>
      <c r="IT77">
        <f ca="1"/>
      </c>
      <c r="IU77">
        <f ca="1"/>
      </c>
      <c r="IV77">
        <f ca="1"/>
      </c>
      <c r="IW77">
        <f ca="1"/>
      </c>
      <c r="IX77">
        <f ca="1"/>
      </c>
      <c r="IY77">
        <f ca="1"/>
      </c>
      <c r="IZ77">
        <f ca="1"/>
      </c>
      <c r="JA77">
        <f ca="1"/>
      </c>
      <c r="JB77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F78">
        <f ca="1"/>
      </c>
      <c r="BG78">
        <f ca="1"/>
      </c>
      <c r="BI78">
        <f ca="1"/>
      </c>
      <c r="BJ78" s="11">
        <f ca="1"/>
      </c>
      <c r="BK78" s="11">
        <f ca="1"/>
      </c>
      <c r="BL78" s="11">
        <f ca="1"/>
      </c>
      <c r="BM78" s="11">
        <f ca="1"/>
      </c>
      <c r="BN78" s="11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J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F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B78">
        <f ca="1"/>
      </c>
      <c r="GC78">
        <f ca="1"/>
      </c>
      <c r="GD78">
        <f ca="1"/>
      </c>
      <c r="GE78">
        <f ca="1"/>
      </c>
      <c r="GF78">
        <f ca="1"/>
      </c>
      <c r="GG78">
        <f ca="1"/>
      </c>
      <c r="GH78">
        <f ca="1"/>
      </c>
      <c r="GI78">
        <f ca="1"/>
      </c>
      <c r="GJ78">
        <f ca="1"/>
      </c>
      <c r="GK78">
        <f ca="1"/>
      </c>
      <c r="GL78">
        <f ca="1"/>
      </c>
      <c r="GM78">
        <f ca="1"/>
      </c>
      <c r="GN78">
        <f ca="1"/>
      </c>
      <c r="GO78">
        <f ca="1"/>
      </c>
      <c r="GP78">
        <f ca="1"/>
      </c>
      <c r="GQ78">
        <f ca="1"/>
      </c>
      <c r="GR78">
        <f ca="1"/>
      </c>
      <c r="GS78">
        <f ca="1"/>
      </c>
      <c r="GT78">
        <f ca="1"/>
      </c>
      <c r="GU78">
        <f ca="1"/>
      </c>
      <c r="GV78">
        <f ca="1"/>
      </c>
      <c r="GW78">
        <f ca="1"/>
      </c>
      <c r="GX78">
        <f ca="1"/>
      </c>
      <c r="GY78">
        <f ca="1"/>
      </c>
      <c r="GZ78">
        <f ca="1"/>
      </c>
      <c r="HA78">
        <f ca="1"/>
      </c>
      <c r="HB78">
        <f ca="1"/>
      </c>
      <c r="HC78">
        <f ca="1"/>
      </c>
      <c r="HD78">
        <f ca="1"/>
      </c>
      <c r="HE78">
        <f ca="1"/>
      </c>
      <c r="HF78">
        <f ca="1"/>
      </c>
      <c r="HG78">
        <f ca="1"/>
      </c>
      <c r="HH78">
        <f ca="1"/>
      </c>
      <c r="HI78">
        <f ca="1"/>
      </c>
      <c r="HJ78">
        <f ca="1"/>
      </c>
      <c r="HK78">
        <f ca="1"/>
      </c>
      <c r="HL78">
        <f ca="1"/>
      </c>
      <c r="HM78">
        <f ca="1"/>
      </c>
      <c r="HN78">
        <f ca="1"/>
      </c>
      <c r="HO78">
        <f ca="1"/>
      </c>
      <c r="HP78">
        <f ca="1"/>
      </c>
      <c r="HQ78">
        <f ca="1"/>
      </c>
      <c r="HR78">
        <f ca="1"/>
      </c>
      <c r="HS78">
        <f ca="1"/>
      </c>
      <c r="HT78">
        <f ca="1"/>
      </c>
      <c r="HU78">
        <f ca="1"/>
      </c>
      <c r="HV78">
        <f ca="1"/>
      </c>
      <c r="HW78">
        <f ca="1"/>
      </c>
      <c r="HX78">
        <f ca="1"/>
      </c>
      <c r="HY78">
        <f ca="1"/>
      </c>
      <c r="HZ78">
        <f ca="1"/>
      </c>
      <c r="IA78">
        <f ca="1"/>
      </c>
      <c r="IB78">
        <f ca="1"/>
      </c>
      <c r="IC78">
        <f ca="1"/>
      </c>
      <c r="ID78">
        <f ca="1"/>
      </c>
      <c r="IE78">
        <f ca="1"/>
      </c>
      <c r="IF78">
        <f ca="1"/>
      </c>
      <c r="IG78">
        <f ca="1"/>
      </c>
      <c r="IH78">
        <f ca="1"/>
      </c>
      <c r="II78">
        <f ca="1"/>
      </c>
      <c r="IJ78">
        <f ca="1"/>
      </c>
      <c r="IK78">
        <f ca="1"/>
      </c>
      <c r="IL78">
        <f ca="1"/>
      </c>
      <c r="IM78">
        <f ca="1"/>
      </c>
      <c r="IN78">
        <f ca="1"/>
      </c>
      <c r="IO78">
        <f ca="1"/>
      </c>
      <c r="IP78">
        <f ca="1"/>
      </c>
      <c r="IQ78">
        <f ca="1"/>
      </c>
      <c r="IR78">
        <f ca="1"/>
      </c>
      <c r="IS78">
        <f ca="1"/>
      </c>
      <c r="IT78">
        <f ca="1"/>
      </c>
      <c r="IU78">
        <f ca="1"/>
      </c>
      <c r="IV78">
        <f ca="1"/>
      </c>
      <c r="IW78">
        <f ca="1"/>
      </c>
      <c r="IX78">
        <f ca="1"/>
      </c>
      <c r="IY78">
        <f ca="1"/>
      </c>
      <c r="IZ78">
        <f ca="1"/>
      </c>
      <c r="JA78">
        <f ca="1"/>
      </c>
      <c r="JB78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F79">
        <f ca="1"/>
      </c>
      <c r="BG79">
        <f ca="1"/>
      </c>
      <c r="BI79">
        <f ca="1"/>
      </c>
      <c r="BJ79" s="11">
        <f ca="1"/>
      </c>
      <c r="BK79" s="11">
        <f ca="1"/>
      </c>
      <c r="BL79" s="11">
        <f ca="1"/>
      </c>
      <c r="BM79" s="11">
        <f ca="1"/>
      </c>
      <c r="BN79" s="11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J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F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B79">
        <f ca="1"/>
      </c>
      <c r="GC79">
        <f ca="1"/>
      </c>
      <c r="GD79">
        <f ca="1"/>
      </c>
      <c r="GE79">
        <f ca="1"/>
      </c>
      <c r="GF79">
        <f ca="1"/>
      </c>
      <c r="GG79">
        <f ca="1"/>
      </c>
      <c r="GH79">
        <f ca="1"/>
      </c>
      <c r="GI79">
        <f ca="1"/>
      </c>
      <c r="GJ79">
        <f ca="1"/>
      </c>
      <c r="GK79">
        <f ca="1"/>
      </c>
      <c r="GL79">
        <f ca="1"/>
      </c>
      <c r="GM79">
        <f ca="1"/>
      </c>
      <c r="GN79">
        <f ca="1"/>
      </c>
      <c r="GO79">
        <f ca="1"/>
      </c>
      <c r="GP79">
        <f ca="1"/>
      </c>
      <c r="GQ79">
        <f ca="1"/>
      </c>
      <c r="GR79">
        <f ca="1"/>
      </c>
      <c r="GS79">
        <f ca="1"/>
      </c>
      <c r="GT79">
        <f ca="1"/>
      </c>
      <c r="GU79">
        <f ca="1"/>
      </c>
      <c r="GV79">
        <f ca="1"/>
      </c>
      <c r="GW79">
        <f ca="1"/>
      </c>
      <c r="GX79">
        <f ca="1"/>
      </c>
      <c r="GY79">
        <f ca="1"/>
      </c>
      <c r="GZ79">
        <f ca="1"/>
      </c>
      <c r="HA79">
        <f ca="1"/>
      </c>
      <c r="HB79">
        <f ca="1"/>
      </c>
      <c r="HC79">
        <f ca="1"/>
      </c>
      <c r="HD79">
        <f ca="1"/>
      </c>
      <c r="HE79">
        <f ca="1"/>
      </c>
      <c r="HF79">
        <f ca="1"/>
      </c>
      <c r="HG79">
        <f ca="1"/>
      </c>
      <c r="HH79">
        <f ca="1"/>
      </c>
      <c r="HI79">
        <f ca="1"/>
      </c>
      <c r="HJ79">
        <f ca="1"/>
      </c>
      <c r="HK79">
        <f ca="1"/>
      </c>
      <c r="HL79">
        <f ca="1"/>
      </c>
      <c r="HM79">
        <f ca="1"/>
      </c>
      <c r="HN79">
        <f ca="1"/>
      </c>
      <c r="HO79">
        <f ca="1"/>
      </c>
      <c r="HP79">
        <f ca="1"/>
      </c>
      <c r="HQ79">
        <f ca="1"/>
      </c>
      <c r="HR79">
        <f ca="1"/>
      </c>
      <c r="HS79">
        <f ca="1"/>
      </c>
      <c r="HT79">
        <f ca="1"/>
      </c>
      <c r="HU79">
        <f ca="1"/>
      </c>
      <c r="HV79">
        <f ca="1"/>
      </c>
      <c r="HW79">
        <f ca="1"/>
      </c>
      <c r="HX79">
        <f ca="1"/>
      </c>
      <c r="HY79">
        <f ca="1"/>
      </c>
      <c r="HZ79">
        <f ca="1"/>
      </c>
      <c r="IA79">
        <f ca="1"/>
      </c>
      <c r="IB79">
        <f ca="1"/>
      </c>
      <c r="IC79">
        <f ca="1"/>
      </c>
      <c r="ID79">
        <f ca="1"/>
      </c>
      <c r="IE79">
        <f ca="1"/>
      </c>
      <c r="IF79">
        <f ca="1"/>
      </c>
      <c r="IG79">
        <f ca="1"/>
      </c>
      <c r="IH79">
        <f ca="1"/>
      </c>
      <c r="II79">
        <f ca="1"/>
      </c>
      <c r="IJ79">
        <f ca="1"/>
      </c>
      <c r="IK79">
        <f ca="1"/>
      </c>
      <c r="IL79">
        <f ca="1"/>
      </c>
      <c r="IM79">
        <f ca="1"/>
      </c>
      <c r="IN79">
        <f ca="1"/>
      </c>
      <c r="IO79">
        <f ca="1"/>
      </c>
      <c r="IP79">
        <f ca="1"/>
      </c>
      <c r="IQ79">
        <f ca="1"/>
      </c>
      <c r="IR79">
        <f ca="1"/>
      </c>
      <c r="IS79">
        <f ca="1"/>
      </c>
      <c r="IT79">
        <f ca="1"/>
      </c>
      <c r="IU79">
        <f ca="1"/>
      </c>
      <c r="IV79">
        <f ca="1"/>
      </c>
      <c r="IW79">
        <f ca="1"/>
      </c>
      <c r="IX79">
        <f ca="1"/>
      </c>
      <c r="IY79">
        <f ca="1"/>
      </c>
      <c r="IZ79">
        <f ca="1"/>
      </c>
      <c r="JA79">
        <f ca="1"/>
      </c>
      <c r="JB79">
        <f ca="1"/>
      </c>
      <c r="LA79">
        <f ca="1"/>
      </c>
      <c r="LB79">
        <f ca="1"/>
      </c>
      <c r="LC79">
        <f ca="1"/>
      </c>
    </row>
    <row r="80" spans="6:315" x14ac:dyDescent="0.55000000000000004">
      <c r="BF80">
        <f ca="1"/>
      </c>
      <c r="BG80">
        <f ca="1"/>
      </c>
      <c r="BI80">
        <f ca="1"/>
      </c>
      <c r="BJ80" s="11">
        <f ca="1"/>
      </c>
      <c r="BK80" s="11">
        <f ca="1"/>
      </c>
      <c r="BL80" s="11">
        <f ca="1"/>
      </c>
      <c r="BM80" s="11">
        <f ca="1"/>
      </c>
      <c r="BN80" s="11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J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F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B80">
        <f ca="1"/>
      </c>
      <c r="GC80">
        <f ca="1"/>
      </c>
      <c r="GD80">
        <f ca="1"/>
      </c>
      <c r="GE80">
        <f ca="1"/>
      </c>
      <c r="GF80">
        <f ca="1"/>
      </c>
      <c r="GG80">
        <f ca="1"/>
      </c>
      <c r="GH80">
        <f ca="1"/>
      </c>
      <c r="GI80">
        <f ca="1"/>
      </c>
      <c r="GJ80">
        <f ca="1"/>
      </c>
      <c r="GK80">
        <f ca="1"/>
      </c>
      <c r="GL80">
        <f ca="1"/>
      </c>
      <c r="GM80">
        <f ca="1"/>
      </c>
      <c r="GN80">
        <f ca="1"/>
      </c>
      <c r="GO80">
        <f ca="1"/>
      </c>
      <c r="GP80">
        <f ca="1"/>
      </c>
      <c r="GQ80">
        <f ca="1"/>
      </c>
      <c r="GR80">
        <f ca="1"/>
      </c>
      <c r="GS80">
        <f ca="1"/>
      </c>
      <c r="GT80">
        <f ca="1"/>
      </c>
      <c r="GU80">
        <f ca="1"/>
      </c>
      <c r="GV80">
        <f ca="1"/>
      </c>
      <c r="GW80">
        <f ca="1"/>
      </c>
      <c r="GX80">
        <f ca="1"/>
      </c>
      <c r="GY80">
        <f ca="1"/>
      </c>
      <c r="GZ80">
        <f ca="1"/>
      </c>
      <c r="HA80">
        <f ca="1"/>
      </c>
      <c r="HB80">
        <f ca="1"/>
      </c>
      <c r="HC80">
        <f ca="1"/>
      </c>
      <c r="HD80">
        <f ca="1"/>
      </c>
      <c r="HE80">
        <f ca="1"/>
      </c>
      <c r="HF80">
        <f ca="1"/>
      </c>
      <c r="HG80">
        <f ca="1"/>
      </c>
      <c r="HH80">
        <f ca="1"/>
      </c>
      <c r="HI80">
        <f ca="1"/>
      </c>
      <c r="HJ80">
        <f ca="1"/>
      </c>
      <c r="HK80">
        <f ca="1"/>
      </c>
      <c r="HL80">
        <f ca="1"/>
      </c>
      <c r="HM80">
        <f ca="1"/>
      </c>
      <c r="HN80">
        <f ca="1"/>
      </c>
      <c r="HO80">
        <f ca="1"/>
      </c>
      <c r="HP80">
        <f ca="1"/>
      </c>
      <c r="HQ80">
        <f ca="1"/>
      </c>
      <c r="HR80">
        <f ca="1"/>
      </c>
      <c r="HS80">
        <f ca="1"/>
      </c>
      <c r="HT80">
        <f ca="1"/>
      </c>
      <c r="HU80">
        <f ca="1"/>
      </c>
      <c r="HV80">
        <f ca="1"/>
      </c>
      <c r="HW80">
        <f ca="1"/>
      </c>
      <c r="HX80">
        <f ca="1"/>
      </c>
      <c r="HY80">
        <f ca="1"/>
      </c>
      <c r="HZ80">
        <f ca="1"/>
      </c>
      <c r="IA80">
        <f ca="1"/>
      </c>
      <c r="IB80">
        <f ca="1"/>
      </c>
      <c r="IC80">
        <f ca="1"/>
      </c>
      <c r="ID80">
        <f ca="1"/>
      </c>
      <c r="IE80">
        <f ca="1"/>
      </c>
      <c r="IF80">
        <f ca="1"/>
      </c>
      <c r="IG80">
        <f ca="1"/>
      </c>
      <c r="IH80">
        <f ca="1"/>
      </c>
      <c r="II80">
        <f ca="1"/>
      </c>
      <c r="IJ80">
        <f ca="1"/>
      </c>
      <c r="IK80">
        <f ca="1"/>
      </c>
      <c r="IL80">
        <f ca="1"/>
      </c>
      <c r="IM80">
        <f ca="1"/>
      </c>
      <c r="IN80">
        <f ca="1"/>
      </c>
      <c r="IO80">
        <f ca="1"/>
      </c>
      <c r="IP80">
        <f ca="1"/>
      </c>
      <c r="IQ80">
        <f ca="1"/>
      </c>
      <c r="IR80">
        <f ca="1"/>
      </c>
      <c r="IS80">
        <f ca="1"/>
      </c>
      <c r="IT80">
        <f ca="1"/>
      </c>
      <c r="IU80">
        <f ca="1"/>
      </c>
      <c r="IV80">
        <f ca="1"/>
      </c>
      <c r="IW80">
        <f ca="1"/>
      </c>
      <c r="IX80">
        <f ca="1"/>
      </c>
      <c r="IY80">
        <f ca="1"/>
      </c>
      <c r="IZ80">
        <f ca="1"/>
      </c>
      <c r="JA80">
        <f ca="1"/>
      </c>
      <c r="JB80">
        <f ca="1"/>
      </c>
      <c r="LA80">
        <f ca="1"/>
      </c>
      <c r="LB80">
        <f ca="1"/>
      </c>
      <c r="LC80">
        <f ca="1"/>
      </c>
    </row>
    <row r="81" spans="58:315" x14ac:dyDescent="0.55000000000000004">
      <c r="BF81">
        <f ca="1"/>
      </c>
      <c r="BG81">
        <f ca="1"/>
      </c>
      <c r="BI81">
        <f ca="1"/>
      </c>
      <c r="BJ81" s="11">
        <f ca="1"/>
      </c>
      <c r="BK81" s="11">
        <f ca="1"/>
      </c>
      <c r="BL81" s="11">
        <f ca="1"/>
      </c>
      <c r="BM81" s="11">
        <f ca="1"/>
      </c>
      <c r="BN81" s="1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J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F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B81">
        <f ca="1"/>
      </c>
      <c r="GC81">
        <f ca="1"/>
      </c>
      <c r="GD81">
        <f ca="1"/>
      </c>
      <c r="GE81">
        <f ca="1"/>
      </c>
      <c r="GF81">
        <f ca="1"/>
      </c>
      <c r="GG81">
        <f ca="1"/>
      </c>
      <c r="GH81">
        <f ca="1"/>
      </c>
      <c r="GI81">
        <f ca="1"/>
      </c>
      <c r="GJ81">
        <f ca="1"/>
      </c>
      <c r="GK81">
        <f ca="1"/>
      </c>
      <c r="GL81">
        <f ca="1"/>
      </c>
      <c r="GM81">
        <f ca="1"/>
      </c>
      <c r="GN81">
        <f ca="1"/>
      </c>
      <c r="GO81">
        <f ca="1"/>
      </c>
      <c r="GP81">
        <f ca="1"/>
      </c>
      <c r="GQ81">
        <f ca="1"/>
      </c>
      <c r="GR81">
        <f ca="1"/>
      </c>
      <c r="GS81">
        <f ca="1"/>
      </c>
      <c r="GT81">
        <f ca="1"/>
      </c>
      <c r="GU81">
        <f ca="1"/>
      </c>
      <c r="GV81">
        <f ca="1"/>
      </c>
      <c r="GW81">
        <f ca="1"/>
      </c>
      <c r="GX81">
        <f ca="1"/>
      </c>
      <c r="GY81">
        <f ca="1"/>
      </c>
      <c r="GZ81">
        <f ca="1"/>
      </c>
      <c r="HA81">
        <f ca="1"/>
      </c>
      <c r="HB81">
        <f ca="1"/>
      </c>
      <c r="HC81">
        <f ca="1"/>
      </c>
      <c r="HD81">
        <f ca="1"/>
      </c>
      <c r="HE81">
        <f ca="1"/>
      </c>
      <c r="HF81">
        <f ca="1"/>
      </c>
      <c r="HG81">
        <f ca="1"/>
      </c>
      <c r="HH81">
        <f ca="1"/>
      </c>
      <c r="HI81">
        <f ca="1"/>
      </c>
      <c r="HJ81">
        <f ca="1"/>
      </c>
      <c r="HK81">
        <f ca="1"/>
      </c>
      <c r="HL81">
        <f ca="1"/>
      </c>
      <c r="HM81">
        <f ca="1"/>
      </c>
      <c r="HN81">
        <f ca="1"/>
      </c>
      <c r="HO81">
        <f ca="1"/>
      </c>
      <c r="HP81">
        <f ca="1"/>
      </c>
      <c r="HQ81">
        <f ca="1"/>
      </c>
      <c r="HR81">
        <f ca="1"/>
      </c>
      <c r="HS81">
        <f ca="1"/>
      </c>
      <c r="HT81">
        <f ca="1"/>
      </c>
      <c r="HU81">
        <f ca="1"/>
      </c>
      <c r="HV81">
        <f ca="1"/>
      </c>
      <c r="HW81">
        <f ca="1"/>
      </c>
      <c r="HX81">
        <f ca="1"/>
      </c>
      <c r="HY81">
        <f ca="1"/>
      </c>
      <c r="HZ81">
        <f ca="1"/>
      </c>
      <c r="IA81">
        <f ca="1"/>
      </c>
      <c r="IB81">
        <f ca="1"/>
      </c>
      <c r="IC81">
        <f ca="1"/>
      </c>
      <c r="ID81">
        <f ca="1"/>
      </c>
      <c r="IE81">
        <f ca="1"/>
      </c>
      <c r="IF81">
        <f ca="1"/>
      </c>
      <c r="IG81">
        <f ca="1"/>
      </c>
      <c r="IH81">
        <f ca="1"/>
      </c>
      <c r="II81">
        <f ca="1"/>
      </c>
      <c r="IJ81">
        <f ca="1"/>
      </c>
      <c r="IK81">
        <f ca="1"/>
      </c>
      <c r="IL81">
        <f ca="1"/>
      </c>
      <c r="IM81">
        <f ca="1"/>
      </c>
      <c r="IN81">
        <f ca="1"/>
      </c>
      <c r="IO81">
        <f ca="1"/>
      </c>
      <c r="IP81">
        <f ca="1"/>
      </c>
      <c r="IQ81">
        <f ca="1"/>
      </c>
      <c r="IR81">
        <f ca="1"/>
      </c>
      <c r="IS81">
        <f ca="1"/>
      </c>
      <c r="IT81">
        <f ca="1"/>
      </c>
      <c r="IU81">
        <f ca="1"/>
      </c>
      <c r="IV81">
        <f ca="1"/>
      </c>
      <c r="IW81">
        <f ca="1"/>
      </c>
      <c r="IX81">
        <f ca="1"/>
      </c>
      <c r="IY81">
        <f ca="1"/>
      </c>
      <c r="IZ81">
        <f ca="1"/>
      </c>
      <c r="JA81">
        <f ca="1"/>
      </c>
      <c r="JB81">
        <f ca="1"/>
      </c>
      <c r="LA81">
        <f ca="1"/>
      </c>
      <c r="LB81">
        <f ca="1"/>
      </c>
      <c r="LC81">
        <f ca="1"/>
      </c>
    </row>
    <row r="82" spans="58:315" x14ac:dyDescent="0.55000000000000004">
      <c r="BF82">
        <f ca="1"/>
      </c>
      <c r="BG82">
        <f ca="1"/>
      </c>
      <c r="BI82">
        <f ca="1"/>
      </c>
      <c r="BJ82" s="11">
        <f ca="1"/>
      </c>
      <c r="BK82" s="11">
        <f ca="1"/>
      </c>
      <c r="BL82" s="11">
        <f ca="1"/>
      </c>
      <c r="BM82" s="11">
        <f ca="1"/>
      </c>
      <c r="BN82" s="11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J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F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B82">
        <f ca="1"/>
      </c>
      <c r="GC82">
        <f ca="1"/>
      </c>
      <c r="GD82">
        <f ca="1"/>
      </c>
      <c r="GE82">
        <f ca="1"/>
      </c>
      <c r="GF82">
        <f ca="1"/>
      </c>
      <c r="GG82">
        <f ca="1"/>
      </c>
      <c r="GH82">
        <f ca="1"/>
      </c>
      <c r="GI82">
        <f ca="1"/>
      </c>
      <c r="GJ82">
        <f ca="1"/>
      </c>
      <c r="GK82">
        <f ca="1"/>
      </c>
      <c r="GL82">
        <f ca="1"/>
      </c>
      <c r="GM82">
        <f ca="1"/>
      </c>
      <c r="GN82">
        <f ca="1"/>
      </c>
      <c r="GO82">
        <f ca="1"/>
      </c>
      <c r="GP82">
        <f ca="1"/>
      </c>
      <c r="GQ82">
        <f ca="1"/>
      </c>
      <c r="GR82">
        <f ca="1"/>
      </c>
      <c r="GS82">
        <f ca="1"/>
      </c>
      <c r="GT82">
        <f ca="1"/>
      </c>
      <c r="GU82">
        <f ca="1"/>
      </c>
      <c r="GV82">
        <f ca="1"/>
      </c>
      <c r="GW82">
        <f ca="1"/>
      </c>
      <c r="GX82">
        <f ca="1"/>
      </c>
      <c r="GY82">
        <f ca="1"/>
      </c>
      <c r="GZ82">
        <f ca="1"/>
      </c>
      <c r="HA82">
        <f ca="1"/>
      </c>
      <c r="HB82">
        <f ca="1"/>
      </c>
      <c r="HC82">
        <f ca="1"/>
      </c>
      <c r="HD82">
        <f ca="1"/>
      </c>
      <c r="HE82">
        <f ca="1"/>
      </c>
      <c r="HF82">
        <f ca="1"/>
      </c>
      <c r="HG82">
        <f ca="1"/>
      </c>
      <c r="HH82">
        <f ca="1"/>
      </c>
      <c r="HI82">
        <f ca="1"/>
      </c>
      <c r="HJ82">
        <f ca="1"/>
      </c>
      <c r="HK82">
        <f ca="1"/>
      </c>
      <c r="HL82">
        <f ca="1"/>
      </c>
      <c r="HM82">
        <f ca="1"/>
      </c>
      <c r="HN82">
        <f ca="1"/>
      </c>
      <c r="HO82">
        <f ca="1"/>
      </c>
      <c r="HP82">
        <f ca="1"/>
      </c>
      <c r="HQ82">
        <f ca="1"/>
      </c>
      <c r="HR82">
        <f ca="1"/>
      </c>
      <c r="HS82">
        <f ca="1"/>
      </c>
      <c r="HT82">
        <f ca="1"/>
      </c>
      <c r="HU82">
        <f ca="1"/>
      </c>
      <c r="HV82">
        <f ca="1"/>
      </c>
      <c r="HW82">
        <f ca="1"/>
      </c>
      <c r="HX82">
        <f ca="1"/>
      </c>
      <c r="HY82">
        <f ca="1"/>
      </c>
      <c r="HZ82">
        <f ca="1"/>
      </c>
      <c r="IA82">
        <f ca="1"/>
      </c>
      <c r="IB82">
        <f ca="1"/>
      </c>
      <c r="IC82">
        <f ca="1"/>
      </c>
      <c r="ID82">
        <f ca="1"/>
      </c>
      <c r="IE82">
        <f ca="1"/>
      </c>
      <c r="IF82">
        <f ca="1"/>
      </c>
      <c r="IG82">
        <f ca="1"/>
      </c>
      <c r="IH82">
        <f ca="1"/>
      </c>
      <c r="II82">
        <f ca="1"/>
      </c>
      <c r="IJ82">
        <f ca="1"/>
      </c>
      <c r="IK82">
        <f ca="1"/>
      </c>
      <c r="IL82">
        <f ca="1"/>
      </c>
      <c r="IM82">
        <f ca="1"/>
      </c>
      <c r="IN82">
        <f ca="1"/>
      </c>
      <c r="IO82">
        <f ca="1"/>
      </c>
      <c r="IP82">
        <f ca="1"/>
      </c>
      <c r="IQ82">
        <f ca="1"/>
      </c>
      <c r="IR82">
        <f ca="1"/>
      </c>
      <c r="IS82">
        <f ca="1"/>
      </c>
      <c r="IT82">
        <f ca="1"/>
      </c>
      <c r="IU82">
        <f ca="1"/>
      </c>
      <c r="IV82">
        <f ca="1"/>
      </c>
      <c r="IW82">
        <f ca="1"/>
      </c>
      <c r="IX82">
        <f ca="1"/>
      </c>
      <c r="IY82">
        <f ca="1"/>
      </c>
      <c r="IZ82">
        <f ca="1"/>
      </c>
      <c r="JA82">
        <f ca="1"/>
      </c>
      <c r="JB82">
        <f ca="1"/>
      </c>
      <c r="LA82">
        <f ca="1"/>
      </c>
      <c r="LB82">
        <f ca="1"/>
      </c>
      <c r="LC82">
        <f ca="1"/>
      </c>
    </row>
    <row r="83" spans="58:315" x14ac:dyDescent="0.55000000000000004">
      <c r="BF83">
        <f ca="1"/>
      </c>
      <c r="BG83">
        <f ca="1"/>
      </c>
      <c r="BI83">
        <f ca="1"/>
      </c>
      <c r="BJ83" s="11">
        <f ca="1"/>
      </c>
      <c r="BK83" s="11">
        <f ca="1"/>
      </c>
      <c r="BL83" s="11">
        <f ca="1"/>
      </c>
      <c r="BM83" s="11">
        <f ca="1"/>
      </c>
      <c r="BN83" s="11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J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F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B83">
        <f ca="1"/>
      </c>
      <c r="GC83">
        <f ca="1"/>
      </c>
      <c r="GD83">
        <f ca="1"/>
      </c>
      <c r="GE83">
        <f ca="1"/>
      </c>
      <c r="GF83">
        <f ca="1"/>
      </c>
      <c r="GG83">
        <f ca="1"/>
      </c>
      <c r="GH83">
        <f ca="1"/>
      </c>
      <c r="GI83">
        <f ca="1"/>
      </c>
      <c r="GJ83">
        <f ca="1"/>
      </c>
      <c r="GK83">
        <f ca="1"/>
      </c>
      <c r="GL83">
        <f ca="1"/>
      </c>
      <c r="GM83">
        <f ca="1"/>
      </c>
      <c r="GN83">
        <f ca="1"/>
      </c>
      <c r="GO83">
        <f ca="1"/>
      </c>
      <c r="GP83">
        <f ca="1"/>
      </c>
      <c r="GQ83">
        <f ca="1"/>
      </c>
      <c r="GR83">
        <f ca="1"/>
      </c>
      <c r="GS83">
        <f ca="1"/>
      </c>
      <c r="GT83">
        <f ca="1"/>
      </c>
      <c r="GU83">
        <f ca="1"/>
      </c>
      <c r="GV83">
        <f ca="1"/>
      </c>
      <c r="GW83">
        <f ca="1"/>
      </c>
      <c r="GX83">
        <f ca="1"/>
      </c>
      <c r="GY83">
        <f ca="1"/>
      </c>
      <c r="GZ83">
        <f ca="1"/>
      </c>
      <c r="HA83">
        <f ca="1"/>
      </c>
      <c r="HB83">
        <f ca="1"/>
      </c>
      <c r="HC83">
        <f ca="1"/>
      </c>
      <c r="HD83">
        <f ca="1"/>
      </c>
      <c r="HE83">
        <f ca="1"/>
      </c>
      <c r="HF83">
        <f ca="1"/>
      </c>
      <c r="HG83">
        <f ca="1"/>
      </c>
      <c r="HH83">
        <f ca="1"/>
      </c>
      <c r="HI83">
        <f ca="1"/>
      </c>
      <c r="HJ83">
        <f ca="1"/>
      </c>
      <c r="HK83">
        <f ca="1"/>
      </c>
      <c r="HL83">
        <f ca="1"/>
      </c>
      <c r="HM83">
        <f ca="1"/>
      </c>
      <c r="HN83">
        <f ca="1"/>
      </c>
      <c r="HO83">
        <f ca="1"/>
      </c>
      <c r="HP83">
        <f ca="1"/>
      </c>
      <c r="HQ83">
        <f ca="1"/>
      </c>
      <c r="HR83">
        <f ca="1"/>
      </c>
      <c r="HS83">
        <f ca="1"/>
      </c>
      <c r="HT83">
        <f ca="1"/>
      </c>
      <c r="HU83">
        <f ca="1"/>
      </c>
      <c r="HV83">
        <f ca="1"/>
      </c>
      <c r="HW83">
        <f ca="1"/>
      </c>
      <c r="HX83">
        <f ca="1"/>
      </c>
      <c r="HY83">
        <f ca="1"/>
      </c>
      <c r="HZ83">
        <f ca="1"/>
      </c>
      <c r="IA83">
        <f ca="1"/>
      </c>
      <c r="IB83">
        <f ca="1"/>
      </c>
      <c r="IC83">
        <f ca="1"/>
      </c>
      <c r="ID83">
        <f ca="1"/>
      </c>
      <c r="IE83">
        <f ca="1"/>
      </c>
      <c r="IF83">
        <f ca="1"/>
      </c>
      <c r="IG83">
        <f ca="1"/>
      </c>
      <c r="IH83">
        <f ca="1"/>
      </c>
      <c r="II83">
        <f ca="1"/>
      </c>
      <c r="IJ83">
        <f ca="1"/>
      </c>
      <c r="IK83">
        <f ca="1"/>
      </c>
      <c r="IL83">
        <f ca="1"/>
      </c>
      <c r="IM83">
        <f ca="1"/>
      </c>
      <c r="IN83">
        <f ca="1"/>
      </c>
      <c r="IO83">
        <f ca="1"/>
      </c>
      <c r="IP83">
        <f ca="1"/>
      </c>
      <c r="IQ83">
        <f ca="1"/>
      </c>
      <c r="IR83">
        <f ca="1"/>
      </c>
      <c r="IS83">
        <f ca="1"/>
      </c>
      <c r="IT83">
        <f ca="1"/>
      </c>
      <c r="IU83">
        <f ca="1"/>
      </c>
      <c r="IV83">
        <f ca="1"/>
      </c>
      <c r="IW83">
        <f ca="1"/>
      </c>
      <c r="IX83">
        <f ca="1"/>
      </c>
      <c r="IY83">
        <f ca="1"/>
      </c>
      <c r="IZ83">
        <f ca="1"/>
      </c>
      <c r="JA83">
        <f ca="1"/>
      </c>
      <c r="JB83">
        <f ca="1"/>
      </c>
      <c r="LA83">
        <f ca="1"/>
      </c>
      <c r="LB83">
        <f ca="1"/>
      </c>
      <c r="LC83">
        <f ca="1"/>
      </c>
    </row>
    <row r="84" spans="58:315" x14ac:dyDescent="0.55000000000000004">
      <c r="BF84">
        <f ca="1"/>
      </c>
      <c r="BG84">
        <f ca="1"/>
      </c>
      <c r="BI84">
        <f ca="1"/>
      </c>
      <c r="BJ84" s="11">
        <f ca="1"/>
      </c>
      <c r="BK84" s="11">
        <f ca="1"/>
      </c>
      <c r="BL84" s="11">
        <f ca="1"/>
      </c>
      <c r="BM84" s="11">
        <f ca="1"/>
      </c>
      <c r="BN84" s="11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J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F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B84">
        <f ca="1"/>
      </c>
      <c r="GC84">
        <f ca="1"/>
      </c>
      <c r="GD84">
        <f ca="1"/>
      </c>
      <c r="GE84">
        <f ca="1"/>
      </c>
      <c r="GF84">
        <f ca="1"/>
      </c>
      <c r="GG84">
        <f ca="1"/>
      </c>
      <c r="GH84">
        <f ca="1"/>
      </c>
      <c r="GI84">
        <f ca="1"/>
      </c>
      <c r="GJ84">
        <f ca="1"/>
      </c>
      <c r="GK84">
        <f ca="1"/>
      </c>
      <c r="GL84">
        <f ca="1"/>
      </c>
      <c r="GM84">
        <f ca="1"/>
      </c>
      <c r="GN84">
        <f ca="1"/>
      </c>
      <c r="GO84">
        <f ca="1"/>
      </c>
      <c r="GP84">
        <f ca="1"/>
      </c>
      <c r="GQ84">
        <f ca="1"/>
      </c>
      <c r="GR84">
        <f ca="1"/>
      </c>
      <c r="GS84">
        <f ca="1"/>
      </c>
      <c r="GT84">
        <f ca="1"/>
      </c>
      <c r="GU84">
        <f ca="1"/>
      </c>
      <c r="GV84">
        <f ca="1"/>
      </c>
      <c r="GW84">
        <f ca="1"/>
      </c>
      <c r="GX84">
        <f ca="1"/>
      </c>
      <c r="GY84">
        <f ca="1"/>
      </c>
      <c r="GZ84">
        <f ca="1"/>
      </c>
      <c r="HA84">
        <f ca="1"/>
      </c>
      <c r="HB84">
        <f ca="1"/>
      </c>
      <c r="HC84">
        <f ca="1"/>
      </c>
      <c r="HD84">
        <f ca="1"/>
      </c>
      <c r="HE84">
        <f ca="1"/>
      </c>
      <c r="HF84">
        <f ca="1"/>
      </c>
      <c r="HG84">
        <f ca="1"/>
      </c>
      <c r="HH84">
        <f ca="1"/>
      </c>
      <c r="HI84">
        <f ca="1"/>
      </c>
      <c r="HJ84">
        <f ca="1"/>
      </c>
      <c r="HK84">
        <f ca="1"/>
      </c>
      <c r="HL84">
        <f ca="1"/>
      </c>
      <c r="HM84">
        <f ca="1"/>
      </c>
      <c r="HN84">
        <f ca="1"/>
      </c>
      <c r="HO84">
        <f ca="1"/>
      </c>
      <c r="HP84">
        <f ca="1"/>
      </c>
      <c r="HQ84">
        <f ca="1"/>
      </c>
      <c r="HR84">
        <f ca="1"/>
      </c>
      <c r="HS84">
        <f ca="1"/>
      </c>
      <c r="HT84">
        <f ca="1"/>
      </c>
      <c r="HU84">
        <f ca="1"/>
      </c>
      <c r="HV84">
        <f ca="1"/>
      </c>
      <c r="HW84">
        <f ca="1"/>
      </c>
      <c r="HX84">
        <f ca="1"/>
      </c>
      <c r="HY84">
        <f ca="1"/>
      </c>
      <c r="HZ84">
        <f ca="1"/>
      </c>
      <c r="IA84">
        <f ca="1"/>
      </c>
      <c r="IB84">
        <f ca="1"/>
      </c>
      <c r="IC84">
        <f ca="1"/>
      </c>
      <c r="ID84">
        <f ca="1"/>
      </c>
      <c r="IE84">
        <f ca="1"/>
      </c>
      <c r="IF84">
        <f ca="1"/>
      </c>
      <c r="IG84">
        <f ca="1"/>
      </c>
      <c r="IH84">
        <f ca="1"/>
      </c>
      <c r="II84">
        <f ca="1"/>
      </c>
      <c r="IJ84">
        <f ca="1"/>
      </c>
      <c r="IK84">
        <f ca="1"/>
      </c>
      <c r="IL84">
        <f ca="1"/>
      </c>
      <c r="IM84">
        <f ca="1"/>
      </c>
      <c r="IN84">
        <f ca="1"/>
      </c>
      <c r="IO84">
        <f ca="1"/>
      </c>
      <c r="IP84">
        <f ca="1"/>
      </c>
      <c r="IQ84">
        <f ca="1"/>
      </c>
      <c r="IR84">
        <f ca="1"/>
      </c>
      <c r="IS84">
        <f ca="1"/>
      </c>
      <c r="IT84">
        <f ca="1"/>
      </c>
      <c r="IU84">
        <f ca="1"/>
      </c>
      <c r="IV84">
        <f ca="1"/>
      </c>
      <c r="IW84">
        <f ca="1"/>
      </c>
      <c r="IX84">
        <f ca="1"/>
      </c>
      <c r="IY84">
        <f ca="1"/>
      </c>
      <c r="IZ84">
        <f ca="1"/>
      </c>
      <c r="JA84">
        <f ca="1"/>
      </c>
      <c r="JB84">
        <f ca="1"/>
      </c>
      <c r="LA84">
        <f ca="1"/>
      </c>
      <c r="LB84">
        <f ca="1"/>
      </c>
      <c r="LC84">
        <f ca="1"/>
      </c>
    </row>
    <row r="85" spans="58:315" x14ac:dyDescent="0.55000000000000004">
      <c r="BF85">
        <f ca="1"/>
      </c>
      <c r="BG85">
        <f ca="1"/>
      </c>
      <c r="BI85">
        <f ca="1"/>
      </c>
      <c r="BJ85" s="11">
        <f ca="1"/>
      </c>
      <c r="BK85" s="11">
        <f ca="1"/>
      </c>
      <c r="BL85" s="11">
        <f ca="1"/>
      </c>
      <c r="BM85" s="11">
        <f ca="1"/>
      </c>
      <c r="BN85" s="11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J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F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B85">
        <f ca="1"/>
      </c>
      <c r="GC85">
        <f ca="1"/>
      </c>
      <c r="GD85">
        <f ca="1"/>
      </c>
      <c r="GE85">
        <f ca="1"/>
      </c>
      <c r="GF85">
        <f ca="1"/>
      </c>
      <c r="GG85">
        <f ca="1"/>
      </c>
      <c r="GH85">
        <f ca="1"/>
      </c>
      <c r="GI85">
        <f ca="1"/>
      </c>
      <c r="GJ85">
        <f ca="1"/>
      </c>
      <c r="GK85">
        <f ca="1"/>
      </c>
      <c r="GL85">
        <f ca="1"/>
      </c>
      <c r="GM85">
        <f ca="1"/>
      </c>
      <c r="GN85">
        <f ca="1"/>
      </c>
      <c r="GO85">
        <f ca="1"/>
      </c>
      <c r="GP85">
        <f ca="1"/>
      </c>
      <c r="GQ85">
        <f ca="1"/>
      </c>
      <c r="GR85">
        <f ca="1"/>
      </c>
      <c r="GS85">
        <f ca="1"/>
      </c>
      <c r="GT85">
        <f ca="1"/>
      </c>
      <c r="GU85">
        <f ca="1"/>
      </c>
      <c r="GV85">
        <f ca="1"/>
      </c>
      <c r="GW85">
        <f ca="1"/>
      </c>
      <c r="GX85">
        <f ca="1"/>
      </c>
      <c r="GY85">
        <f ca="1"/>
      </c>
      <c r="GZ85">
        <f ca="1"/>
      </c>
      <c r="HA85">
        <f ca="1"/>
      </c>
      <c r="HB85">
        <f ca="1"/>
      </c>
      <c r="HC85">
        <f ca="1"/>
      </c>
      <c r="HD85">
        <f ca="1"/>
      </c>
      <c r="HE85">
        <f ca="1"/>
      </c>
      <c r="HF85">
        <f ca="1"/>
      </c>
      <c r="HG85">
        <f ca="1"/>
      </c>
      <c r="HH85">
        <f ca="1"/>
      </c>
      <c r="HI85">
        <f ca="1"/>
      </c>
      <c r="HJ85">
        <f ca="1"/>
      </c>
      <c r="HK85">
        <f ca="1"/>
      </c>
      <c r="HL85">
        <f ca="1"/>
      </c>
      <c r="HM85">
        <f ca="1"/>
      </c>
      <c r="HN85">
        <f ca="1"/>
      </c>
      <c r="HO85">
        <f ca="1"/>
      </c>
      <c r="HP85">
        <f ca="1"/>
      </c>
      <c r="HQ85">
        <f ca="1"/>
      </c>
      <c r="HR85">
        <f ca="1"/>
      </c>
      <c r="HS85">
        <f ca="1"/>
      </c>
      <c r="HT85">
        <f ca="1"/>
      </c>
      <c r="HU85">
        <f ca="1"/>
      </c>
      <c r="HV85">
        <f ca="1"/>
      </c>
      <c r="HW85">
        <f ca="1"/>
      </c>
      <c r="HX85">
        <f ca="1"/>
      </c>
      <c r="HY85">
        <f ca="1"/>
      </c>
      <c r="HZ85">
        <f ca="1"/>
      </c>
      <c r="IA85">
        <f ca="1"/>
      </c>
      <c r="IB85">
        <f ca="1"/>
      </c>
      <c r="IC85">
        <f ca="1"/>
      </c>
      <c r="ID85">
        <f ca="1"/>
      </c>
      <c r="IE85">
        <f ca="1"/>
      </c>
      <c r="IF85">
        <f ca="1"/>
      </c>
      <c r="IG85">
        <f ca="1"/>
      </c>
      <c r="IH85">
        <f ca="1"/>
      </c>
      <c r="II85">
        <f ca="1"/>
      </c>
      <c r="IJ85">
        <f ca="1"/>
      </c>
      <c r="IK85">
        <f ca="1"/>
      </c>
      <c r="IL85">
        <f ca="1"/>
      </c>
      <c r="IM85">
        <f ca="1"/>
      </c>
      <c r="IN85">
        <f ca="1"/>
      </c>
      <c r="IO85">
        <f ca="1"/>
      </c>
      <c r="IP85">
        <f ca="1"/>
      </c>
      <c r="IQ85">
        <f ca="1"/>
      </c>
      <c r="IR85">
        <f ca="1"/>
      </c>
      <c r="IS85">
        <f ca="1"/>
      </c>
      <c r="IT85">
        <f ca="1"/>
      </c>
      <c r="IU85">
        <f ca="1"/>
      </c>
      <c r="IV85">
        <f ca="1"/>
      </c>
      <c r="IW85">
        <f ca="1"/>
      </c>
      <c r="IX85">
        <f ca="1"/>
      </c>
      <c r="IY85">
        <f ca="1"/>
      </c>
      <c r="IZ85">
        <f ca="1"/>
      </c>
      <c r="JA85">
        <f ca="1"/>
      </c>
      <c r="JB85">
        <f ca="1"/>
      </c>
      <c r="LA85">
        <f ca="1"/>
      </c>
      <c r="LB85">
        <f ca="1"/>
      </c>
      <c r="LC85">
        <f ca="1"/>
      </c>
    </row>
    <row r="86" spans="58:315" x14ac:dyDescent="0.55000000000000004">
      <c r="BF86">
        <f ca="1"/>
      </c>
      <c r="BG86">
        <f ca="1"/>
      </c>
      <c r="BI86">
        <f ca="1"/>
      </c>
      <c r="BJ86" s="11">
        <f ca="1"/>
      </c>
      <c r="BK86" s="11">
        <f ca="1"/>
      </c>
      <c r="BL86" s="11">
        <f ca="1"/>
      </c>
      <c r="BM86" s="11">
        <f ca="1"/>
      </c>
      <c r="BN86" s="11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J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F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B86">
        <f ca="1"/>
      </c>
      <c r="GC86">
        <f ca="1"/>
      </c>
      <c r="GD86">
        <f ca="1"/>
      </c>
      <c r="GE86">
        <f ca="1"/>
      </c>
      <c r="GF86">
        <f ca="1"/>
      </c>
      <c r="GG86">
        <f ca="1"/>
      </c>
      <c r="GH86">
        <f ca="1"/>
      </c>
      <c r="GI86">
        <f ca="1"/>
      </c>
      <c r="GJ86">
        <f ca="1"/>
      </c>
      <c r="GK86">
        <f ca="1"/>
      </c>
      <c r="GL86">
        <f ca="1"/>
      </c>
      <c r="GM86">
        <f ca="1"/>
      </c>
      <c r="GN86">
        <f ca="1"/>
      </c>
      <c r="GO86">
        <f ca="1"/>
      </c>
      <c r="GP86">
        <f ca="1"/>
      </c>
      <c r="GQ86">
        <f ca="1"/>
      </c>
      <c r="GR86">
        <f ca="1"/>
      </c>
      <c r="GS86">
        <f ca="1"/>
      </c>
      <c r="GT86">
        <f ca="1"/>
      </c>
      <c r="GU86">
        <f ca="1"/>
      </c>
      <c r="GV86">
        <f ca="1"/>
      </c>
      <c r="GW86">
        <f ca="1"/>
      </c>
      <c r="GX86">
        <f ca="1"/>
      </c>
      <c r="GY86">
        <f ca="1"/>
      </c>
      <c r="GZ86">
        <f ca="1"/>
      </c>
      <c r="HA86">
        <f ca="1"/>
      </c>
      <c r="HB86">
        <f ca="1"/>
      </c>
      <c r="HC86">
        <f ca="1"/>
      </c>
      <c r="HD86">
        <f ca="1"/>
      </c>
      <c r="HE86">
        <f ca="1"/>
      </c>
      <c r="HF86">
        <f ca="1"/>
      </c>
      <c r="HG86">
        <f ca="1"/>
      </c>
      <c r="HH86">
        <f ca="1"/>
      </c>
      <c r="HI86">
        <f ca="1"/>
      </c>
      <c r="HJ86">
        <f ca="1"/>
      </c>
      <c r="HK86">
        <f ca="1"/>
      </c>
      <c r="HL86">
        <f ca="1"/>
      </c>
      <c r="HM86">
        <f ca="1"/>
      </c>
      <c r="HN86">
        <f ca="1"/>
      </c>
      <c r="HO86">
        <f ca="1"/>
      </c>
      <c r="HP86">
        <f ca="1"/>
      </c>
      <c r="HQ86">
        <f ca="1"/>
      </c>
      <c r="HR86">
        <f ca="1"/>
      </c>
      <c r="HS86">
        <f ca="1"/>
      </c>
      <c r="HT86">
        <f ca="1"/>
      </c>
      <c r="HU86">
        <f ca="1"/>
      </c>
      <c r="HV86">
        <f ca="1"/>
      </c>
      <c r="HW86">
        <f ca="1"/>
      </c>
      <c r="HX86">
        <f ca="1"/>
      </c>
      <c r="HY86">
        <f ca="1"/>
      </c>
      <c r="HZ86">
        <f ca="1"/>
      </c>
      <c r="IA86">
        <f ca="1"/>
      </c>
      <c r="IB86">
        <f ca="1"/>
      </c>
      <c r="IC86">
        <f ca="1"/>
      </c>
      <c r="ID86">
        <f ca="1"/>
      </c>
      <c r="IE86">
        <f ca="1"/>
      </c>
      <c r="IF86">
        <f ca="1"/>
      </c>
      <c r="IG86">
        <f ca="1"/>
      </c>
      <c r="IH86">
        <f ca="1"/>
      </c>
      <c r="II86">
        <f ca="1"/>
      </c>
      <c r="IJ86">
        <f ca="1"/>
      </c>
      <c r="IK86">
        <f ca="1"/>
      </c>
      <c r="IL86">
        <f ca="1"/>
      </c>
      <c r="IM86">
        <f ca="1"/>
      </c>
      <c r="IN86">
        <f ca="1"/>
      </c>
      <c r="IO86">
        <f ca="1"/>
      </c>
      <c r="IP86">
        <f ca="1"/>
      </c>
      <c r="IQ86">
        <f ca="1"/>
      </c>
      <c r="IR86">
        <f ca="1"/>
      </c>
      <c r="IS86">
        <f ca="1"/>
      </c>
      <c r="IT86">
        <f ca="1"/>
      </c>
      <c r="IU86">
        <f ca="1"/>
      </c>
      <c r="IV86">
        <f ca="1"/>
      </c>
      <c r="IW86">
        <f ca="1"/>
      </c>
      <c r="IX86">
        <f ca="1"/>
      </c>
      <c r="IY86">
        <f ca="1"/>
      </c>
      <c r="IZ86">
        <f ca="1"/>
      </c>
      <c r="JA86">
        <f ca="1"/>
      </c>
      <c r="JB86">
        <f ca="1"/>
      </c>
      <c r="LA86">
        <f ca="1"/>
      </c>
      <c r="LB86">
        <f ca="1"/>
      </c>
      <c r="LC86">
        <f ca="1"/>
      </c>
    </row>
    <row r="87" spans="58:315" x14ac:dyDescent="0.55000000000000004">
      <c r="BF87">
        <f ca="1"/>
      </c>
      <c r="BG87">
        <f ca="1"/>
      </c>
      <c r="BI87">
        <f ca="1"/>
      </c>
      <c r="BJ87" s="11">
        <f ca="1"/>
      </c>
      <c r="BK87" s="11">
        <f ca="1"/>
      </c>
      <c r="BL87" s="11">
        <f ca="1"/>
      </c>
      <c r="BM87" s="11">
        <f ca="1"/>
      </c>
      <c r="BN87" s="11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J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F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B87">
        <f ca="1"/>
      </c>
      <c r="GC87">
        <f ca="1"/>
      </c>
      <c r="GD87">
        <f ca="1"/>
      </c>
      <c r="GE87">
        <f ca="1"/>
      </c>
      <c r="GF87">
        <f ca="1"/>
      </c>
      <c r="GG87">
        <f ca="1"/>
      </c>
      <c r="GH87">
        <f ca="1"/>
      </c>
      <c r="GI87">
        <f ca="1"/>
      </c>
      <c r="GJ87">
        <f ca="1"/>
      </c>
      <c r="GK87">
        <f ca="1"/>
      </c>
      <c r="GL87">
        <f ca="1"/>
      </c>
      <c r="GM87">
        <f ca="1"/>
      </c>
      <c r="GN87">
        <f ca="1"/>
      </c>
      <c r="GO87">
        <f ca="1"/>
      </c>
      <c r="GP87">
        <f ca="1"/>
      </c>
      <c r="GQ87">
        <f ca="1"/>
      </c>
      <c r="GR87">
        <f ca="1"/>
      </c>
      <c r="GS87">
        <f ca="1"/>
      </c>
      <c r="GT87">
        <f ca="1"/>
      </c>
      <c r="GU87">
        <f ca="1"/>
      </c>
      <c r="GV87">
        <f ca="1"/>
      </c>
      <c r="GW87">
        <f ca="1"/>
      </c>
      <c r="GX87">
        <f ca="1"/>
      </c>
      <c r="GY87">
        <f ca="1"/>
      </c>
      <c r="GZ87">
        <f ca="1"/>
      </c>
      <c r="HA87">
        <f ca="1"/>
      </c>
      <c r="HB87">
        <f ca="1"/>
      </c>
      <c r="HC87">
        <f ca="1"/>
      </c>
      <c r="HD87">
        <f ca="1"/>
      </c>
      <c r="HE87">
        <f ca="1"/>
      </c>
      <c r="HF87">
        <f ca="1"/>
      </c>
      <c r="HG87">
        <f ca="1"/>
      </c>
      <c r="HH87">
        <f ca="1"/>
      </c>
      <c r="HI87">
        <f ca="1"/>
      </c>
      <c r="HJ87">
        <f ca="1"/>
      </c>
      <c r="HK87">
        <f ca="1"/>
      </c>
      <c r="HL87">
        <f ca="1"/>
      </c>
      <c r="HM87">
        <f ca="1"/>
      </c>
      <c r="HN87">
        <f ca="1"/>
      </c>
      <c r="HO87">
        <f ca="1"/>
      </c>
      <c r="HP87">
        <f ca="1"/>
      </c>
      <c r="HQ87">
        <f ca="1"/>
      </c>
      <c r="HR87">
        <f ca="1"/>
      </c>
      <c r="HS87">
        <f ca="1"/>
      </c>
      <c r="HT87">
        <f ca="1"/>
      </c>
      <c r="HU87">
        <f ca="1"/>
      </c>
      <c r="HV87">
        <f ca="1"/>
      </c>
      <c r="HW87">
        <f ca="1"/>
      </c>
      <c r="HX87">
        <f ca="1"/>
      </c>
      <c r="HY87">
        <f ca="1"/>
      </c>
      <c r="HZ87">
        <f ca="1"/>
      </c>
      <c r="IA87">
        <f ca="1"/>
      </c>
      <c r="IB87">
        <f ca="1"/>
      </c>
      <c r="IC87">
        <f ca="1"/>
      </c>
      <c r="ID87">
        <f ca="1"/>
      </c>
      <c r="IE87">
        <f ca="1"/>
      </c>
      <c r="IF87">
        <f ca="1"/>
      </c>
      <c r="IG87">
        <f ca="1"/>
      </c>
      <c r="IH87">
        <f ca="1"/>
      </c>
      <c r="II87">
        <f ca="1"/>
      </c>
      <c r="IJ87">
        <f ca="1"/>
      </c>
      <c r="IK87">
        <f ca="1"/>
      </c>
      <c r="IL87">
        <f ca="1"/>
      </c>
      <c r="IM87">
        <f ca="1"/>
      </c>
      <c r="IN87">
        <f ca="1"/>
      </c>
      <c r="IO87">
        <f ca="1"/>
      </c>
      <c r="IP87">
        <f ca="1"/>
      </c>
      <c r="IQ87">
        <f ca="1"/>
      </c>
      <c r="IR87">
        <f ca="1"/>
      </c>
      <c r="IS87">
        <f ca="1"/>
      </c>
      <c r="IT87">
        <f ca="1"/>
      </c>
      <c r="IU87">
        <f ca="1"/>
      </c>
      <c r="IV87">
        <f ca="1"/>
      </c>
      <c r="IW87">
        <f ca="1"/>
      </c>
      <c r="IX87">
        <f ca="1"/>
      </c>
      <c r="IY87">
        <f ca="1"/>
      </c>
      <c r="IZ87">
        <f ca="1"/>
      </c>
      <c r="JA87">
        <f ca="1"/>
      </c>
      <c r="JB87">
        <f ca="1"/>
      </c>
      <c r="LA87">
        <f ca="1"/>
      </c>
      <c r="LB87">
        <f ca="1"/>
      </c>
      <c r="LC87">
        <f ca="1"/>
      </c>
    </row>
    <row r="88" spans="58:315" x14ac:dyDescent="0.55000000000000004">
      <c r="BF88">
        <f ca="1"/>
      </c>
      <c r="BG88">
        <f ca="1"/>
      </c>
      <c r="BI88">
        <f ca="1"/>
      </c>
      <c r="BJ88" s="11">
        <f ca="1"/>
      </c>
      <c r="BK88" s="11">
        <f ca="1"/>
      </c>
      <c r="BL88" s="11">
        <f ca="1"/>
      </c>
      <c r="BM88" s="11">
        <f ca="1"/>
      </c>
      <c r="BN88" s="11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J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F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B88">
        <f ca="1"/>
      </c>
      <c r="GC88">
        <f ca="1"/>
      </c>
      <c r="GD88">
        <f ca="1"/>
      </c>
      <c r="GE88">
        <f ca="1"/>
      </c>
      <c r="GF88">
        <f ca="1"/>
      </c>
      <c r="GG88">
        <f ca="1"/>
      </c>
      <c r="GH88">
        <f ca="1"/>
      </c>
      <c r="GI88">
        <f ca="1"/>
      </c>
      <c r="GJ88">
        <f ca="1"/>
      </c>
      <c r="GK88">
        <f ca="1"/>
      </c>
      <c r="GL88">
        <f ca="1"/>
      </c>
      <c r="GM88">
        <f ca="1"/>
      </c>
      <c r="GN88">
        <f ca="1"/>
      </c>
      <c r="GO88">
        <f ca="1"/>
      </c>
      <c r="GP88">
        <f ca="1"/>
      </c>
      <c r="GQ88">
        <f ca="1"/>
      </c>
      <c r="GR88">
        <f ca="1"/>
      </c>
      <c r="GS88">
        <f ca="1"/>
      </c>
      <c r="GT88">
        <f ca="1"/>
      </c>
      <c r="GU88">
        <f ca="1"/>
      </c>
      <c r="GV88">
        <f ca="1"/>
      </c>
      <c r="GW88">
        <f ca="1"/>
      </c>
      <c r="GX88">
        <f ca="1"/>
      </c>
      <c r="GY88">
        <f ca="1"/>
      </c>
      <c r="GZ88">
        <f ca="1"/>
      </c>
      <c r="HA88">
        <f ca="1"/>
      </c>
      <c r="HB88">
        <f ca="1"/>
      </c>
      <c r="HC88">
        <f ca="1"/>
      </c>
      <c r="HD88">
        <f ca="1"/>
      </c>
      <c r="HE88">
        <f ca="1"/>
      </c>
      <c r="HF88">
        <f ca="1"/>
      </c>
      <c r="HG88">
        <f ca="1"/>
      </c>
      <c r="HH88">
        <f ca="1"/>
      </c>
      <c r="HI88">
        <f ca="1"/>
      </c>
      <c r="HJ88">
        <f ca="1"/>
      </c>
      <c r="HK88">
        <f ca="1"/>
      </c>
      <c r="HL88">
        <f ca="1"/>
      </c>
      <c r="HM88">
        <f ca="1"/>
      </c>
      <c r="HN88">
        <f ca="1"/>
      </c>
      <c r="HO88">
        <f ca="1"/>
      </c>
      <c r="HP88">
        <f ca="1"/>
      </c>
      <c r="HQ88">
        <f ca="1"/>
      </c>
      <c r="HR88">
        <f ca="1"/>
      </c>
      <c r="HS88">
        <f ca="1"/>
      </c>
      <c r="HT88">
        <f ca="1"/>
      </c>
      <c r="HU88">
        <f ca="1"/>
      </c>
      <c r="HV88">
        <f ca="1"/>
      </c>
      <c r="HW88">
        <f ca="1"/>
      </c>
      <c r="HX88">
        <f ca="1"/>
      </c>
      <c r="HY88">
        <f ca="1"/>
      </c>
      <c r="HZ88">
        <f ca="1"/>
      </c>
      <c r="IA88">
        <f ca="1"/>
      </c>
      <c r="IB88">
        <f ca="1"/>
      </c>
      <c r="IC88">
        <f ca="1"/>
      </c>
      <c r="ID88">
        <f ca="1"/>
      </c>
      <c r="IE88">
        <f ca="1"/>
      </c>
      <c r="IF88">
        <f ca="1"/>
      </c>
      <c r="IG88">
        <f ca="1"/>
      </c>
      <c r="IH88">
        <f ca="1"/>
      </c>
      <c r="II88">
        <f ca="1"/>
      </c>
      <c r="IJ88">
        <f ca="1"/>
      </c>
      <c r="IK88">
        <f ca="1"/>
      </c>
      <c r="IL88">
        <f ca="1"/>
      </c>
      <c r="IM88">
        <f ca="1"/>
      </c>
      <c r="IN88">
        <f ca="1"/>
      </c>
      <c r="IO88">
        <f ca="1"/>
      </c>
      <c r="IP88">
        <f ca="1"/>
      </c>
      <c r="IQ88">
        <f ca="1"/>
      </c>
      <c r="IR88">
        <f ca="1"/>
      </c>
      <c r="IS88">
        <f ca="1"/>
      </c>
      <c r="IT88">
        <f ca="1"/>
      </c>
      <c r="IU88">
        <f ca="1"/>
      </c>
      <c r="IV88">
        <f ca="1"/>
      </c>
      <c r="IW88">
        <f ca="1"/>
      </c>
      <c r="IX88">
        <f ca="1"/>
      </c>
      <c r="IY88">
        <f ca="1"/>
      </c>
      <c r="IZ88">
        <f ca="1"/>
      </c>
      <c r="JA88">
        <f ca="1"/>
      </c>
      <c r="JB88">
        <f ca="1"/>
      </c>
      <c r="LA88">
        <f ca="1"/>
      </c>
      <c r="LB88">
        <f ca="1"/>
      </c>
      <c r="LC88">
        <f ca="1"/>
      </c>
    </row>
    <row r="89" spans="58:315" x14ac:dyDescent="0.55000000000000004">
      <c r="BF89">
        <f ca="1"/>
      </c>
      <c r="BG89">
        <f ca="1"/>
      </c>
      <c r="BI89">
        <f ca="1"/>
      </c>
      <c r="BJ89" s="11">
        <f ca="1"/>
      </c>
      <c r="BK89" s="11">
        <f ca="1"/>
      </c>
      <c r="BL89" s="11">
        <f ca="1"/>
      </c>
      <c r="BM89" s="11">
        <f ca="1"/>
      </c>
      <c r="BN89" s="11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J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F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B89">
        <f ca="1"/>
      </c>
      <c r="GC89">
        <f ca="1"/>
      </c>
      <c r="GD89">
        <f ca="1"/>
      </c>
      <c r="GE89">
        <f ca="1"/>
      </c>
      <c r="GF89">
        <f ca="1"/>
      </c>
      <c r="GG89">
        <f ca="1"/>
      </c>
      <c r="GH89">
        <f ca="1"/>
      </c>
      <c r="GI89">
        <f ca="1"/>
      </c>
      <c r="GJ89">
        <f ca="1"/>
      </c>
      <c r="GK89">
        <f ca="1"/>
      </c>
      <c r="GL89">
        <f ca="1"/>
      </c>
      <c r="GM89">
        <f ca="1"/>
      </c>
      <c r="GN89">
        <f ca="1"/>
      </c>
      <c r="GO89">
        <f ca="1"/>
      </c>
      <c r="GP89">
        <f ca="1"/>
      </c>
      <c r="GQ89">
        <f ca="1"/>
      </c>
      <c r="GR89">
        <f ca="1"/>
      </c>
      <c r="GS89">
        <f ca="1"/>
      </c>
      <c r="GT89">
        <f ca="1"/>
      </c>
      <c r="GU89">
        <f ca="1"/>
      </c>
      <c r="GV89">
        <f ca="1"/>
      </c>
      <c r="GW89">
        <f ca="1"/>
      </c>
      <c r="GX89">
        <f ca="1"/>
      </c>
      <c r="GY89">
        <f ca="1"/>
      </c>
      <c r="GZ89">
        <f ca="1"/>
      </c>
      <c r="HA89">
        <f ca="1"/>
      </c>
      <c r="HB89">
        <f ca="1"/>
      </c>
      <c r="HC89">
        <f ca="1"/>
      </c>
      <c r="HD89">
        <f ca="1"/>
      </c>
      <c r="HE89">
        <f ca="1"/>
      </c>
      <c r="HF89">
        <f ca="1"/>
      </c>
      <c r="HG89">
        <f ca="1"/>
      </c>
      <c r="HH89">
        <f ca="1"/>
      </c>
      <c r="HI89">
        <f ca="1"/>
      </c>
      <c r="HJ89">
        <f ca="1"/>
      </c>
      <c r="HK89">
        <f ca="1"/>
      </c>
      <c r="HL89">
        <f ca="1"/>
      </c>
      <c r="HM89">
        <f ca="1"/>
      </c>
      <c r="HN89">
        <f ca="1"/>
      </c>
      <c r="HO89">
        <f ca="1"/>
      </c>
      <c r="HP89">
        <f ca="1"/>
      </c>
      <c r="HQ89">
        <f ca="1"/>
      </c>
      <c r="HR89">
        <f ca="1"/>
      </c>
      <c r="HS89">
        <f ca="1"/>
      </c>
      <c r="HT89">
        <f ca="1"/>
      </c>
      <c r="HU89">
        <f ca="1"/>
      </c>
      <c r="HV89">
        <f ca="1"/>
      </c>
      <c r="HW89">
        <f ca="1"/>
      </c>
      <c r="HX89">
        <f ca="1"/>
      </c>
      <c r="HY89">
        <f ca="1"/>
      </c>
      <c r="HZ89">
        <f ca="1"/>
      </c>
      <c r="IA89">
        <f ca="1"/>
      </c>
      <c r="IB89">
        <f ca="1"/>
      </c>
      <c r="IC89">
        <f ca="1"/>
      </c>
      <c r="ID89">
        <f ca="1"/>
      </c>
      <c r="IE89">
        <f ca="1"/>
      </c>
      <c r="IF89">
        <f ca="1"/>
      </c>
      <c r="IG89">
        <f ca="1"/>
      </c>
      <c r="IH89">
        <f ca="1"/>
      </c>
      <c r="II89">
        <f ca="1"/>
      </c>
      <c r="IJ89">
        <f ca="1"/>
      </c>
      <c r="IK89">
        <f ca="1"/>
      </c>
      <c r="IL89">
        <f ca="1"/>
      </c>
      <c r="IM89">
        <f ca="1"/>
      </c>
      <c r="IN89">
        <f ca="1"/>
      </c>
      <c r="IO89">
        <f ca="1"/>
      </c>
      <c r="IP89">
        <f ca="1"/>
      </c>
      <c r="IQ89">
        <f ca="1"/>
      </c>
      <c r="IR89">
        <f ca="1"/>
      </c>
      <c r="IS89">
        <f ca="1"/>
      </c>
      <c r="IT89">
        <f ca="1"/>
      </c>
      <c r="IU89">
        <f ca="1"/>
      </c>
      <c r="IV89">
        <f ca="1"/>
      </c>
      <c r="IW89">
        <f ca="1"/>
      </c>
      <c r="IX89">
        <f ca="1"/>
      </c>
      <c r="IY89">
        <f ca="1"/>
      </c>
      <c r="IZ89">
        <f ca="1"/>
      </c>
      <c r="JA89">
        <f ca="1"/>
      </c>
      <c r="JB89">
        <f ca="1"/>
      </c>
      <c r="LA89">
        <f ca="1"/>
      </c>
      <c r="LB89">
        <f ca="1"/>
      </c>
      <c r="LC89">
        <f ca="1"/>
      </c>
    </row>
    <row r="90" spans="58:315" x14ac:dyDescent="0.55000000000000004">
      <c r="BF90">
        <f ca="1"/>
      </c>
      <c r="BG90">
        <f ca="1"/>
      </c>
      <c r="BI90">
        <f ca="1"/>
      </c>
      <c r="BJ90" s="11">
        <f ca="1"/>
      </c>
      <c r="BK90" s="11">
        <f ca="1"/>
      </c>
      <c r="BL90" s="11">
        <f ca="1"/>
      </c>
      <c r="BM90" s="11">
        <f ca="1"/>
      </c>
      <c r="BN90" s="11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J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F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B90">
        <f ca="1"/>
      </c>
      <c r="GC90">
        <f ca="1"/>
      </c>
      <c r="GD90">
        <f ca="1"/>
      </c>
      <c r="GE90">
        <f ca="1"/>
      </c>
      <c r="GF90">
        <f ca="1"/>
      </c>
      <c r="GG90">
        <f ca="1"/>
      </c>
      <c r="GH90">
        <f ca="1"/>
      </c>
      <c r="GI90">
        <f ca="1"/>
      </c>
      <c r="GJ90">
        <f ca="1"/>
      </c>
      <c r="GK90">
        <f ca="1"/>
      </c>
      <c r="GL90">
        <f ca="1"/>
      </c>
      <c r="GM90">
        <f ca="1"/>
      </c>
      <c r="GN90">
        <f ca="1"/>
      </c>
      <c r="GO90">
        <f ca="1"/>
      </c>
      <c r="GP90">
        <f ca="1"/>
      </c>
      <c r="GQ90">
        <f ca="1"/>
      </c>
      <c r="GR90">
        <f ca="1"/>
      </c>
      <c r="GS90">
        <f ca="1"/>
      </c>
      <c r="GT90">
        <f ca="1"/>
      </c>
      <c r="GU90">
        <f ca="1"/>
      </c>
      <c r="GV90">
        <f ca="1"/>
      </c>
      <c r="GW90">
        <f ca="1"/>
      </c>
      <c r="GX90">
        <f ca="1"/>
      </c>
      <c r="GY90">
        <f ca="1"/>
      </c>
      <c r="GZ90">
        <f ca="1"/>
      </c>
      <c r="HA90">
        <f ca="1"/>
      </c>
      <c r="HB90">
        <f ca="1"/>
      </c>
      <c r="HC90">
        <f ca="1"/>
      </c>
      <c r="HD90">
        <f ca="1"/>
      </c>
      <c r="HE90">
        <f ca="1"/>
      </c>
      <c r="HF90">
        <f ca="1"/>
      </c>
      <c r="HG90">
        <f ca="1"/>
      </c>
      <c r="HH90">
        <f ca="1"/>
      </c>
      <c r="HI90">
        <f ca="1"/>
      </c>
      <c r="HJ90">
        <f ca="1"/>
      </c>
      <c r="HK90">
        <f ca="1"/>
      </c>
      <c r="HL90">
        <f ca="1"/>
      </c>
      <c r="HM90">
        <f ca="1"/>
      </c>
      <c r="HN90">
        <f ca="1"/>
      </c>
      <c r="HO90">
        <f ca="1"/>
      </c>
      <c r="HP90">
        <f ca="1"/>
      </c>
      <c r="HQ90">
        <f ca="1"/>
      </c>
      <c r="HR90">
        <f ca="1"/>
      </c>
      <c r="HS90">
        <f ca="1"/>
      </c>
      <c r="HT90">
        <f ca="1"/>
      </c>
      <c r="HU90">
        <f ca="1"/>
      </c>
      <c r="HV90">
        <f ca="1"/>
      </c>
      <c r="HW90">
        <f ca="1"/>
      </c>
      <c r="HX90">
        <f ca="1"/>
      </c>
      <c r="HY90">
        <f ca="1"/>
      </c>
      <c r="HZ90">
        <f ca="1"/>
      </c>
      <c r="IA90">
        <f ca="1"/>
      </c>
      <c r="IB90">
        <f ca="1"/>
      </c>
      <c r="IC90">
        <f ca="1"/>
      </c>
      <c r="ID90">
        <f ca="1"/>
      </c>
      <c r="IE90">
        <f ca="1"/>
      </c>
      <c r="IF90">
        <f ca="1"/>
      </c>
      <c r="IG90">
        <f ca="1"/>
      </c>
      <c r="IH90">
        <f ca="1"/>
      </c>
      <c r="II90">
        <f ca="1"/>
      </c>
      <c r="IJ90">
        <f ca="1"/>
      </c>
      <c r="IK90">
        <f ca="1"/>
      </c>
      <c r="IL90">
        <f ca="1"/>
      </c>
      <c r="IM90">
        <f ca="1"/>
      </c>
      <c r="IN90">
        <f ca="1"/>
      </c>
      <c r="IO90">
        <f ca="1"/>
      </c>
      <c r="IP90">
        <f ca="1"/>
      </c>
      <c r="IQ90">
        <f ca="1"/>
      </c>
      <c r="IR90">
        <f ca="1"/>
      </c>
      <c r="IS90">
        <f ca="1"/>
      </c>
      <c r="IT90">
        <f ca="1"/>
      </c>
      <c r="IU90">
        <f ca="1"/>
      </c>
      <c r="IV90">
        <f ca="1"/>
      </c>
      <c r="IW90">
        <f ca="1"/>
      </c>
      <c r="IX90">
        <f ca="1"/>
      </c>
      <c r="IY90">
        <f ca="1"/>
      </c>
      <c r="IZ90">
        <f ca="1"/>
      </c>
      <c r="JA90">
        <f ca="1"/>
      </c>
      <c r="JB90">
        <f ca="1"/>
      </c>
      <c r="LA90">
        <f ca="1"/>
      </c>
      <c r="LB90">
        <f ca="1"/>
      </c>
      <c r="LC90">
        <f ca="1"/>
      </c>
    </row>
    <row r="91" spans="58:315" x14ac:dyDescent="0.55000000000000004">
      <c r="BF91">
        <f ca="1"/>
      </c>
      <c r="BG91">
        <f ca="1"/>
      </c>
      <c r="BI91">
        <f ca="1"/>
      </c>
      <c r="BJ91" s="11">
        <f ca="1"/>
      </c>
      <c r="BK91" s="11">
        <f ca="1"/>
      </c>
      <c r="BL91" s="11">
        <f ca="1"/>
      </c>
      <c r="BM91" s="11">
        <f ca="1"/>
      </c>
      <c r="BN91" s="1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J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F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B91">
        <f ca="1"/>
      </c>
      <c r="GC91">
        <f ca="1"/>
      </c>
      <c r="GD91">
        <f ca="1"/>
      </c>
      <c r="GE91">
        <f ca="1"/>
      </c>
      <c r="GF91">
        <f ca="1"/>
      </c>
      <c r="GG91">
        <f ca="1"/>
      </c>
      <c r="GH91">
        <f ca="1"/>
      </c>
      <c r="GI91">
        <f ca="1"/>
      </c>
      <c r="GJ91">
        <f ca="1"/>
      </c>
      <c r="GK91">
        <f ca="1"/>
      </c>
      <c r="GL91">
        <f ca="1"/>
      </c>
      <c r="GM91">
        <f ca="1"/>
      </c>
      <c r="GN91">
        <f ca="1"/>
      </c>
      <c r="GO91">
        <f ca="1"/>
      </c>
      <c r="GP91">
        <f ca="1"/>
      </c>
      <c r="GQ91">
        <f ca="1"/>
      </c>
      <c r="GR91">
        <f ca="1"/>
      </c>
      <c r="GS91">
        <f ca="1"/>
      </c>
      <c r="GT91">
        <f ca="1"/>
      </c>
      <c r="GU91">
        <f ca="1"/>
      </c>
      <c r="GV91">
        <f ca="1"/>
      </c>
      <c r="GW91">
        <f ca="1"/>
      </c>
      <c r="GX91">
        <f ca="1"/>
      </c>
      <c r="GY91">
        <f ca="1"/>
      </c>
      <c r="GZ91">
        <f ca="1"/>
      </c>
      <c r="HA91">
        <f ca="1"/>
      </c>
      <c r="HB91">
        <f ca="1"/>
      </c>
      <c r="HC91">
        <f ca="1"/>
      </c>
      <c r="HD91">
        <f ca="1"/>
      </c>
      <c r="HE91">
        <f ca="1"/>
      </c>
      <c r="HF91">
        <f ca="1"/>
      </c>
      <c r="HG91">
        <f ca="1"/>
      </c>
      <c r="HH91">
        <f ca="1"/>
      </c>
      <c r="HI91">
        <f ca="1"/>
      </c>
      <c r="HJ91">
        <f ca="1"/>
      </c>
      <c r="HK91">
        <f ca="1"/>
      </c>
      <c r="HL91">
        <f ca="1"/>
      </c>
      <c r="HM91">
        <f ca="1"/>
      </c>
      <c r="HN91">
        <f ca="1"/>
      </c>
      <c r="HO91">
        <f ca="1"/>
      </c>
      <c r="HP91">
        <f ca="1"/>
      </c>
      <c r="HQ91">
        <f ca="1"/>
      </c>
      <c r="HR91">
        <f ca="1"/>
      </c>
      <c r="HS91">
        <f ca="1"/>
      </c>
      <c r="HT91">
        <f ca="1"/>
      </c>
      <c r="HU91">
        <f ca="1"/>
      </c>
      <c r="HV91">
        <f ca="1"/>
      </c>
      <c r="HW91">
        <f ca="1"/>
      </c>
      <c r="HX91">
        <f ca="1"/>
      </c>
      <c r="HY91">
        <f ca="1"/>
      </c>
      <c r="HZ91">
        <f ca="1"/>
      </c>
      <c r="IA91">
        <f ca="1"/>
      </c>
      <c r="IB91">
        <f ca="1"/>
      </c>
      <c r="IC91">
        <f ca="1"/>
      </c>
      <c r="ID91">
        <f ca="1"/>
      </c>
      <c r="IE91">
        <f ca="1"/>
      </c>
      <c r="IF91">
        <f ca="1"/>
      </c>
      <c r="IG91">
        <f ca="1"/>
      </c>
      <c r="IH91">
        <f ca="1"/>
      </c>
      <c r="II91">
        <f ca="1"/>
      </c>
      <c r="IJ91">
        <f ca="1"/>
      </c>
      <c r="IK91">
        <f ca="1"/>
      </c>
      <c r="IL91">
        <f ca="1"/>
      </c>
      <c r="IM91">
        <f ca="1"/>
      </c>
      <c r="IN91">
        <f ca="1"/>
      </c>
      <c r="IO91">
        <f ca="1"/>
      </c>
      <c r="IP91">
        <f ca="1"/>
      </c>
      <c r="IQ91">
        <f ca="1"/>
      </c>
      <c r="IR91">
        <f ca="1"/>
      </c>
      <c r="IS91">
        <f ca="1"/>
      </c>
      <c r="IT91">
        <f ca="1"/>
      </c>
      <c r="IU91">
        <f ca="1"/>
      </c>
      <c r="IV91">
        <f ca="1"/>
      </c>
      <c r="IW91">
        <f ca="1"/>
      </c>
      <c r="IX91">
        <f ca="1"/>
      </c>
      <c r="IY91">
        <f ca="1"/>
      </c>
      <c r="IZ91">
        <f ca="1"/>
      </c>
      <c r="JA91">
        <f ca="1"/>
      </c>
      <c r="JB91">
        <f ca="1"/>
      </c>
      <c r="LA91">
        <f ca="1"/>
      </c>
      <c r="LB91">
        <f ca="1"/>
      </c>
      <c r="LC91">
        <f ca="1"/>
      </c>
    </row>
    <row r="92" spans="58:315" x14ac:dyDescent="0.55000000000000004">
      <c r="BF92">
        <f ca="1"/>
      </c>
      <c r="BG92">
        <f ca="1"/>
      </c>
      <c r="BI92">
        <f ca="1"/>
      </c>
      <c r="BJ92" s="11">
        <f ca="1"/>
      </c>
      <c r="BK92" s="11">
        <f ca="1"/>
      </c>
      <c r="BL92" s="11">
        <f ca="1"/>
      </c>
      <c r="BM92" s="11">
        <f ca="1"/>
      </c>
      <c r="BN92" s="11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J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F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B92">
        <f ca="1"/>
      </c>
      <c r="GC92">
        <f ca="1"/>
      </c>
      <c r="GD92">
        <f ca="1"/>
      </c>
      <c r="GE92">
        <f ca="1"/>
      </c>
      <c r="GF92">
        <f ca="1"/>
      </c>
      <c r="GG92">
        <f ca="1"/>
      </c>
      <c r="GH92">
        <f ca="1"/>
      </c>
      <c r="GI92">
        <f ca="1"/>
      </c>
      <c r="GJ92">
        <f ca="1"/>
      </c>
      <c r="GK92">
        <f ca="1"/>
      </c>
      <c r="GL92">
        <f ca="1"/>
      </c>
      <c r="GM92">
        <f ca="1"/>
      </c>
      <c r="GN92">
        <f ca="1"/>
      </c>
      <c r="GO92">
        <f ca="1"/>
      </c>
      <c r="GP92">
        <f ca="1"/>
      </c>
      <c r="GQ92">
        <f ca="1"/>
      </c>
      <c r="GR92">
        <f ca="1"/>
      </c>
      <c r="GS92">
        <f ca="1"/>
      </c>
      <c r="GT92">
        <f ca="1"/>
      </c>
      <c r="GU92">
        <f ca="1"/>
      </c>
      <c r="GV92">
        <f ca="1"/>
      </c>
      <c r="GW92">
        <f ca="1"/>
      </c>
      <c r="GX92">
        <f ca="1"/>
      </c>
      <c r="GY92">
        <f ca="1"/>
      </c>
      <c r="GZ92">
        <f ca="1"/>
      </c>
      <c r="HA92">
        <f ca="1"/>
      </c>
      <c r="HB92">
        <f ca="1"/>
      </c>
      <c r="HC92">
        <f ca="1"/>
      </c>
      <c r="HD92">
        <f ca="1"/>
      </c>
      <c r="HE92">
        <f ca="1"/>
      </c>
      <c r="HF92">
        <f ca="1"/>
      </c>
      <c r="HG92">
        <f ca="1"/>
      </c>
      <c r="HH92">
        <f ca="1"/>
      </c>
      <c r="HI92">
        <f ca="1"/>
      </c>
      <c r="HJ92">
        <f ca="1"/>
      </c>
      <c r="HK92">
        <f ca="1"/>
      </c>
      <c r="HL92">
        <f ca="1"/>
      </c>
      <c r="HM92">
        <f ca="1"/>
      </c>
      <c r="HN92">
        <f ca="1"/>
      </c>
      <c r="HO92">
        <f ca="1"/>
      </c>
      <c r="HP92">
        <f ca="1"/>
      </c>
      <c r="HQ92">
        <f ca="1"/>
      </c>
      <c r="HR92">
        <f ca="1"/>
      </c>
      <c r="HS92">
        <f ca="1"/>
      </c>
      <c r="HT92">
        <f ca="1"/>
      </c>
      <c r="HU92">
        <f ca="1"/>
      </c>
      <c r="HV92">
        <f ca="1"/>
      </c>
      <c r="HW92">
        <f ca="1"/>
      </c>
      <c r="HX92">
        <f ca="1"/>
      </c>
      <c r="HY92">
        <f ca="1"/>
      </c>
      <c r="HZ92">
        <f ca="1"/>
      </c>
      <c r="IA92">
        <f ca="1"/>
      </c>
      <c r="IB92">
        <f ca="1"/>
      </c>
      <c r="IC92">
        <f ca="1"/>
      </c>
      <c r="ID92">
        <f ca="1"/>
      </c>
      <c r="IE92">
        <f ca="1"/>
      </c>
      <c r="IF92">
        <f ca="1"/>
      </c>
      <c r="IG92">
        <f ca="1"/>
      </c>
      <c r="IH92">
        <f ca="1"/>
      </c>
      <c r="II92">
        <f ca="1"/>
      </c>
      <c r="IJ92">
        <f ca="1"/>
      </c>
      <c r="IK92">
        <f ca="1"/>
      </c>
      <c r="IL92">
        <f ca="1"/>
      </c>
      <c r="IM92">
        <f ca="1"/>
      </c>
      <c r="IN92">
        <f ca="1"/>
      </c>
      <c r="IO92">
        <f ca="1"/>
      </c>
      <c r="IP92">
        <f ca="1"/>
      </c>
      <c r="IQ92">
        <f ca="1"/>
      </c>
      <c r="IR92">
        <f ca="1"/>
      </c>
      <c r="IS92">
        <f ca="1"/>
      </c>
      <c r="IT92">
        <f ca="1"/>
      </c>
      <c r="IU92">
        <f ca="1"/>
      </c>
      <c r="IV92">
        <f ca="1"/>
      </c>
      <c r="IW92">
        <f ca="1"/>
      </c>
      <c r="IX92">
        <f ca="1"/>
      </c>
      <c r="IY92">
        <f ca="1"/>
      </c>
      <c r="IZ92">
        <f ca="1"/>
      </c>
      <c r="JA92">
        <f ca="1"/>
      </c>
      <c r="JB92">
        <f ca="1"/>
      </c>
      <c r="LA92">
        <f ca="1"/>
      </c>
      <c r="LB92">
        <f ca="1"/>
      </c>
      <c r="LC92">
        <f ca="1"/>
      </c>
    </row>
    <row r="93" spans="58:315" x14ac:dyDescent="0.55000000000000004">
      <c r="BF93">
        <f ca="1"/>
      </c>
      <c r="BG93">
        <f ca="1"/>
      </c>
      <c r="BI93">
        <f ca="1"/>
      </c>
      <c r="BJ93" s="11">
        <f ca="1"/>
      </c>
      <c r="BK93" s="11">
        <f ca="1"/>
      </c>
      <c r="BL93" s="11">
        <f ca="1"/>
      </c>
      <c r="BM93" s="11">
        <f ca="1"/>
      </c>
      <c r="BN93" s="11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J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F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B93">
        <f ca="1"/>
      </c>
      <c r="GC93">
        <f ca="1"/>
      </c>
      <c r="GD93">
        <f ca="1"/>
      </c>
      <c r="GE93">
        <f ca="1"/>
      </c>
      <c r="GF93">
        <f ca="1"/>
      </c>
      <c r="GG93">
        <f ca="1"/>
      </c>
      <c r="GH93">
        <f ca="1"/>
      </c>
      <c r="GI93">
        <f ca="1"/>
      </c>
      <c r="GJ93">
        <f ca="1"/>
      </c>
      <c r="GK93">
        <f ca="1"/>
      </c>
      <c r="GL93">
        <f ca="1"/>
      </c>
      <c r="GM93">
        <f ca="1"/>
      </c>
      <c r="GN93">
        <f ca="1"/>
      </c>
      <c r="GO93">
        <f ca="1"/>
      </c>
      <c r="GP93">
        <f ca="1"/>
      </c>
      <c r="GQ93">
        <f ca="1"/>
      </c>
      <c r="GR93">
        <f ca="1"/>
      </c>
      <c r="GS93">
        <f ca="1"/>
      </c>
      <c r="GT93">
        <f ca="1"/>
      </c>
      <c r="GU93">
        <f ca="1"/>
      </c>
      <c r="GV93">
        <f ca="1"/>
      </c>
      <c r="GW93">
        <f ca="1"/>
      </c>
      <c r="GX93">
        <f ca="1"/>
      </c>
      <c r="GY93">
        <f ca="1"/>
      </c>
      <c r="GZ93">
        <f ca="1"/>
      </c>
      <c r="HA93">
        <f ca="1"/>
      </c>
      <c r="HB93">
        <f ca="1"/>
      </c>
      <c r="HC93">
        <f ca="1"/>
      </c>
      <c r="HD93">
        <f ca="1"/>
      </c>
      <c r="HE93">
        <f ca="1"/>
      </c>
      <c r="HF93">
        <f ca="1"/>
      </c>
      <c r="HG93">
        <f ca="1"/>
      </c>
      <c r="HH93">
        <f ca="1"/>
      </c>
      <c r="HI93">
        <f ca="1"/>
      </c>
      <c r="HJ93">
        <f ca="1"/>
      </c>
      <c r="HK93">
        <f ca="1"/>
      </c>
      <c r="HL93">
        <f ca="1"/>
      </c>
      <c r="HM93">
        <f ca="1"/>
      </c>
      <c r="HN93">
        <f ca="1"/>
      </c>
      <c r="HO93">
        <f ca="1"/>
      </c>
      <c r="HP93">
        <f ca="1"/>
      </c>
      <c r="HQ93">
        <f ca="1"/>
      </c>
      <c r="HR93">
        <f ca="1"/>
      </c>
      <c r="HS93">
        <f ca="1"/>
      </c>
      <c r="HT93">
        <f ca="1"/>
      </c>
      <c r="HU93">
        <f ca="1"/>
      </c>
      <c r="HV93">
        <f ca="1"/>
      </c>
      <c r="HW93">
        <f ca="1"/>
      </c>
      <c r="HX93">
        <f ca="1"/>
      </c>
      <c r="HY93">
        <f ca="1"/>
      </c>
      <c r="HZ93">
        <f ca="1"/>
      </c>
      <c r="IA93">
        <f ca="1"/>
      </c>
      <c r="IB93">
        <f ca="1"/>
      </c>
      <c r="IC93">
        <f ca="1"/>
      </c>
      <c r="ID93">
        <f ca="1"/>
      </c>
      <c r="IE93">
        <f ca="1"/>
      </c>
      <c r="IF93">
        <f ca="1"/>
      </c>
      <c r="IG93">
        <f ca="1"/>
      </c>
      <c r="IH93">
        <f ca="1"/>
      </c>
      <c r="II93">
        <f ca="1"/>
      </c>
      <c r="IJ93">
        <f ca="1"/>
      </c>
      <c r="IK93">
        <f ca="1"/>
      </c>
      <c r="IL93">
        <f ca="1"/>
      </c>
      <c r="IM93">
        <f ca="1"/>
      </c>
      <c r="IN93">
        <f ca="1"/>
      </c>
      <c r="IO93">
        <f ca="1"/>
      </c>
      <c r="IP93">
        <f ca="1"/>
      </c>
      <c r="IQ93">
        <f ca="1"/>
      </c>
      <c r="IR93">
        <f ca="1"/>
      </c>
      <c r="IS93">
        <f ca="1"/>
      </c>
      <c r="IT93">
        <f ca="1"/>
      </c>
      <c r="IU93">
        <f ca="1"/>
      </c>
      <c r="IV93">
        <f ca="1"/>
      </c>
      <c r="IW93">
        <f ca="1"/>
      </c>
      <c r="IX93">
        <f ca="1"/>
      </c>
      <c r="IY93">
        <f ca="1"/>
      </c>
      <c r="IZ93">
        <f ca="1"/>
      </c>
      <c r="JA93">
        <f ca="1"/>
      </c>
      <c r="JB93">
        <f ca="1"/>
      </c>
      <c r="LA93">
        <f ca="1"/>
      </c>
      <c r="LB93">
        <f ca="1"/>
      </c>
      <c r="LC93">
        <f ca="1"/>
      </c>
    </row>
    <row r="94" spans="58:315" x14ac:dyDescent="0.55000000000000004">
      <c r="BF94">
        <f ca="1"/>
      </c>
      <c r="BG94">
        <f ca="1"/>
      </c>
      <c r="BI94">
        <f ca="1"/>
      </c>
      <c r="BJ94" s="11">
        <f ca="1"/>
      </c>
      <c r="BK94" s="11">
        <f ca="1"/>
      </c>
      <c r="BL94" s="11">
        <f ca="1"/>
      </c>
      <c r="BM94" s="11">
        <f ca="1"/>
      </c>
      <c r="BN94" s="11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J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F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B94">
        <f ca="1"/>
      </c>
      <c r="GC94">
        <f ca="1"/>
      </c>
      <c r="GD94">
        <f ca="1"/>
      </c>
      <c r="GE94">
        <f ca="1"/>
      </c>
      <c r="GF94">
        <f ca="1"/>
      </c>
      <c r="GG94">
        <f ca="1"/>
      </c>
      <c r="GH94">
        <f ca="1"/>
      </c>
      <c r="GI94">
        <f ca="1"/>
      </c>
      <c r="GJ94">
        <f ca="1"/>
      </c>
      <c r="GK94">
        <f ca="1"/>
      </c>
      <c r="GL94">
        <f ca="1"/>
      </c>
      <c r="GM94">
        <f ca="1"/>
      </c>
      <c r="GN94">
        <f ca="1"/>
      </c>
      <c r="GO94">
        <f ca="1"/>
      </c>
      <c r="GP94">
        <f ca="1"/>
      </c>
      <c r="GQ94">
        <f ca="1"/>
      </c>
      <c r="GR94">
        <f ca="1"/>
      </c>
      <c r="GS94">
        <f ca="1"/>
      </c>
      <c r="GT94">
        <f ca="1"/>
      </c>
      <c r="GU94">
        <f ca="1"/>
      </c>
      <c r="GV94">
        <f ca="1"/>
      </c>
      <c r="GW94">
        <f ca="1"/>
      </c>
      <c r="GX94">
        <f ca="1"/>
      </c>
      <c r="GY94">
        <f ca="1"/>
      </c>
      <c r="GZ94">
        <f ca="1"/>
      </c>
      <c r="HA94">
        <f ca="1"/>
      </c>
      <c r="HB94">
        <f ca="1"/>
      </c>
      <c r="HC94">
        <f ca="1"/>
      </c>
      <c r="HD94">
        <f ca="1"/>
      </c>
      <c r="HE94">
        <f ca="1"/>
      </c>
      <c r="HF94">
        <f ca="1"/>
      </c>
      <c r="HG94">
        <f ca="1"/>
      </c>
      <c r="HH94">
        <f ca="1"/>
      </c>
      <c r="HI94">
        <f ca="1"/>
      </c>
      <c r="HJ94">
        <f ca="1"/>
      </c>
      <c r="HK94">
        <f ca="1"/>
      </c>
      <c r="HL94">
        <f ca="1"/>
      </c>
      <c r="HM94">
        <f ca="1"/>
      </c>
      <c r="HN94">
        <f ca="1"/>
      </c>
      <c r="HO94">
        <f ca="1"/>
      </c>
      <c r="HP94">
        <f ca="1"/>
      </c>
      <c r="HQ94">
        <f ca="1"/>
      </c>
      <c r="HR94">
        <f ca="1"/>
      </c>
      <c r="HS94">
        <f ca="1"/>
      </c>
      <c r="HT94">
        <f ca="1"/>
      </c>
      <c r="HU94">
        <f ca="1"/>
      </c>
      <c r="HV94">
        <f ca="1"/>
      </c>
      <c r="HW94">
        <f ca="1"/>
      </c>
      <c r="HX94">
        <f ca="1"/>
      </c>
      <c r="HY94">
        <f ca="1"/>
      </c>
      <c r="HZ94">
        <f ca="1"/>
      </c>
      <c r="IA94">
        <f ca="1"/>
      </c>
      <c r="IB94">
        <f ca="1"/>
      </c>
      <c r="IC94">
        <f ca="1"/>
      </c>
      <c r="ID94">
        <f ca="1"/>
      </c>
      <c r="IE94">
        <f ca="1"/>
      </c>
      <c r="IF94">
        <f ca="1"/>
      </c>
      <c r="IG94">
        <f ca="1"/>
      </c>
      <c r="IH94">
        <f ca="1"/>
      </c>
      <c r="II94">
        <f ca="1"/>
      </c>
      <c r="IJ94">
        <f ca="1"/>
      </c>
      <c r="IK94">
        <f ca="1"/>
      </c>
      <c r="IL94">
        <f ca="1"/>
      </c>
      <c r="IM94">
        <f ca="1"/>
      </c>
      <c r="IN94">
        <f ca="1"/>
      </c>
      <c r="IO94">
        <f ca="1"/>
      </c>
      <c r="IP94">
        <f ca="1"/>
      </c>
      <c r="IQ94">
        <f ca="1"/>
      </c>
      <c r="IR94">
        <f ca="1"/>
      </c>
      <c r="IS94">
        <f ca="1"/>
      </c>
      <c r="IT94">
        <f ca="1"/>
      </c>
      <c r="IU94">
        <f ca="1"/>
      </c>
      <c r="IV94">
        <f ca="1"/>
      </c>
      <c r="IW94">
        <f ca="1"/>
      </c>
      <c r="IX94">
        <f ca="1"/>
      </c>
      <c r="IY94">
        <f ca="1"/>
      </c>
      <c r="IZ94">
        <f ca="1"/>
      </c>
      <c r="JA94">
        <f ca="1"/>
      </c>
      <c r="JB94">
        <f ca="1"/>
      </c>
      <c r="LA94">
        <f ca="1"/>
      </c>
      <c r="LB94">
        <f ca="1"/>
      </c>
      <c r="LC94">
        <f ca="1"/>
      </c>
    </row>
    <row r="95" spans="58:315" x14ac:dyDescent="0.55000000000000004">
      <c r="BF95">
        <f ca="1"/>
      </c>
      <c r="BG95">
        <f ca="1"/>
      </c>
      <c r="BI95">
        <f ca="1"/>
      </c>
      <c r="BJ95" s="11">
        <f ca="1"/>
      </c>
      <c r="BK95" s="11">
        <f ca="1"/>
      </c>
      <c r="BL95" s="11">
        <f ca="1"/>
      </c>
      <c r="BM95" s="11">
        <f ca="1"/>
      </c>
      <c r="BN95" s="11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J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F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B95">
        <f ca="1"/>
      </c>
      <c r="GC95">
        <f ca="1"/>
      </c>
      <c r="GD95">
        <f ca="1"/>
      </c>
      <c r="GE95">
        <f ca="1"/>
      </c>
      <c r="GF95">
        <f ca="1"/>
      </c>
      <c r="GG95">
        <f ca="1"/>
      </c>
      <c r="GH95">
        <f ca="1"/>
      </c>
      <c r="GI95">
        <f ca="1"/>
      </c>
      <c r="GJ95">
        <f ca="1"/>
      </c>
      <c r="GK95">
        <f ca="1"/>
      </c>
      <c r="GL95">
        <f ca="1"/>
      </c>
      <c r="GM95">
        <f ca="1"/>
      </c>
      <c r="GN95">
        <f ca="1"/>
      </c>
      <c r="GO95">
        <f ca="1"/>
      </c>
      <c r="GP95">
        <f ca="1"/>
      </c>
      <c r="GQ95">
        <f ca="1"/>
      </c>
      <c r="GR95">
        <f ca="1"/>
      </c>
      <c r="GS95">
        <f ca="1"/>
      </c>
      <c r="GT95">
        <f ca="1"/>
      </c>
      <c r="GU95">
        <f ca="1"/>
      </c>
      <c r="GV95">
        <f ca="1"/>
      </c>
      <c r="GW95">
        <f ca="1"/>
      </c>
      <c r="GX95">
        <f ca="1"/>
      </c>
      <c r="GY95">
        <f ca="1"/>
      </c>
      <c r="GZ95">
        <f ca="1"/>
      </c>
      <c r="HA95">
        <f ca="1"/>
      </c>
      <c r="HB95">
        <f ca="1"/>
      </c>
      <c r="HC95">
        <f ca="1"/>
      </c>
      <c r="HD95">
        <f ca="1"/>
      </c>
      <c r="HE95">
        <f ca="1"/>
      </c>
      <c r="HF95">
        <f ca="1"/>
      </c>
      <c r="HG95">
        <f ca="1"/>
      </c>
      <c r="HH95">
        <f ca="1"/>
      </c>
      <c r="HI95">
        <f ca="1"/>
      </c>
      <c r="HJ95">
        <f ca="1"/>
      </c>
      <c r="HK95">
        <f ca="1"/>
      </c>
      <c r="HL95">
        <f ca="1"/>
      </c>
      <c r="HM95">
        <f ca="1"/>
      </c>
      <c r="HN95">
        <f ca="1"/>
      </c>
      <c r="HO95">
        <f ca="1"/>
      </c>
      <c r="HP95">
        <f ca="1"/>
      </c>
      <c r="HQ95">
        <f ca="1"/>
      </c>
      <c r="HR95">
        <f ca="1"/>
      </c>
      <c r="HS95">
        <f ca="1"/>
      </c>
      <c r="HT95">
        <f ca="1"/>
      </c>
      <c r="HU95">
        <f ca="1"/>
      </c>
      <c r="HV95">
        <f ca="1"/>
      </c>
      <c r="HW95">
        <f ca="1"/>
      </c>
      <c r="HX95">
        <f ca="1"/>
      </c>
      <c r="HY95">
        <f ca="1"/>
      </c>
      <c r="HZ95">
        <f ca="1"/>
      </c>
      <c r="IA95">
        <f ca="1"/>
      </c>
      <c r="IB95">
        <f ca="1"/>
      </c>
      <c r="IC95">
        <f ca="1"/>
      </c>
      <c r="ID95">
        <f ca="1"/>
      </c>
      <c r="IE95">
        <f ca="1"/>
      </c>
      <c r="IF95">
        <f ca="1"/>
      </c>
      <c r="IG95">
        <f ca="1"/>
      </c>
      <c r="IH95">
        <f ca="1"/>
      </c>
      <c r="II95">
        <f ca="1"/>
      </c>
      <c r="IJ95">
        <f ca="1"/>
      </c>
      <c r="IK95">
        <f ca="1"/>
      </c>
      <c r="IL95">
        <f ca="1"/>
      </c>
      <c r="IM95">
        <f ca="1"/>
      </c>
      <c r="IN95">
        <f ca="1"/>
      </c>
      <c r="IO95">
        <f ca="1"/>
      </c>
      <c r="IP95">
        <f ca="1"/>
      </c>
      <c r="IQ95">
        <f ca="1"/>
      </c>
      <c r="IR95">
        <f ca="1"/>
      </c>
      <c r="IS95">
        <f ca="1"/>
      </c>
      <c r="IT95">
        <f ca="1"/>
      </c>
      <c r="IU95">
        <f ca="1"/>
      </c>
      <c r="IV95">
        <f ca="1"/>
      </c>
      <c r="IW95">
        <f ca="1"/>
      </c>
      <c r="IX95">
        <f ca="1"/>
      </c>
      <c r="IY95">
        <f ca="1"/>
      </c>
      <c r="IZ95">
        <f ca="1"/>
      </c>
      <c r="JA95">
        <f ca="1"/>
      </c>
      <c r="JB95">
        <f ca="1"/>
      </c>
      <c r="LA95">
        <f ca="1"/>
      </c>
      <c r="LB95">
        <f ca="1"/>
      </c>
      <c r="LC95">
        <f ca="1"/>
      </c>
    </row>
    <row r="96" spans="58:315" x14ac:dyDescent="0.55000000000000004">
      <c r="BF96">
        <f ca="1"/>
      </c>
      <c r="BG96">
        <f ca="1"/>
      </c>
      <c r="BI96">
        <f ca="1"/>
      </c>
      <c r="BJ96" s="11">
        <f ca="1"/>
      </c>
      <c r="BK96" s="11">
        <f ca="1"/>
      </c>
      <c r="BL96" s="11">
        <f ca="1"/>
      </c>
      <c r="BM96" s="11">
        <f ca="1"/>
      </c>
      <c r="BN96" s="11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J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F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B96">
        <f ca="1"/>
      </c>
      <c r="GC96">
        <f ca="1"/>
      </c>
      <c r="GD96">
        <f ca="1"/>
      </c>
      <c r="GE96">
        <f ca="1"/>
      </c>
      <c r="GF96">
        <f ca="1"/>
      </c>
      <c r="GG96">
        <f ca="1"/>
      </c>
      <c r="GH96">
        <f ca="1"/>
      </c>
      <c r="GI96">
        <f ca="1"/>
      </c>
      <c r="GJ96">
        <f ca="1"/>
      </c>
      <c r="GK96">
        <f ca="1"/>
      </c>
      <c r="GL96">
        <f ca="1"/>
      </c>
      <c r="GM96">
        <f ca="1"/>
      </c>
      <c r="GN96">
        <f ca="1"/>
      </c>
      <c r="GO96">
        <f ca="1"/>
      </c>
      <c r="GP96">
        <f ca="1"/>
      </c>
      <c r="GQ96">
        <f ca="1"/>
      </c>
      <c r="GR96">
        <f ca="1"/>
      </c>
      <c r="GS96">
        <f ca="1"/>
      </c>
      <c r="GT96">
        <f ca="1"/>
      </c>
      <c r="GU96">
        <f ca="1"/>
      </c>
      <c r="GV96">
        <f ca="1"/>
      </c>
      <c r="GW96">
        <f ca="1"/>
      </c>
      <c r="GX96">
        <f ca="1"/>
      </c>
      <c r="GY96">
        <f ca="1"/>
      </c>
      <c r="GZ96">
        <f ca="1"/>
      </c>
      <c r="HA96">
        <f ca="1"/>
      </c>
      <c r="HB96">
        <f ca="1"/>
      </c>
      <c r="HC96">
        <f ca="1"/>
      </c>
      <c r="HD96">
        <f ca="1"/>
      </c>
      <c r="HE96">
        <f ca="1"/>
      </c>
      <c r="HF96">
        <f ca="1"/>
      </c>
      <c r="HG96">
        <f ca="1"/>
      </c>
      <c r="HH96">
        <f ca="1"/>
      </c>
      <c r="HI96">
        <f ca="1"/>
      </c>
      <c r="HJ96">
        <f ca="1"/>
      </c>
      <c r="HK96">
        <f ca="1"/>
      </c>
      <c r="HL96">
        <f ca="1"/>
      </c>
      <c r="HM96">
        <f ca="1"/>
      </c>
      <c r="HN96">
        <f ca="1"/>
      </c>
      <c r="HO96">
        <f ca="1"/>
      </c>
      <c r="HP96">
        <f ca="1"/>
      </c>
      <c r="HQ96">
        <f ca="1"/>
      </c>
      <c r="HR96">
        <f ca="1"/>
      </c>
      <c r="HS96">
        <f ca="1"/>
      </c>
      <c r="HT96">
        <f ca="1"/>
      </c>
      <c r="HU96">
        <f ca="1"/>
      </c>
      <c r="HV96">
        <f ca="1"/>
      </c>
      <c r="HW96">
        <f ca="1"/>
      </c>
      <c r="HX96">
        <f ca="1"/>
      </c>
      <c r="HY96">
        <f ca="1"/>
      </c>
      <c r="HZ96">
        <f ca="1"/>
      </c>
      <c r="IA96">
        <f ca="1"/>
      </c>
      <c r="IB96">
        <f ca="1"/>
      </c>
      <c r="IC96">
        <f ca="1"/>
      </c>
      <c r="ID96">
        <f ca="1"/>
      </c>
      <c r="IE96">
        <f ca="1"/>
      </c>
      <c r="IF96">
        <f ca="1"/>
      </c>
      <c r="IG96">
        <f ca="1"/>
      </c>
      <c r="IH96">
        <f ca="1"/>
      </c>
      <c r="II96">
        <f ca="1"/>
      </c>
      <c r="IJ96">
        <f ca="1"/>
      </c>
      <c r="IK96">
        <f ca="1"/>
      </c>
      <c r="IL96">
        <f ca="1"/>
      </c>
      <c r="IM96">
        <f ca="1"/>
      </c>
      <c r="IN96">
        <f ca="1"/>
      </c>
      <c r="IO96">
        <f ca="1"/>
      </c>
      <c r="IP96">
        <f ca="1"/>
      </c>
      <c r="IQ96">
        <f ca="1"/>
      </c>
      <c r="IR96">
        <f ca="1"/>
      </c>
      <c r="IS96">
        <f ca="1"/>
      </c>
      <c r="IT96">
        <f ca="1"/>
      </c>
      <c r="IU96">
        <f ca="1"/>
      </c>
      <c r="IV96">
        <f ca="1"/>
      </c>
      <c r="IW96">
        <f ca="1"/>
      </c>
      <c r="IX96">
        <f ca="1"/>
      </c>
      <c r="IY96">
        <f ca="1"/>
      </c>
      <c r="IZ96">
        <f ca="1"/>
      </c>
      <c r="JA96">
        <f ca="1"/>
      </c>
      <c r="JB96">
        <f ca="1"/>
      </c>
      <c r="LA96">
        <f ca="1"/>
      </c>
      <c r="LB96">
        <f ca="1"/>
      </c>
      <c r="LC96">
        <f ca="1"/>
      </c>
    </row>
    <row r="97" spans="58:315" x14ac:dyDescent="0.55000000000000004">
      <c r="BF97">
        <f ca="1"/>
      </c>
      <c r="BG97">
        <f ca="1"/>
      </c>
      <c r="BI97">
        <f ca="1"/>
      </c>
      <c r="BJ97" s="11">
        <f ca="1"/>
      </c>
      <c r="BK97" s="11">
        <f ca="1"/>
      </c>
      <c r="BL97" s="11">
        <f ca="1"/>
      </c>
      <c r="BM97" s="11">
        <f ca="1"/>
      </c>
      <c r="BN97" s="11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J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F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B97">
        <f ca="1"/>
      </c>
      <c r="GC97">
        <f ca="1"/>
      </c>
      <c r="GD97">
        <f ca="1"/>
      </c>
      <c r="GE97">
        <f ca="1"/>
      </c>
      <c r="GF97">
        <f ca="1"/>
      </c>
      <c r="GG97">
        <f ca="1"/>
      </c>
      <c r="GH97">
        <f ca="1"/>
      </c>
      <c r="GI97">
        <f ca="1"/>
      </c>
      <c r="GJ97">
        <f ca="1"/>
      </c>
      <c r="GK97">
        <f ca="1"/>
      </c>
      <c r="GL97">
        <f ca="1"/>
      </c>
      <c r="GM97">
        <f ca="1"/>
      </c>
      <c r="GN97">
        <f ca="1"/>
      </c>
      <c r="GO97">
        <f ca="1"/>
      </c>
      <c r="GP97">
        <f ca="1"/>
      </c>
      <c r="GQ97">
        <f ca="1"/>
      </c>
      <c r="GR97">
        <f ca="1"/>
      </c>
      <c r="GS97">
        <f ca="1"/>
      </c>
      <c r="GT97">
        <f ca="1"/>
      </c>
      <c r="GU97">
        <f ca="1"/>
      </c>
      <c r="GV97">
        <f ca="1"/>
      </c>
      <c r="GW97">
        <f ca="1"/>
      </c>
      <c r="GX97">
        <f ca="1"/>
      </c>
      <c r="GY97">
        <f ca="1"/>
      </c>
      <c r="GZ97">
        <f ca="1"/>
      </c>
      <c r="HA97">
        <f ca="1"/>
      </c>
      <c r="HB97">
        <f ca="1"/>
      </c>
      <c r="HC97">
        <f ca="1"/>
      </c>
      <c r="HD97">
        <f ca="1"/>
      </c>
      <c r="HE97">
        <f ca="1"/>
      </c>
      <c r="HF97">
        <f ca="1"/>
      </c>
      <c r="HG97">
        <f ca="1"/>
      </c>
      <c r="HH97">
        <f ca="1"/>
      </c>
      <c r="HI97">
        <f ca="1"/>
      </c>
      <c r="HJ97">
        <f ca="1"/>
      </c>
      <c r="HK97">
        <f ca="1"/>
      </c>
      <c r="HL97">
        <f ca="1"/>
      </c>
      <c r="HM97">
        <f ca="1"/>
      </c>
      <c r="HN97">
        <f ca="1"/>
      </c>
      <c r="HO97">
        <f ca="1"/>
      </c>
      <c r="HP97">
        <f ca="1"/>
      </c>
      <c r="HQ97">
        <f ca="1"/>
      </c>
      <c r="HR97">
        <f ca="1"/>
      </c>
      <c r="HS97">
        <f ca="1"/>
      </c>
      <c r="HT97">
        <f ca="1"/>
      </c>
      <c r="HU97">
        <f ca="1"/>
      </c>
      <c r="HV97">
        <f ca="1"/>
      </c>
      <c r="HW97">
        <f ca="1"/>
      </c>
      <c r="HX97">
        <f ca="1"/>
      </c>
      <c r="HY97">
        <f ca="1"/>
      </c>
      <c r="HZ97">
        <f ca="1"/>
      </c>
      <c r="IA97">
        <f ca="1"/>
      </c>
      <c r="IB97">
        <f ca="1"/>
      </c>
      <c r="IC97">
        <f ca="1"/>
      </c>
      <c r="ID97">
        <f ca="1"/>
      </c>
      <c r="IE97">
        <f ca="1"/>
      </c>
      <c r="IF97">
        <f ca="1"/>
      </c>
      <c r="IG97">
        <f ca="1"/>
      </c>
      <c r="IH97">
        <f ca="1"/>
      </c>
      <c r="II97">
        <f ca="1"/>
      </c>
      <c r="IJ97">
        <f ca="1"/>
      </c>
      <c r="IK97">
        <f ca="1"/>
      </c>
      <c r="IL97">
        <f ca="1"/>
      </c>
      <c r="IM97">
        <f ca="1"/>
      </c>
      <c r="IN97">
        <f ca="1"/>
      </c>
      <c r="IO97">
        <f ca="1"/>
      </c>
      <c r="IP97">
        <f ca="1"/>
      </c>
      <c r="IQ97">
        <f ca="1"/>
      </c>
      <c r="IR97">
        <f ca="1"/>
      </c>
      <c r="IS97">
        <f ca="1"/>
      </c>
      <c r="IT97">
        <f ca="1"/>
      </c>
      <c r="IU97">
        <f ca="1"/>
      </c>
      <c r="IV97">
        <f ca="1"/>
      </c>
      <c r="IW97">
        <f ca="1"/>
      </c>
      <c r="IX97">
        <f ca="1"/>
      </c>
      <c r="IY97">
        <f ca="1"/>
      </c>
      <c r="IZ97">
        <f ca="1"/>
      </c>
      <c r="JA97">
        <f ca="1"/>
      </c>
      <c r="JB97">
        <f ca="1"/>
      </c>
      <c r="LA97">
        <f ca="1"/>
      </c>
      <c r="LB97">
        <f ca="1"/>
      </c>
      <c r="LC97">
        <f ca="1"/>
      </c>
    </row>
    <row r="98" spans="58:315" x14ac:dyDescent="0.55000000000000004">
      <c r="BF98">
        <f ca="1"/>
      </c>
      <c r="BG98">
        <f ca="1"/>
      </c>
      <c r="BI98">
        <f ca="1"/>
      </c>
      <c r="BJ98" s="11">
        <f ca="1"/>
      </c>
      <c r="BK98" s="11">
        <f ca="1"/>
      </c>
      <c r="BL98" s="11">
        <f ca="1"/>
      </c>
      <c r="BM98" s="11">
        <f ca="1"/>
      </c>
      <c r="BN98" s="11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J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F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B98">
        <f ca="1"/>
      </c>
      <c r="GC98">
        <f ca="1"/>
      </c>
      <c r="GD98">
        <f ca="1"/>
      </c>
      <c r="GE98">
        <f ca="1"/>
      </c>
      <c r="GF98">
        <f ca="1"/>
      </c>
      <c r="GG98">
        <f ca="1"/>
      </c>
      <c r="GH98">
        <f ca="1"/>
      </c>
      <c r="GI98">
        <f ca="1"/>
      </c>
      <c r="GJ98">
        <f ca="1"/>
      </c>
      <c r="GK98">
        <f ca="1"/>
      </c>
      <c r="GL98">
        <f ca="1"/>
      </c>
      <c r="GM98">
        <f ca="1"/>
      </c>
      <c r="GN98">
        <f ca="1"/>
      </c>
      <c r="GO98">
        <f ca="1"/>
      </c>
      <c r="GP98">
        <f ca="1"/>
      </c>
      <c r="GQ98">
        <f ca="1"/>
      </c>
      <c r="GR98">
        <f ca="1"/>
      </c>
      <c r="GS98">
        <f ca="1"/>
      </c>
      <c r="GT98">
        <f ca="1"/>
      </c>
      <c r="GU98">
        <f ca="1"/>
      </c>
      <c r="GV98">
        <f ca="1"/>
      </c>
      <c r="GW98">
        <f ca="1"/>
      </c>
      <c r="GX98">
        <f ca="1"/>
      </c>
      <c r="GY98">
        <f ca="1"/>
      </c>
      <c r="GZ98">
        <f ca="1"/>
      </c>
      <c r="HA98">
        <f ca="1"/>
      </c>
      <c r="HB98">
        <f ca="1"/>
      </c>
      <c r="HC98">
        <f ca="1"/>
      </c>
      <c r="HD98">
        <f ca="1"/>
      </c>
      <c r="HE98">
        <f ca="1"/>
      </c>
      <c r="HF98">
        <f ca="1"/>
      </c>
      <c r="HG98">
        <f ca="1"/>
      </c>
      <c r="HH98">
        <f ca="1"/>
      </c>
      <c r="HI98">
        <f ca="1"/>
      </c>
      <c r="HJ98">
        <f ca="1"/>
      </c>
      <c r="HK98">
        <f ca="1"/>
      </c>
      <c r="HL98">
        <f ca="1"/>
      </c>
      <c r="HM98">
        <f ca="1"/>
      </c>
      <c r="HN98">
        <f ca="1"/>
      </c>
      <c r="HO98">
        <f ca="1"/>
      </c>
      <c r="HP98">
        <f ca="1"/>
      </c>
      <c r="HQ98">
        <f ca="1"/>
      </c>
      <c r="HR98">
        <f ca="1"/>
      </c>
      <c r="HS98">
        <f ca="1"/>
      </c>
      <c r="HT98">
        <f ca="1"/>
      </c>
      <c r="HU98">
        <f ca="1"/>
      </c>
      <c r="HV98">
        <f ca="1"/>
      </c>
      <c r="HW98">
        <f ca="1"/>
      </c>
      <c r="HX98">
        <f ca="1"/>
      </c>
      <c r="HY98">
        <f ca="1"/>
      </c>
      <c r="HZ98">
        <f ca="1"/>
      </c>
      <c r="IA98">
        <f ca="1"/>
      </c>
      <c r="IB98">
        <f ca="1"/>
      </c>
      <c r="IC98">
        <f ca="1"/>
      </c>
      <c r="ID98">
        <f ca="1"/>
      </c>
      <c r="IE98">
        <f ca="1"/>
      </c>
      <c r="IF98">
        <f ca="1"/>
      </c>
      <c r="IG98">
        <f ca="1"/>
      </c>
      <c r="IH98">
        <f ca="1"/>
      </c>
      <c r="II98">
        <f ca="1"/>
      </c>
      <c r="IJ98">
        <f ca="1"/>
      </c>
      <c r="IK98">
        <f ca="1"/>
      </c>
      <c r="IL98">
        <f ca="1"/>
      </c>
      <c r="IM98">
        <f ca="1"/>
      </c>
      <c r="IN98">
        <f ca="1"/>
      </c>
      <c r="IO98">
        <f ca="1"/>
      </c>
      <c r="IP98">
        <f ca="1"/>
      </c>
      <c r="IQ98">
        <f ca="1"/>
      </c>
      <c r="IR98">
        <f ca="1"/>
      </c>
      <c r="IS98">
        <f ca="1"/>
      </c>
      <c r="IT98">
        <f ca="1"/>
      </c>
      <c r="IU98">
        <f ca="1"/>
      </c>
      <c r="IV98">
        <f ca="1"/>
      </c>
      <c r="IW98">
        <f ca="1"/>
      </c>
      <c r="IX98">
        <f ca="1"/>
      </c>
      <c r="IY98">
        <f ca="1"/>
      </c>
      <c r="IZ98">
        <f ca="1"/>
      </c>
      <c r="JA98">
        <f ca="1"/>
      </c>
      <c r="JB98">
        <f ca="1"/>
      </c>
      <c r="LA98">
        <f ca="1"/>
      </c>
      <c r="LB98">
        <f ca="1"/>
      </c>
      <c r="LC98">
        <f ca="1"/>
      </c>
    </row>
    <row r="99" spans="58:315" x14ac:dyDescent="0.55000000000000004">
      <c r="BF99">
        <f ca="1"/>
      </c>
      <c r="BG99">
        <f ca="1"/>
      </c>
      <c r="BI99">
        <f ca="1"/>
      </c>
      <c r="BJ99" s="11">
        <f ca="1"/>
      </c>
      <c r="BK99" s="11">
        <f ca="1"/>
      </c>
      <c r="BL99" s="11">
        <f ca="1"/>
      </c>
      <c r="BM99" s="11">
        <f ca="1"/>
      </c>
      <c r="BN99" s="11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J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F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B99">
        <f ca="1"/>
      </c>
      <c r="GC99">
        <f ca="1"/>
      </c>
      <c r="GD99">
        <f ca="1"/>
      </c>
      <c r="GE99">
        <f ca="1"/>
      </c>
      <c r="GF99">
        <f ca="1"/>
      </c>
      <c r="GG99">
        <f ca="1"/>
      </c>
      <c r="GH99">
        <f ca="1"/>
      </c>
      <c r="GI99">
        <f ca="1"/>
      </c>
      <c r="GJ99">
        <f ca="1"/>
      </c>
      <c r="GK99">
        <f ca="1"/>
      </c>
      <c r="GL99">
        <f ca="1"/>
      </c>
      <c r="GM99">
        <f ca="1"/>
      </c>
      <c r="GN99">
        <f ca="1"/>
      </c>
      <c r="GO99">
        <f ca="1"/>
      </c>
      <c r="GP99">
        <f ca="1"/>
      </c>
      <c r="GQ99">
        <f ca="1"/>
      </c>
      <c r="GR99">
        <f ca="1"/>
      </c>
      <c r="GS99">
        <f ca="1"/>
      </c>
      <c r="GT99">
        <f ca="1"/>
      </c>
      <c r="GU99">
        <f ca="1"/>
      </c>
      <c r="GV99">
        <f ca="1"/>
      </c>
      <c r="GW99">
        <f ca="1"/>
      </c>
      <c r="GX99">
        <f ca="1"/>
      </c>
      <c r="GY99">
        <f ca="1"/>
      </c>
      <c r="GZ99">
        <f ca="1"/>
      </c>
      <c r="HA99">
        <f ca="1"/>
      </c>
      <c r="HB99">
        <f ca="1"/>
      </c>
      <c r="HC99">
        <f ca="1"/>
      </c>
      <c r="HD99">
        <f ca="1"/>
      </c>
      <c r="HE99">
        <f ca="1"/>
      </c>
      <c r="HF99">
        <f ca="1"/>
      </c>
      <c r="HG99">
        <f ca="1"/>
      </c>
      <c r="HH99">
        <f ca="1"/>
      </c>
      <c r="HI99">
        <f ca="1"/>
      </c>
      <c r="HJ99">
        <f ca="1"/>
      </c>
      <c r="HK99">
        <f ca="1"/>
      </c>
      <c r="HL99">
        <f ca="1"/>
      </c>
      <c r="HM99">
        <f ca="1"/>
      </c>
      <c r="HN99">
        <f ca="1"/>
      </c>
      <c r="HO99">
        <f ca="1"/>
      </c>
      <c r="HP99">
        <f ca="1"/>
      </c>
      <c r="HQ99">
        <f ca="1"/>
      </c>
      <c r="HR99">
        <f ca="1"/>
      </c>
      <c r="HS99">
        <f ca="1"/>
      </c>
      <c r="HT99">
        <f ca="1"/>
      </c>
      <c r="HU99">
        <f ca="1"/>
      </c>
      <c r="HV99">
        <f ca="1"/>
      </c>
      <c r="HW99">
        <f ca="1"/>
      </c>
      <c r="HX99">
        <f ca="1"/>
      </c>
      <c r="HY99">
        <f ca="1"/>
      </c>
      <c r="HZ99">
        <f ca="1"/>
      </c>
      <c r="IA99">
        <f ca="1"/>
      </c>
      <c r="IB99">
        <f ca="1"/>
      </c>
      <c r="IC99">
        <f ca="1"/>
      </c>
      <c r="ID99">
        <f ca="1"/>
      </c>
      <c r="IE99">
        <f ca="1"/>
      </c>
      <c r="IF99">
        <f ca="1"/>
      </c>
      <c r="IG99">
        <f ca="1"/>
      </c>
      <c r="IH99">
        <f ca="1"/>
      </c>
      <c r="II99">
        <f ca="1"/>
      </c>
      <c r="IJ99">
        <f ca="1"/>
      </c>
      <c r="IK99">
        <f ca="1"/>
      </c>
      <c r="IL99">
        <f ca="1"/>
      </c>
      <c r="IM99">
        <f ca="1"/>
      </c>
      <c r="IN99">
        <f ca="1"/>
      </c>
      <c r="IO99">
        <f ca="1"/>
      </c>
      <c r="IP99">
        <f ca="1"/>
      </c>
      <c r="IQ99">
        <f ca="1"/>
      </c>
      <c r="IR99">
        <f ca="1"/>
      </c>
      <c r="IS99">
        <f ca="1"/>
      </c>
      <c r="IT99">
        <f ca="1"/>
      </c>
      <c r="IU99">
        <f ca="1"/>
      </c>
      <c r="IV99">
        <f ca="1"/>
      </c>
      <c r="IW99">
        <f ca="1"/>
      </c>
      <c r="IX99">
        <f ca="1"/>
      </c>
      <c r="IY99">
        <f ca="1"/>
      </c>
      <c r="IZ99">
        <f ca="1"/>
      </c>
      <c r="JA99">
        <f ca="1"/>
      </c>
      <c r="JB99">
        <f ca="1"/>
      </c>
      <c r="LA99">
        <f ca="1"/>
      </c>
      <c r="LB99">
        <f ca="1"/>
      </c>
      <c r="LC99">
        <f ca="1"/>
      </c>
    </row>
    <row r="100" spans="58:315" x14ac:dyDescent="0.55000000000000004">
      <c r="BF100">
        <f ca="1"/>
      </c>
      <c r="BG100">
        <f ca="1"/>
      </c>
      <c r="BI100">
        <f ca="1"/>
      </c>
      <c r="BJ100" s="11">
        <f ca="1"/>
      </c>
      <c r="BK100" s="11">
        <f ca="1"/>
      </c>
      <c r="BL100" s="11">
        <f ca="1"/>
      </c>
      <c r="BM100" s="11">
        <f ca="1"/>
      </c>
      <c r="BN100" s="11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J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F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B100">
        <f ca="1"/>
      </c>
      <c r="GC100">
        <f ca="1"/>
      </c>
      <c r="GD100">
        <f ca="1"/>
      </c>
      <c r="GE100">
        <f ca="1"/>
      </c>
      <c r="GF100">
        <f ca="1"/>
      </c>
      <c r="GG100">
        <f ca="1"/>
      </c>
      <c r="GH100">
        <f ca="1"/>
      </c>
      <c r="GI100">
        <f ca="1"/>
      </c>
      <c r="GJ100">
        <f ca="1"/>
      </c>
      <c r="GK100">
        <f ca="1"/>
      </c>
      <c r="GL100">
        <f ca="1"/>
      </c>
      <c r="GM100">
        <f ca="1"/>
      </c>
      <c r="GN100">
        <f ca="1"/>
      </c>
      <c r="GO100">
        <f ca="1"/>
      </c>
      <c r="GP100">
        <f ca="1"/>
      </c>
      <c r="GQ100">
        <f ca="1"/>
      </c>
      <c r="GR100">
        <f ca="1"/>
      </c>
      <c r="GS100">
        <f ca="1"/>
      </c>
      <c r="GT100">
        <f ca="1"/>
      </c>
      <c r="GU100">
        <f ca="1"/>
      </c>
      <c r="GV100">
        <f ca="1"/>
      </c>
      <c r="GW100">
        <f ca="1"/>
      </c>
      <c r="GX100">
        <f ca="1"/>
      </c>
      <c r="GY100">
        <f ca="1"/>
      </c>
      <c r="GZ100">
        <f ca="1"/>
      </c>
      <c r="HA100">
        <f ca="1"/>
      </c>
      <c r="HB100">
        <f ca="1"/>
      </c>
      <c r="HC100">
        <f ca="1"/>
      </c>
      <c r="HD100">
        <f ca="1"/>
      </c>
      <c r="HE100">
        <f ca="1"/>
      </c>
      <c r="HF100">
        <f ca="1"/>
      </c>
      <c r="HG100">
        <f ca="1"/>
      </c>
      <c r="HH100">
        <f ca="1"/>
      </c>
      <c r="HI100">
        <f ca="1"/>
      </c>
      <c r="HJ100">
        <f ca="1"/>
      </c>
      <c r="HK100">
        <f ca="1"/>
      </c>
      <c r="HL100">
        <f ca="1"/>
      </c>
      <c r="HM100">
        <f ca="1"/>
      </c>
      <c r="HN100">
        <f ca="1"/>
      </c>
      <c r="HO100">
        <f ca="1"/>
      </c>
      <c r="HP100">
        <f ca="1"/>
      </c>
      <c r="HQ100">
        <f ca="1"/>
      </c>
      <c r="HR100">
        <f ca="1"/>
      </c>
      <c r="HS100">
        <f ca="1"/>
      </c>
      <c r="HT100">
        <f ca="1"/>
      </c>
      <c r="HU100">
        <f ca="1"/>
      </c>
      <c r="HV100">
        <f ca="1"/>
      </c>
      <c r="HW100">
        <f ca="1"/>
      </c>
      <c r="HX100">
        <f ca="1"/>
      </c>
      <c r="HY100">
        <f ca="1"/>
      </c>
      <c r="HZ100">
        <f ca="1"/>
      </c>
      <c r="IA100">
        <f ca="1"/>
      </c>
      <c r="IB100">
        <f ca="1"/>
      </c>
      <c r="IC100">
        <f ca="1"/>
      </c>
      <c r="ID100">
        <f ca="1"/>
      </c>
      <c r="IE100">
        <f ca="1"/>
      </c>
      <c r="IF100">
        <f ca="1"/>
      </c>
      <c r="IG100">
        <f ca="1"/>
      </c>
      <c r="IH100">
        <f ca="1"/>
      </c>
      <c r="II100">
        <f ca="1"/>
      </c>
      <c r="IJ100">
        <f ca="1"/>
      </c>
      <c r="IK100">
        <f ca="1"/>
      </c>
      <c r="IL100">
        <f ca="1"/>
      </c>
      <c r="IM100">
        <f ca="1"/>
      </c>
      <c r="IN100">
        <f ca="1"/>
      </c>
      <c r="IO100">
        <f ca="1"/>
      </c>
      <c r="IP100">
        <f ca="1"/>
      </c>
      <c r="IQ100">
        <f ca="1"/>
      </c>
      <c r="IR100">
        <f ca="1"/>
      </c>
      <c r="IS100">
        <f ca="1"/>
      </c>
      <c r="IT100">
        <f ca="1"/>
      </c>
      <c r="IU100">
        <f ca="1"/>
      </c>
      <c r="IV100">
        <f ca="1"/>
      </c>
      <c r="IW100">
        <f ca="1"/>
      </c>
      <c r="IX100">
        <f ca="1"/>
      </c>
      <c r="IY100">
        <f ca="1"/>
      </c>
      <c r="IZ100">
        <f ca="1"/>
      </c>
      <c r="JA100">
        <f ca="1"/>
      </c>
      <c r="JB100">
        <f ca="1"/>
      </c>
      <c r="LA100">
        <f ca="1"/>
      </c>
      <c r="LB100">
        <f ca="1"/>
      </c>
      <c r="LC100">
        <f ca="1"/>
      </c>
    </row>
    <row r="101" spans="58:315" x14ac:dyDescent="0.55000000000000004">
      <c r="BF101">
        <f ca="1"/>
      </c>
      <c r="BG101">
        <f ca="1"/>
      </c>
      <c r="BI101">
        <f ca="1"/>
      </c>
      <c r="BJ101" s="11">
        <f ca="1"/>
      </c>
      <c r="BK101" s="11">
        <f ca="1"/>
      </c>
      <c r="BL101" s="11">
        <f ca="1"/>
      </c>
      <c r="BM101" s="11">
        <f ca="1"/>
      </c>
      <c r="BN101" s="1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J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F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B101">
        <f ca="1"/>
      </c>
      <c r="GC101">
        <f ca="1"/>
      </c>
      <c r="GD101">
        <f ca="1"/>
      </c>
      <c r="GE101">
        <f ca="1"/>
      </c>
      <c r="GF101">
        <f ca="1"/>
      </c>
      <c r="GG101">
        <f ca="1"/>
      </c>
      <c r="GH101">
        <f ca="1"/>
      </c>
      <c r="GI101">
        <f ca="1"/>
      </c>
      <c r="GJ101">
        <f ca="1"/>
      </c>
      <c r="GK101">
        <f ca="1"/>
      </c>
      <c r="GL101">
        <f ca="1"/>
      </c>
      <c r="GM101">
        <f ca="1"/>
      </c>
      <c r="GN101">
        <f ca="1"/>
      </c>
      <c r="GO101">
        <f ca="1"/>
      </c>
      <c r="GP101">
        <f ca="1"/>
      </c>
      <c r="GQ101">
        <f ca="1"/>
      </c>
      <c r="GR101">
        <f ca="1"/>
      </c>
      <c r="GS101">
        <f ca="1"/>
      </c>
      <c r="GT101">
        <f ca="1"/>
      </c>
      <c r="GU101">
        <f ca="1"/>
      </c>
      <c r="GV101">
        <f ca="1"/>
      </c>
      <c r="GW101">
        <f ca="1"/>
      </c>
      <c r="GX101">
        <f ca="1"/>
      </c>
      <c r="GY101">
        <f ca="1"/>
      </c>
      <c r="GZ101">
        <f ca="1"/>
      </c>
      <c r="HA101">
        <f ca="1"/>
      </c>
      <c r="HB101">
        <f ca="1"/>
      </c>
      <c r="HC101">
        <f ca="1"/>
      </c>
      <c r="HD101">
        <f ca="1"/>
      </c>
      <c r="HE101">
        <f ca="1"/>
      </c>
      <c r="HF101">
        <f ca="1"/>
      </c>
      <c r="HG101">
        <f ca="1"/>
      </c>
      <c r="HH101">
        <f ca="1"/>
      </c>
      <c r="HI101">
        <f ca="1"/>
      </c>
      <c r="HJ101">
        <f ca="1"/>
      </c>
      <c r="HK101">
        <f ca="1"/>
      </c>
      <c r="HL101">
        <f ca="1"/>
      </c>
      <c r="HM101">
        <f ca="1"/>
      </c>
      <c r="HN101">
        <f ca="1"/>
      </c>
      <c r="HO101">
        <f ca="1"/>
      </c>
      <c r="HP101">
        <f ca="1"/>
      </c>
      <c r="HQ101">
        <f ca="1"/>
      </c>
      <c r="HR101">
        <f ca="1"/>
      </c>
      <c r="HS101">
        <f ca="1"/>
      </c>
      <c r="HT101">
        <f ca="1"/>
      </c>
      <c r="HU101">
        <f ca="1"/>
      </c>
      <c r="HV101">
        <f ca="1"/>
      </c>
      <c r="HW101">
        <f ca="1"/>
      </c>
      <c r="HX101">
        <f ca="1"/>
      </c>
      <c r="HY101">
        <f ca="1"/>
      </c>
      <c r="HZ101">
        <f ca="1"/>
      </c>
      <c r="IA101">
        <f ca="1"/>
      </c>
      <c r="IB101">
        <f ca="1"/>
      </c>
      <c r="IC101">
        <f ca="1"/>
      </c>
      <c r="ID101">
        <f ca="1"/>
      </c>
      <c r="IE101">
        <f ca="1"/>
      </c>
      <c r="IF101">
        <f ca="1"/>
      </c>
      <c r="IG101">
        <f ca="1"/>
      </c>
      <c r="IH101">
        <f ca="1"/>
      </c>
      <c r="II101">
        <f ca="1"/>
      </c>
      <c r="IJ101">
        <f ca="1"/>
      </c>
      <c r="IK101">
        <f ca="1"/>
      </c>
      <c r="IL101">
        <f ca="1"/>
      </c>
      <c r="IM101">
        <f ca="1"/>
      </c>
      <c r="IN101">
        <f ca="1"/>
      </c>
      <c r="IO101">
        <f ca="1"/>
      </c>
      <c r="IP101">
        <f ca="1"/>
      </c>
      <c r="IQ101">
        <f ca="1"/>
      </c>
      <c r="IR101">
        <f ca="1"/>
      </c>
      <c r="IS101">
        <f ca="1"/>
      </c>
      <c r="IT101">
        <f ca="1"/>
      </c>
      <c r="IU101">
        <f ca="1"/>
      </c>
      <c r="IV101">
        <f ca="1"/>
      </c>
      <c r="IW101">
        <f ca="1"/>
      </c>
      <c r="IX101">
        <f ca="1"/>
      </c>
      <c r="IY101">
        <f ca="1"/>
      </c>
      <c r="IZ101">
        <f ca="1"/>
      </c>
      <c r="JA101">
        <f ca="1"/>
      </c>
      <c r="JB101">
        <f ca="1"/>
      </c>
      <c r="LA101">
        <f ca="1"/>
      </c>
      <c r="LB101">
        <f ca="1"/>
      </c>
      <c r="LC101">
        <f ca="1"/>
      </c>
    </row>
    <row r="102" spans="58:315" x14ac:dyDescent="0.55000000000000004">
      <c r="BF102">
        <f ca="1"/>
      </c>
      <c r="BG102">
        <f ca="1"/>
      </c>
      <c r="BI102">
        <f ca="1"/>
      </c>
      <c r="BJ102" s="11">
        <f ca="1"/>
      </c>
      <c r="BK102" s="11">
        <f ca="1"/>
      </c>
      <c r="BL102" s="11">
        <f ca="1"/>
      </c>
      <c r="BM102" s="11">
        <f ca="1"/>
      </c>
      <c r="BN102" s="11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J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F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B102">
        <f ca="1"/>
      </c>
      <c r="GC102">
        <f ca="1"/>
      </c>
      <c r="GD102">
        <f ca="1"/>
      </c>
      <c r="GE102">
        <f ca="1"/>
      </c>
      <c r="GF102">
        <f ca="1"/>
      </c>
      <c r="GG102">
        <f ca="1"/>
      </c>
      <c r="GH102">
        <f ca="1"/>
      </c>
      <c r="GI102">
        <f ca="1"/>
      </c>
      <c r="GJ102">
        <f ca="1"/>
      </c>
      <c r="GK102">
        <f ca="1"/>
      </c>
      <c r="GL102">
        <f ca="1"/>
      </c>
      <c r="GM102">
        <f ca="1"/>
      </c>
      <c r="GN102">
        <f ca="1"/>
      </c>
      <c r="GO102">
        <f ca="1"/>
      </c>
      <c r="GP102">
        <f ca="1"/>
      </c>
      <c r="GQ102">
        <f ca="1"/>
      </c>
      <c r="GR102">
        <f ca="1"/>
      </c>
      <c r="GS102">
        <f ca="1"/>
      </c>
      <c r="GT102">
        <f ca="1"/>
      </c>
      <c r="GU102">
        <f ca="1"/>
      </c>
      <c r="GV102">
        <f ca="1"/>
      </c>
      <c r="GW102">
        <f ca="1"/>
      </c>
      <c r="GX102">
        <f ca="1"/>
      </c>
      <c r="GY102">
        <f ca="1"/>
      </c>
      <c r="GZ102">
        <f ca="1"/>
      </c>
      <c r="HA102">
        <f ca="1"/>
      </c>
      <c r="HB102">
        <f ca="1"/>
      </c>
      <c r="HC102">
        <f ca="1"/>
      </c>
      <c r="HD102">
        <f ca="1"/>
      </c>
      <c r="HE102">
        <f ca="1"/>
      </c>
      <c r="HF102">
        <f ca="1"/>
      </c>
      <c r="HG102">
        <f ca="1"/>
      </c>
      <c r="HH102">
        <f ca="1"/>
      </c>
      <c r="HI102">
        <f ca="1"/>
      </c>
      <c r="HJ102">
        <f ca="1"/>
      </c>
      <c r="HK102">
        <f ca="1"/>
      </c>
      <c r="HL102">
        <f ca="1"/>
      </c>
      <c r="HM102">
        <f ca="1"/>
      </c>
      <c r="HN102">
        <f ca="1"/>
      </c>
      <c r="HO102">
        <f ca="1"/>
      </c>
      <c r="HP102">
        <f ca="1"/>
      </c>
      <c r="HQ102">
        <f ca="1"/>
      </c>
      <c r="HR102">
        <f ca="1"/>
      </c>
      <c r="HS102">
        <f ca="1"/>
      </c>
      <c r="HT102">
        <f ca="1"/>
      </c>
      <c r="HU102">
        <f ca="1"/>
      </c>
      <c r="HV102">
        <f ca="1"/>
      </c>
      <c r="HW102">
        <f ca="1"/>
      </c>
      <c r="HX102">
        <f ca="1"/>
      </c>
      <c r="HY102">
        <f ca="1"/>
      </c>
      <c r="HZ102">
        <f ca="1"/>
      </c>
      <c r="IA102">
        <f ca="1"/>
      </c>
      <c r="IB102">
        <f ca="1"/>
      </c>
      <c r="IC102">
        <f ca="1"/>
      </c>
      <c r="ID102">
        <f ca="1"/>
      </c>
      <c r="IE102">
        <f ca="1"/>
      </c>
      <c r="IF102">
        <f ca="1"/>
      </c>
      <c r="IG102">
        <f ca="1"/>
      </c>
      <c r="IH102">
        <f ca="1"/>
      </c>
      <c r="II102">
        <f ca="1"/>
      </c>
      <c r="IJ102">
        <f ca="1"/>
      </c>
      <c r="IK102">
        <f ca="1"/>
      </c>
      <c r="IL102">
        <f ca="1"/>
      </c>
      <c r="IM102">
        <f ca="1"/>
      </c>
      <c r="IN102">
        <f ca="1"/>
      </c>
      <c r="IO102">
        <f ca="1"/>
      </c>
      <c r="IP102">
        <f ca="1"/>
      </c>
      <c r="IQ102">
        <f ca="1"/>
      </c>
      <c r="IR102">
        <f ca="1"/>
      </c>
      <c r="IS102">
        <f ca="1"/>
      </c>
      <c r="IT102">
        <f ca="1"/>
      </c>
      <c r="IU102">
        <f ca="1"/>
      </c>
      <c r="IV102">
        <f ca="1"/>
      </c>
      <c r="IW102">
        <f ca="1"/>
      </c>
      <c r="IX102">
        <f ca="1"/>
      </c>
      <c r="IY102">
        <f ca="1"/>
      </c>
      <c r="IZ102">
        <f ca="1"/>
      </c>
      <c r="JA102">
        <f ca="1"/>
      </c>
      <c r="JB102">
        <f ca="1"/>
      </c>
      <c r="LA102">
        <f ca="1"/>
      </c>
      <c r="LB102">
        <f ca="1"/>
      </c>
      <c r="LC102">
        <f ca="1"/>
      </c>
    </row>
    <row r="103" spans="58:315" x14ac:dyDescent="0.55000000000000004">
      <c r="BF103">
        <f ca="1"/>
      </c>
      <c r="BG103">
        <f ca="1"/>
      </c>
      <c r="BI103">
        <f ca="1"/>
      </c>
      <c r="BJ103" s="11">
        <f ca="1"/>
      </c>
      <c r="BK103" s="11">
        <f ca="1"/>
      </c>
      <c r="BL103" s="11">
        <f ca="1"/>
      </c>
      <c r="BM103" s="11">
        <f ca="1"/>
      </c>
      <c r="BN103" s="11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J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F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B103">
        <f ca="1"/>
      </c>
      <c r="GC103">
        <f ca="1"/>
      </c>
      <c r="GD103">
        <f ca="1"/>
      </c>
      <c r="GE103">
        <f ca="1"/>
      </c>
      <c r="GF103">
        <f ca="1"/>
      </c>
      <c r="GG103">
        <f ca="1"/>
      </c>
      <c r="GH103">
        <f ca="1"/>
      </c>
      <c r="GI103">
        <f ca="1"/>
      </c>
      <c r="GJ103">
        <f ca="1"/>
      </c>
      <c r="GK103">
        <f ca="1"/>
      </c>
      <c r="GL103">
        <f ca="1"/>
      </c>
      <c r="GM103">
        <f ca="1"/>
      </c>
      <c r="GN103">
        <f ca="1"/>
      </c>
      <c r="GO103">
        <f ca="1"/>
      </c>
      <c r="GP103">
        <f ca="1"/>
      </c>
      <c r="GQ103">
        <f ca="1"/>
      </c>
      <c r="GR103">
        <f ca="1"/>
      </c>
      <c r="GS103">
        <f ca="1"/>
      </c>
      <c r="GT103">
        <f ca="1"/>
      </c>
      <c r="GU103">
        <f ca="1"/>
      </c>
      <c r="GV103">
        <f ca="1"/>
      </c>
      <c r="GW103">
        <f ca="1"/>
      </c>
      <c r="GX103">
        <f ca="1"/>
      </c>
      <c r="GY103">
        <f ca="1"/>
      </c>
      <c r="GZ103">
        <f ca="1"/>
      </c>
      <c r="HA103">
        <f ca="1"/>
      </c>
      <c r="HB103">
        <f ca="1"/>
      </c>
      <c r="HC103">
        <f ca="1"/>
      </c>
      <c r="HD103">
        <f ca="1"/>
      </c>
      <c r="HE103">
        <f ca="1"/>
      </c>
      <c r="HF103">
        <f ca="1"/>
      </c>
      <c r="HG103">
        <f ca="1"/>
      </c>
      <c r="HH103">
        <f ca="1"/>
      </c>
      <c r="HI103">
        <f ca="1"/>
      </c>
      <c r="HJ103">
        <f ca="1"/>
      </c>
      <c r="HK103">
        <f ca="1"/>
      </c>
      <c r="HL103">
        <f ca="1"/>
      </c>
      <c r="HM103">
        <f ca="1"/>
      </c>
      <c r="HN103">
        <f ca="1"/>
      </c>
      <c r="HO103">
        <f ca="1"/>
      </c>
      <c r="HP103">
        <f ca="1"/>
      </c>
      <c r="HQ103">
        <f ca="1"/>
      </c>
      <c r="HR103">
        <f ca="1"/>
      </c>
      <c r="HS103">
        <f ca="1"/>
      </c>
      <c r="HT103">
        <f ca="1"/>
      </c>
      <c r="HU103">
        <f ca="1"/>
      </c>
      <c r="HV103">
        <f ca="1"/>
      </c>
      <c r="HW103">
        <f ca="1"/>
      </c>
      <c r="HX103">
        <f ca="1"/>
      </c>
      <c r="HY103">
        <f ca="1"/>
      </c>
      <c r="HZ103">
        <f ca="1"/>
      </c>
      <c r="IA103">
        <f ca="1"/>
      </c>
      <c r="IB103">
        <f ca="1"/>
      </c>
      <c r="IC103">
        <f ca="1"/>
      </c>
      <c r="ID103">
        <f ca="1"/>
      </c>
      <c r="IE103">
        <f ca="1"/>
      </c>
      <c r="IF103">
        <f ca="1"/>
      </c>
      <c r="IG103">
        <f ca="1"/>
      </c>
      <c r="IH103">
        <f ca="1"/>
      </c>
      <c r="II103">
        <f ca="1"/>
      </c>
      <c r="IJ103">
        <f ca="1"/>
      </c>
      <c r="IK103">
        <f ca="1"/>
      </c>
      <c r="IL103">
        <f ca="1"/>
      </c>
      <c r="IM103">
        <f ca="1"/>
      </c>
      <c r="IN103">
        <f ca="1"/>
      </c>
      <c r="IO103">
        <f ca="1"/>
      </c>
      <c r="IP103">
        <f ca="1"/>
      </c>
      <c r="IQ103">
        <f ca="1"/>
      </c>
      <c r="IR103">
        <f ca="1"/>
      </c>
      <c r="IS103">
        <f ca="1"/>
      </c>
      <c r="IT103">
        <f ca="1"/>
      </c>
      <c r="IU103">
        <f ca="1"/>
      </c>
      <c r="IV103">
        <f ca="1"/>
      </c>
      <c r="IW103">
        <f ca="1"/>
      </c>
      <c r="IX103">
        <f ca="1"/>
      </c>
      <c r="IY103">
        <f ca="1"/>
      </c>
      <c r="IZ103">
        <f ca="1"/>
      </c>
      <c r="JA103">
        <f ca="1"/>
      </c>
      <c r="JB103">
        <f ca="1"/>
      </c>
      <c r="LA103">
        <f ca="1"/>
      </c>
      <c r="LB103">
        <f ca="1"/>
      </c>
      <c r="LC103">
        <f ca="1"/>
      </c>
    </row>
    <row r="104" spans="58:315" x14ac:dyDescent="0.55000000000000004">
      <c r="BF104">
        <f ca="1"/>
      </c>
      <c r="BG104">
        <f ca="1"/>
      </c>
      <c r="BI104">
        <f ca="1"/>
      </c>
      <c r="BJ104" s="11">
        <f ca="1"/>
      </c>
      <c r="BK104" s="11">
        <f ca="1"/>
      </c>
      <c r="BL104" s="11">
        <f ca="1"/>
      </c>
      <c r="BM104" s="11">
        <f ca="1"/>
      </c>
      <c r="BN104" s="11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J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F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B104">
        <f ca="1"/>
      </c>
      <c r="GC104">
        <f ca="1"/>
      </c>
      <c r="GD104">
        <f ca="1"/>
      </c>
      <c r="GE104">
        <f ca="1"/>
      </c>
      <c r="GF104">
        <f ca="1"/>
      </c>
      <c r="GG104">
        <f ca="1"/>
      </c>
      <c r="GH104">
        <f ca="1"/>
      </c>
      <c r="GI104">
        <f ca="1"/>
      </c>
      <c r="GJ104">
        <f ca="1"/>
      </c>
      <c r="GK104">
        <f ca="1"/>
      </c>
      <c r="GL104">
        <f ca="1"/>
      </c>
      <c r="GM104">
        <f ca="1"/>
      </c>
      <c r="GN104">
        <f ca="1"/>
      </c>
      <c r="GO104">
        <f ca="1"/>
      </c>
      <c r="GP104">
        <f ca="1"/>
      </c>
      <c r="GQ104">
        <f ca="1"/>
      </c>
      <c r="GR104">
        <f ca="1"/>
      </c>
      <c r="GS104">
        <f ca="1"/>
      </c>
      <c r="GT104">
        <f ca="1"/>
      </c>
      <c r="GU104">
        <f ca="1"/>
      </c>
      <c r="GV104">
        <f ca="1"/>
      </c>
      <c r="GW104">
        <f ca="1"/>
      </c>
      <c r="GX104">
        <f ca="1"/>
      </c>
      <c r="GY104">
        <f ca="1"/>
      </c>
      <c r="GZ104">
        <f ca="1"/>
      </c>
      <c r="HA104">
        <f ca="1"/>
      </c>
      <c r="HB104">
        <f ca="1"/>
      </c>
      <c r="HC104">
        <f ca="1"/>
      </c>
      <c r="HD104">
        <f ca="1"/>
      </c>
      <c r="HE104">
        <f ca="1"/>
      </c>
      <c r="HF104">
        <f ca="1"/>
      </c>
      <c r="HG104">
        <f ca="1"/>
      </c>
      <c r="HH104">
        <f ca="1"/>
      </c>
      <c r="HI104">
        <f ca="1"/>
      </c>
      <c r="HJ104">
        <f ca="1"/>
      </c>
      <c r="HK104">
        <f ca="1"/>
      </c>
      <c r="HL104">
        <f ca="1"/>
      </c>
      <c r="HM104">
        <f ca="1"/>
      </c>
      <c r="HN104">
        <f ca="1"/>
      </c>
      <c r="HO104">
        <f ca="1"/>
      </c>
      <c r="HP104">
        <f ca="1"/>
      </c>
      <c r="HQ104">
        <f ca="1"/>
      </c>
      <c r="HR104">
        <f ca="1"/>
      </c>
      <c r="HS104">
        <f ca="1"/>
      </c>
      <c r="HT104">
        <f ca="1"/>
      </c>
      <c r="HU104">
        <f ca="1"/>
      </c>
      <c r="HV104">
        <f ca="1"/>
      </c>
      <c r="HW104">
        <f ca="1"/>
      </c>
      <c r="HX104">
        <f ca="1"/>
      </c>
      <c r="HY104">
        <f ca="1"/>
      </c>
      <c r="HZ104">
        <f ca="1"/>
      </c>
      <c r="IA104">
        <f ca="1"/>
      </c>
      <c r="IB104">
        <f ca="1"/>
      </c>
      <c r="IC104">
        <f ca="1"/>
      </c>
      <c r="ID104">
        <f ca="1"/>
      </c>
      <c r="IE104">
        <f ca="1"/>
      </c>
      <c r="IF104">
        <f ca="1"/>
      </c>
      <c r="IG104">
        <f ca="1"/>
      </c>
      <c r="IH104">
        <f ca="1"/>
      </c>
      <c r="II104">
        <f ca="1"/>
      </c>
      <c r="IJ104">
        <f ca="1"/>
      </c>
      <c r="IK104">
        <f ca="1"/>
      </c>
      <c r="IL104">
        <f ca="1"/>
      </c>
      <c r="IM104">
        <f ca="1"/>
      </c>
      <c r="IN104">
        <f ca="1"/>
      </c>
      <c r="IO104">
        <f ca="1"/>
      </c>
      <c r="IP104">
        <f ca="1"/>
      </c>
      <c r="IQ104">
        <f ca="1"/>
      </c>
      <c r="IR104">
        <f ca="1"/>
      </c>
      <c r="IS104">
        <f ca="1"/>
      </c>
      <c r="IT104">
        <f ca="1"/>
      </c>
      <c r="IU104">
        <f ca="1"/>
      </c>
      <c r="IV104">
        <f ca="1"/>
      </c>
      <c r="IW104">
        <f ca="1"/>
      </c>
      <c r="IX104">
        <f ca="1"/>
      </c>
      <c r="IY104">
        <f ca="1"/>
      </c>
      <c r="IZ104">
        <f ca="1"/>
      </c>
      <c r="JA104">
        <f ca="1"/>
      </c>
      <c r="JB104">
        <f ca="1"/>
      </c>
      <c r="LA104">
        <f ca="1"/>
      </c>
      <c r="LB104">
        <f ca="1"/>
      </c>
      <c r="LC104">
        <f ca="1"/>
      </c>
    </row>
    <row r="105" spans="58:315" x14ac:dyDescent="0.55000000000000004">
      <c r="BF105">
        <f ca="1"/>
      </c>
      <c r="BG105">
        <f ca="1"/>
      </c>
      <c r="BI105">
        <f ca="1"/>
      </c>
      <c r="BJ105" s="11">
        <f ca="1"/>
      </c>
      <c r="BK105" s="11">
        <f ca="1"/>
      </c>
      <c r="BL105" s="11">
        <f ca="1"/>
      </c>
      <c r="BM105" s="11">
        <f ca="1"/>
      </c>
      <c r="BN105" s="11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J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F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B105">
        <f ca="1"/>
      </c>
      <c r="GC105">
        <f ca="1"/>
      </c>
      <c r="GD105">
        <f ca="1"/>
      </c>
      <c r="GE105">
        <f ca="1"/>
      </c>
      <c r="GF105">
        <f ca="1"/>
      </c>
      <c r="GG105">
        <f ca="1"/>
      </c>
      <c r="GH105">
        <f ca="1"/>
      </c>
      <c r="GI105">
        <f ca="1"/>
      </c>
      <c r="GJ105">
        <f ca="1"/>
      </c>
      <c r="GK105">
        <f ca="1"/>
      </c>
      <c r="GL105">
        <f ca="1"/>
      </c>
      <c r="GM105">
        <f ca="1"/>
      </c>
      <c r="GN105">
        <f ca="1"/>
      </c>
      <c r="GO105">
        <f ca="1"/>
      </c>
      <c r="GP105">
        <f ca="1"/>
      </c>
      <c r="GQ105">
        <f ca="1"/>
      </c>
      <c r="GR105">
        <f ca="1"/>
      </c>
      <c r="GS105">
        <f ca="1"/>
      </c>
      <c r="GT105">
        <f ca="1"/>
      </c>
      <c r="GU105">
        <f ca="1"/>
      </c>
      <c r="GV105">
        <f ca="1"/>
      </c>
      <c r="GW105">
        <f ca="1"/>
      </c>
      <c r="GX105">
        <f ca="1"/>
      </c>
      <c r="GY105">
        <f ca="1"/>
      </c>
      <c r="GZ105">
        <f ca="1"/>
      </c>
      <c r="HA105">
        <f ca="1"/>
      </c>
      <c r="HB105">
        <f ca="1"/>
      </c>
      <c r="HC105">
        <f ca="1"/>
      </c>
      <c r="HD105">
        <f ca="1"/>
      </c>
      <c r="HE105">
        <f ca="1"/>
      </c>
      <c r="HF105">
        <f ca="1"/>
      </c>
      <c r="HG105">
        <f ca="1"/>
      </c>
      <c r="HH105">
        <f ca="1"/>
      </c>
      <c r="HI105">
        <f ca="1"/>
      </c>
      <c r="HJ105">
        <f ca="1"/>
      </c>
      <c r="HK105">
        <f ca="1"/>
      </c>
      <c r="HL105">
        <f ca="1"/>
      </c>
      <c r="HM105">
        <f ca="1"/>
      </c>
      <c r="HN105">
        <f ca="1"/>
      </c>
      <c r="HO105">
        <f ca="1"/>
      </c>
      <c r="HP105">
        <f ca="1"/>
      </c>
      <c r="HQ105">
        <f ca="1"/>
      </c>
      <c r="HR105">
        <f ca="1"/>
      </c>
      <c r="HS105">
        <f ca="1"/>
      </c>
      <c r="HT105">
        <f ca="1"/>
      </c>
      <c r="HU105">
        <f ca="1"/>
      </c>
      <c r="HV105">
        <f ca="1"/>
      </c>
      <c r="HW105">
        <f ca="1"/>
      </c>
      <c r="HX105">
        <f ca="1"/>
      </c>
      <c r="HY105">
        <f ca="1"/>
      </c>
      <c r="HZ105">
        <f ca="1"/>
      </c>
      <c r="IA105">
        <f ca="1"/>
      </c>
      <c r="IB105">
        <f ca="1"/>
      </c>
      <c r="IC105">
        <f ca="1"/>
      </c>
      <c r="ID105">
        <f ca="1"/>
      </c>
      <c r="IE105">
        <f ca="1"/>
      </c>
      <c r="IF105">
        <f ca="1"/>
      </c>
      <c r="IG105">
        <f ca="1"/>
      </c>
      <c r="IH105">
        <f ca="1"/>
      </c>
      <c r="II105">
        <f ca="1"/>
      </c>
      <c r="IJ105">
        <f ca="1"/>
      </c>
      <c r="IK105">
        <f ca="1"/>
      </c>
      <c r="IL105">
        <f ca="1"/>
      </c>
      <c r="IM105">
        <f ca="1"/>
      </c>
      <c r="IN105">
        <f ca="1"/>
      </c>
      <c r="IO105">
        <f ca="1"/>
      </c>
      <c r="IP105">
        <f ca="1"/>
      </c>
      <c r="IQ105">
        <f ca="1"/>
      </c>
      <c r="IR105">
        <f ca="1"/>
      </c>
      <c r="IS105">
        <f ca="1"/>
      </c>
      <c r="IT105">
        <f ca="1"/>
      </c>
      <c r="IU105">
        <f ca="1"/>
      </c>
      <c r="IV105">
        <f ca="1"/>
      </c>
      <c r="IW105">
        <f ca="1"/>
      </c>
      <c r="IX105">
        <f ca="1"/>
      </c>
      <c r="IY105">
        <f ca="1"/>
      </c>
      <c r="IZ105">
        <f ca="1"/>
      </c>
      <c r="JA105">
        <f ca="1"/>
      </c>
      <c r="JB105">
        <f ca="1"/>
      </c>
      <c r="LA105">
        <f ca="1"/>
      </c>
      <c r="LB105">
        <f ca="1"/>
      </c>
      <c r="LC105">
        <f ca="1"/>
      </c>
    </row>
    <row r="106" spans="58:315" x14ac:dyDescent="0.55000000000000004">
      <c r="BF106">
        <f ca="1"/>
      </c>
      <c r="BG106">
        <f ca="1"/>
      </c>
      <c r="BI106">
        <f ca="1"/>
      </c>
      <c r="BJ106" s="11">
        <f ca="1"/>
      </c>
      <c r="BK106" s="11">
        <f ca="1"/>
      </c>
      <c r="BL106" s="11">
        <f ca="1"/>
      </c>
      <c r="BM106" s="11">
        <f ca="1"/>
      </c>
      <c r="BN106" s="11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J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F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B106">
        <f ca="1"/>
      </c>
      <c r="GC106">
        <f ca="1"/>
      </c>
      <c r="GD106">
        <f ca="1"/>
      </c>
      <c r="GE106">
        <f ca="1"/>
      </c>
      <c r="GF106">
        <f ca="1"/>
      </c>
      <c r="GG106">
        <f ca="1"/>
      </c>
      <c r="GH106">
        <f ca="1"/>
      </c>
      <c r="GI106">
        <f ca="1"/>
      </c>
      <c r="GJ106">
        <f ca="1"/>
      </c>
      <c r="GK106">
        <f ca="1"/>
      </c>
      <c r="GL106">
        <f ca="1"/>
      </c>
      <c r="GM106">
        <f ca="1"/>
      </c>
      <c r="GN106">
        <f ca="1"/>
      </c>
      <c r="GO106">
        <f ca="1"/>
      </c>
      <c r="GP106">
        <f ca="1"/>
      </c>
      <c r="GQ106">
        <f ca="1"/>
      </c>
      <c r="GR106">
        <f ca="1"/>
      </c>
      <c r="GS106">
        <f ca="1"/>
      </c>
      <c r="GT106">
        <f ca="1"/>
      </c>
      <c r="GU106">
        <f ca="1"/>
      </c>
      <c r="GV106">
        <f ca="1"/>
      </c>
      <c r="GW106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C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R106">
        <f ca="1"/>
      </c>
      <c r="HS106">
        <f ca="1"/>
      </c>
      <c r="HT106">
        <f ca="1"/>
      </c>
      <c r="HU106">
        <f ca="1"/>
      </c>
      <c r="HV106">
        <f ca="1"/>
      </c>
      <c r="HW106">
        <f ca="1"/>
      </c>
      <c r="HX106">
        <f ca="1"/>
      </c>
      <c r="HY106">
        <f ca="1"/>
      </c>
      <c r="HZ106">
        <f ca="1"/>
      </c>
      <c r="IA106">
        <f ca="1"/>
      </c>
      <c r="IB106">
        <f ca="1"/>
      </c>
      <c r="IC106">
        <f ca="1"/>
      </c>
      <c r="ID106">
        <f ca="1"/>
      </c>
      <c r="IE106">
        <f ca="1"/>
      </c>
      <c r="IF106">
        <f ca="1"/>
      </c>
      <c r="IG106">
        <f ca="1"/>
      </c>
      <c r="IH106">
        <f ca="1"/>
      </c>
      <c r="II106">
        <f ca="1"/>
      </c>
      <c r="IJ106">
        <f ca="1"/>
      </c>
      <c r="IK106">
        <f ca="1"/>
      </c>
      <c r="IL106">
        <f ca="1"/>
      </c>
      <c r="IM106">
        <f ca="1"/>
      </c>
      <c r="IN106">
        <f ca="1"/>
      </c>
      <c r="IO106">
        <f ca="1"/>
      </c>
      <c r="IP106">
        <f ca="1"/>
      </c>
      <c r="IQ106">
        <f ca="1"/>
      </c>
      <c r="IR106">
        <f ca="1"/>
      </c>
      <c r="IS106">
        <f ca="1"/>
      </c>
      <c r="IT106">
        <f ca="1"/>
      </c>
      <c r="IU106">
        <f ca="1"/>
      </c>
      <c r="IV106">
        <f ca="1"/>
      </c>
      <c r="IW106">
        <f ca="1"/>
      </c>
      <c r="IX106">
        <f ca="1"/>
      </c>
      <c r="IY106">
        <f ca="1"/>
      </c>
      <c r="IZ106">
        <f ca="1"/>
      </c>
      <c r="JA106">
        <f ca="1"/>
      </c>
      <c r="JB106">
        <f ca="1"/>
      </c>
      <c r="LA106">
        <f ca="1"/>
      </c>
      <c r="LB106">
        <f ca="1"/>
      </c>
      <c r="LC106">
        <f ca="1"/>
      </c>
    </row>
    <row r="107" spans="58:315" x14ac:dyDescent="0.55000000000000004">
      <c r="BF107">
        <f ca="1"/>
      </c>
      <c r="BG107">
        <f ca="1"/>
      </c>
      <c r="BI107">
        <f ca="1"/>
      </c>
      <c r="BJ107" s="11">
        <f ca="1"/>
      </c>
      <c r="BK107" s="11">
        <f ca="1"/>
      </c>
      <c r="BL107" s="11">
        <f ca="1"/>
      </c>
      <c r="BM107" s="11">
        <f ca="1"/>
      </c>
      <c r="BN107" s="11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J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F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B107">
        <f ca="1"/>
      </c>
      <c r="GC107">
        <f ca="1"/>
      </c>
      <c r="GD107">
        <f ca="1"/>
      </c>
      <c r="GE107">
        <f ca="1"/>
      </c>
      <c r="GF107">
        <f ca="1"/>
      </c>
      <c r="GG107">
        <f ca="1"/>
      </c>
      <c r="GH107">
        <f ca="1"/>
      </c>
      <c r="GI107">
        <f ca="1"/>
      </c>
      <c r="GJ107">
        <f ca="1"/>
      </c>
      <c r="GK107">
        <f ca="1"/>
      </c>
      <c r="GL107">
        <f ca="1"/>
      </c>
      <c r="GM107">
        <f ca="1"/>
      </c>
      <c r="GN107">
        <f ca="1"/>
      </c>
      <c r="GO107">
        <f ca="1"/>
      </c>
      <c r="GP107">
        <f ca="1"/>
      </c>
      <c r="GQ107">
        <f ca="1"/>
      </c>
      <c r="GR107">
        <f ca="1"/>
      </c>
      <c r="GS107">
        <f ca="1"/>
      </c>
      <c r="GT107">
        <f ca="1"/>
      </c>
      <c r="GU107">
        <f ca="1"/>
      </c>
      <c r="GV107">
        <f ca="1"/>
      </c>
      <c r="GW107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C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R107">
        <f ca="1"/>
      </c>
      <c r="HS107">
        <f ca="1"/>
      </c>
      <c r="HT107">
        <f ca="1"/>
      </c>
      <c r="HU107">
        <f ca="1"/>
      </c>
      <c r="HV107">
        <f ca="1"/>
      </c>
      <c r="HW107">
        <f ca="1"/>
      </c>
      <c r="HX107">
        <f ca="1"/>
      </c>
      <c r="HY107">
        <f ca="1"/>
      </c>
      <c r="HZ107">
        <f ca="1"/>
      </c>
      <c r="IA107">
        <f ca="1"/>
      </c>
      <c r="IB107">
        <f ca="1"/>
      </c>
      <c r="IC107">
        <f ca="1"/>
      </c>
      <c r="ID107">
        <f ca="1"/>
      </c>
      <c r="IE107">
        <f ca="1"/>
      </c>
      <c r="IF107">
        <f ca="1"/>
      </c>
      <c r="IG107">
        <f ca="1"/>
      </c>
      <c r="IH107">
        <f ca="1"/>
      </c>
      <c r="II107">
        <f ca="1"/>
      </c>
      <c r="IJ107">
        <f ca="1"/>
      </c>
      <c r="IK107">
        <f ca="1"/>
      </c>
      <c r="IL107">
        <f ca="1"/>
      </c>
      <c r="IM107">
        <f ca="1"/>
      </c>
      <c r="IN107">
        <f ca="1"/>
      </c>
      <c r="IO107">
        <f ca="1"/>
      </c>
      <c r="IP107">
        <f ca="1"/>
      </c>
      <c r="IQ107">
        <f ca="1"/>
      </c>
      <c r="IR107">
        <f ca="1"/>
      </c>
      <c r="IS107">
        <f ca="1"/>
      </c>
      <c r="IT107">
        <f ca="1"/>
      </c>
      <c r="IU107">
        <f ca="1"/>
      </c>
      <c r="IV107">
        <f ca="1"/>
      </c>
      <c r="IW107">
        <f ca="1"/>
      </c>
      <c r="IX107">
        <f ca="1"/>
      </c>
      <c r="IY107">
        <f ca="1"/>
      </c>
      <c r="IZ107">
        <f ca="1"/>
      </c>
      <c r="JA107">
        <f ca="1"/>
      </c>
      <c r="JB107">
        <f ca="1"/>
      </c>
      <c r="LA107">
        <f ca="1"/>
      </c>
      <c r="LB107">
        <f ca="1"/>
      </c>
      <c r="LC107">
        <f ca="1"/>
      </c>
    </row>
    <row r="108" spans="58:315" x14ac:dyDescent="0.55000000000000004">
      <c r="BF108">
        <f ca="1"/>
      </c>
      <c r="BG108">
        <f ca="1"/>
      </c>
      <c r="BI108">
        <f ca="1"/>
      </c>
      <c r="BJ108" s="11">
        <f ca="1"/>
      </c>
      <c r="BK108" s="11">
        <f ca="1"/>
      </c>
      <c r="BL108" s="11">
        <f ca="1"/>
      </c>
      <c r="BM108" s="11">
        <f ca="1"/>
      </c>
      <c r="BN108" s="11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J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F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B108">
        <f ca="1"/>
      </c>
      <c r="GC108">
        <f ca="1"/>
      </c>
      <c r="GD108">
        <f ca="1"/>
      </c>
      <c r="GE108">
        <f ca="1"/>
      </c>
      <c r="GF108">
        <f ca="1"/>
      </c>
      <c r="GG108">
        <f ca="1"/>
      </c>
      <c r="GH108">
        <f ca="1"/>
      </c>
      <c r="GI108">
        <f ca="1"/>
      </c>
      <c r="GJ108">
        <f ca="1"/>
      </c>
      <c r="GK108">
        <f ca="1"/>
      </c>
      <c r="GL108">
        <f ca="1"/>
      </c>
      <c r="GM108">
        <f ca="1"/>
      </c>
      <c r="GN108">
        <f ca="1"/>
      </c>
      <c r="GO108">
        <f ca="1"/>
      </c>
      <c r="GP108">
        <f ca="1"/>
      </c>
      <c r="GQ108">
        <f ca="1"/>
      </c>
      <c r="GR108">
        <f ca="1"/>
      </c>
      <c r="GS108">
        <f ca="1"/>
      </c>
      <c r="GT108">
        <f ca="1"/>
      </c>
      <c r="GU108">
        <f ca="1"/>
      </c>
      <c r="GV108">
        <f ca="1"/>
      </c>
      <c r="GW108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C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R108">
        <f ca="1"/>
      </c>
      <c r="HS108">
        <f ca="1"/>
      </c>
      <c r="HT108">
        <f ca="1"/>
      </c>
      <c r="HU108">
        <f ca="1"/>
      </c>
      <c r="HV108">
        <f ca="1"/>
      </c>
      <c r="HW108">
        <f ca="1"/>
      </c>
      <c r="HX108">
        <f ca="1"/>
      </c>
      <c r="HY108">
        <f ca="1"/>
      </c>
      <c r="HZ108">
        <f ca="1"/>
      </c>
      <c r="IA108">
        <f ca="1"/>
      </c>
      <c r="IB108">
        <f ca="1"/>
      </c>
      <c r="IC108">
        <f ca="1"/>
      </c>
      <c r="ID108">
        <f ca="1"/>
      </c>
      <c r="IE108">
        <f ca="1"/>
      </c>
      <c r="IF108">
        <f ca="1"/>
      </c>
      <c r="IG108">
        <f ca="1"/>
      </c>
      <c r="IH108">
        <f ca="1"/>
      </c>
      <c r="II108">
        <f ca="1"/>
      </c>
      <c r="IJ108">
        <f ca="1"/>
      </c>
      <c r="IK108">
        <f ca="1"/>
      </c>
      <c r="IL108">
        <f ca="1"/>
      </c>
      <c r="IM108">
        <f ca="1"/>
      </c>
      <c r="IN108">
        <f ca="1"/>
      </c>
      <c r="IO108">
        <f ca="1"/>
      </c>
      <c r="IP108">
        <f ca="1"/>
      </c>
      <c r="IQ108">
        <f ca="1"/>
      </c>
      <c r="IR108">
        <f ca="1"/>
      </c>
      <c r="IS108">
        <f ca="1"/>
      </c>
      <c r="IT108">
        <f ca="1"/>
      </c>
      <c r="IU108">
        <f ca="1"/>
      </c>
      <c r="IV108">
        <f ca="1"/>
      </c>
      <c r="IW108">
        <f ca="1"/>
      </c>
      <c r="IX108">
        <f ca="1"/>
      </c>
      <c r="IY108">
        <f ca="1"/>
      </c>
      <c r="IZ108">
        <f ca="1"/>
      </c>
      <c r="JA108">
        <f ca="1"/>
      </c>
      <c r="JB108">
        <f ca="1"/>
      </c>
      <c r="LA108">
        <f ca="1"/>
      </c>
      <c r="LB108">
        <f ca="1"/>
      </c>
      <c r="LC108">
        <f ca="1"/>
      </c>
    </row>
    <row r="109" spans="58:315" x14ac:dyDescent="0.55000000000000004">
      <c r="BF109">
        <f ca="1"/>
      </c>
      <c r="BG109">
        <f ca="1"/>
      </c>
      <c r="BI109">
        <f ca="1"/>
      </c>
      <c r="BJ109" s="11">
        <f ca="1"/>
      </c>
      <c r="BK109" s="11">
        <f ca="1"/>
      </c>
      <c r="BL109" s="11">
        <f ca="1"/>
      </c>
      <c r="BM109" s="11">
        <f ca="1"/>
      </c>
      <c r="BN109" s="11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J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F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B109">
        <f ca="1"/>
      </c>
      <c r="GC109">
        <f ca="1"/>
      </c>
      <c r="GD109">
        <f ca="1"/>
      </c>
      <c r="GE109">
        <f ca="1"/>
      </c>
      <c r="GF109">
        <f ca="1"/>
      </c>
      <c r="GG109">
        <f ca="1"/>
      </c>
      <c r="GH109">
        <f ca="1"/>
      </c>
      <c r="GI109">
        <f ca="1"/>
      </c>
      <c r="GJ109">
        <f ca="1"/>
      </c>
      <c r="GK109">
        <f ca="1"/>
      </c>
      <c r="GL109">
        <f ca="1"/>
      </c>
      <c r="GM109">
        <f ca="1"/>
      </c>
      <c r="GN109">
        <f ca="1"/>
      </c>
      <c r="GO109">
        <f ca="1"/>
      </c>
      <c r="GP109">
        <f ca="1"/>
      </c>
      <c r="GQ109">
        <f ca="1"/>
      </c>
      <c r="GR109">
        <f ca="1"/>
      </c>
      <c r="GS109">
        <f ca="1"/>
      </c>
      <c r="GT109">
        <f ca="1"/>
      </c>
      <c r="GU109">
        <f ca="1"/>
      </c>
      <c r="GV109">
        <f ca="1"/>
      </c>
      <c r="GW109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C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R109">
        <f ca="1"/>
      </c>
      <c r="HS109">
        <f ca="1"/>
      </c>
      <c r="HT109">
        <f ca="1"/>
      </c>
      <c r="HU109">
        <f ca="1"/>
      </c>
      <c r="HV109">
        <f ca="1"/>
      </c>
      <c r="HW109">
        <f ca="1"/>
      </c>
      <c r="HX109">
        <f ca="1"/>
      </c>
      <c r="HY109">
        <f ca="1"/>
      </c>
      <c r="HZ109">
        <f ca="1"/>
      </c>
      <c r="IA109">
        <f ca="1"/>
      </c>
      <c r="IB109">
        <f ca="1"/>
      </c>
      <c r="IC109">
        <f ca="1"/>
      </c>
      <c r="ID109">
        <f ca="1"/>
      </c>
      <c r="IE109">
        <f ca="1"/>
      </c>
      <c r="IF109">
        <f ca="1"/>
      </c>
      <c r="IG109">
        <f ca="1"/>
      </c>
      <c r="IH109">
        <f ca="1"/>
      </c>
      <c r="II109">
        <f ca="1"/>
      </c>
      <c r="IJ109">
        <f ca="1"/>
      </c>
      <c r="IK109">
        <f ca="1"/>
      </c>
      <c r="IL109">
        <f ca="1"/>
      </c>
      <c r="IM109">
        <f ca="1"/>
      </c>
      <c r="IN109">
        <f ca="1"/>
      </c>
      <c r="IO109">
        <f ca="1"/>
      </c>
      <c r="IP109">
        <f ca="1"/>
      </c>
      <c r="IQ109">
        <f ca="1"/>
      </c>
      <c r="IR109">
        <f ca="1"/>
      </c>
      <c r="IS109">
        <f ca="1"/>
      </c>
      <c r="IT109">
        <f ca="1"/>
      </c>
      <c r="IU109">
        <f ca="1"/>
      </c>
      <c r="IV109">
        <f ca="1"/>
      </c>
      <c r="IW109">
        <f ca="1"/>
      </c>
      <c r="IX109">
        <f ca="1"/>
      </c>
      <c r="IY109">
        <f ca="1"/>
      </c>
      <c r="IZ109">
        <f ca="1"/>
      </c>
      <c r="JA109">
        <f ca="1"/>
      </c>
      <c r="JB109">
        <f ca="1"/>
      </c>
      <c r="LA109">
        <f ca="1"/>
      </c>
      <c r="LB109">
        <f ca="1"/>
      </c>
      <c r="LC109">
        <f ca="1"/>
      </c>
    </row>
    <row r="110" spans="58:315" x14ac:dyDescent="0.55000000000000004">
      <c r="BF110">
        <f ca="1"/>
      </c>
      <c r="BG110">
        <f ca="1"/>
      </c>
      <c r="BI110">
        <f ca="1"/>
      </c>
      <c r="BJ110" s="11">
        <f ca="1"/>
      </c>
      <c r="BK110" s="11">
        <f ca="1"/>
      </c>
      <c r="BL110" s="11">
        <f ca="1"/>
      </c>
      <c r="BM110" s="11">
        <f ca="1"/>
      </c>
      <c r="BN110" s="11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J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F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B110">
        <f ca="1"/>
      </c>
      <c r="GC110">
        <f ca="1"/>
      </c>
      <c r="GD110">
        <f ca="1"/>
      </c>
      <c r="GE110">
        <f ca="1"/>
      </c>
      <c r="GF110">
        <f ca="1"/>
      </c>
      <c r="GG110">
        <f ca="1"/>
      </c>
      <c r="GH110">
        <f ca="1"/>
      </c>
      <c r="GI110">
        <f ca="1"/>
      </c>
      <c r="GJ110">
        <f ca="1"/>
      </c>
      <c r="GK110">
        <f ca="1"/>
      </c>
      <c r="GL110">
        <f ca="1"/>
      </c>
      <c r="GM110">
        <f ca="1"/>
      </c>
      <c r="GN110">
        <f ca="1"/>
      </c>
      <c r="GO110">
        <f ca="1"/>
      </c>
      <c r="GP110">
        <f ca="1"/>
      </c>
      <c r="GQ110">
        <f ca="1"/>
      </c>
      <c r="GR110">
        <f ca="1"/>
      </c>
      <c r="GS110">
        <f ca="1"/>
      </c>
      <c r="GT110">
        <f ca="1"/>
      </c>
      <c r="GU110">
        <f ca="1"/>
      </c>
      <c r="GV110">
        <f ca="1"/>
      </c>
      <c r="GW110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C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R110">
        <f ca="1"/>
      </c>
      <c r="HS110">
        <f ca="1"/>
      </c>
      <c r="HT110">
        <f ca="1"/>
      </c>
      <c r="HU110">
        <f ca="1"/>
      </c>
      <c r="HV110">
        <f ca="1"/>
      </c>
      <c r="HW110">
        <f ca="1"/>
      </c>
      <c r="HX110">
        <f ca="1"/>
      </c>
      <c r="HY110">
        <f ca="1"/>
      </c>
      <c r="HZ110">
        <f ca="1"/>
      </c>
      <c r="IA110">
        <f ca="1"/>
      </c>
      <c r="IB110">
        <f ca="1"/>
      </c>
      <c r="IC110">
        <f ca="1"/>
      </c>
      <c r="ID110">
        <f ca="1"/>
      </c>
      <c r="IE110">
        <f ca="1"/>
      </c>
      <c r="IF110">
        <f ca="1"/>
      </c>
      <c r="IG110">
        <f ca="1"/>
      </c>
      <c r="IH110">
        <f ca="1"/>
      </c>
      <c r="II110">
        <f ca="1"/>
      </c>
      <c r="IJ110">
        <f ca="1"/>
      </c>
      <c r="IK110">
        <f ca="1"/>
      </c>
      <c r="IL110">
        <f ca="1"/>
      </c>
      <c r="IM110">
        <f ca="1"/>
      </c>
      <c r="IN110">
        <f ca="1"/>
      </c>
      <c r="IO110">
        <f ca="1"/>
      </c>
      <c r="IP110">
        <f ca="1"/>
      </c>
      <c r="IQ110">
        <f ca="1"/>
      </c>
      <c r="IR110">
        <f ca="1"/>
      </c>
      <c r="IS110">
        <f ca="1"/>
      </c>
      <c r="IT110">
        <f ca="1"/>
      </c>
      <c r="IU110">
        <f ca="1"/>
      </c>
      <c r="IV110">
        <f ca="1"/>
      </c>
      <c r="IW110">
        <f ca="1"/>
      </c>
      <c r="IX110">
        <f ca="1"/>
      </c>
      <c r="IY110">
        <f ca="1"/>
      </c>
      <c r="IZ110">
        <f ca="1"/>
      </c>
      <c r="JA110">
        <f ca="1"/>
      </c>
      <c r="JB110">
        <f ca="1"/>
      </c>
      <c r="LA110">
        <f ca="1"/>
      </c>
      <c r="LB110">
        <f ca="1"/>
      </c>
      <c r="LC110">
        <f ca="1"/>
      </c>
    </row>
    <row r="111" spans="58:315" x14ac:dyDescent="0.55000000000000004">
      <c r="BF111">
        <f ca="1"/>
      </c>
      <c r="BG111">
        <f ca="1"/>
      </c>
      <c r="BI111">
        <f ca="1"/>
      </c>
      <c r="BJ111" s="11">
        <f ca="1"/>
      </c>
      <c r="BK111" s="11">
        <f ca="1"/>
      </c>
      <c r="BL111" s="11">
        <f ca="1"/>
      </c>
      <c r="BM111" s="11">
        <f ca="1"/>
      </c>
      <c r="BN111" s="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J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F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B111">
        <f ca="1"/>
      </c>
      <c r="GC111">
        <f ca="1"/>
      </c>
      <c r="GD111">
        <f ca="1"/>
      </c>
      <c r="GE111">
        <f ca="1"/>
      </c>
      <c r="GF111">
        <f ca="1"/>
      </c>
      <c r="GG111">
        <f ca="1"/>
      </c>
      <c r="GH111">
        <f ca="1"/>
      </c>
      <c r="GI111">
        <f ca="1"/>
      </c>
      <c r="GJ111">
        <f ca="1"/>
      </c>
      <c r="GK111">
        <f ca="1"/>
      </c>
      <c r="GL111">
        <f ca="1"/>
      </c>
      <c r="GM111">
        <f ca="1"/>
      </c>
      <c r="GN111">
        <f ca="1"/>
      </c>
      <c r="GO111">
        <f ca="1"/>
      </c>
      <c r="GP111">
        <f ca="1"/>
      </c>
      <c r="GQ111">
        <f ca="1"/>
      </c>
      <c r="GR111">
        <f ca="1"/>
      </c>
      <c r="GS111">
        <f ca="1"/>
      </c>
      <c r="GT111">
        <f ca="1"/>
      </c>
      <c r="GU111">
        <f ca="1"/>
      </c>
      <c r="GV111">
        <f ca="1"/>
      </c>
      <c r="GW1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C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R111">
        <f ca="1"/>
      </c>
      <c r="HS111">
        <f ca="1"/>
      </c>
      <c r="HT111">
        <f ca="1"/>
      </c>
      <c r="HU111">
        <f ca="1"/>
      </c>
      <c r="HV111">
        <f ca="1"/>
      </c>
      <c r="HW111">
        <f ca="1"/>
      </c>
      <c r="HX111">
        <f ca="1"/>
      </c>
      <c r="HY111">
        <f ca="1"/>
      </c>
      <c r="HZ111">
        <f ca="1"/>
      </c>
      <c r="IA111">
        <f ca="1"/>
      </c>
      <c r="IB111">
        <f ca="1"/>
      </c>
      <c r="IC111">
        <f ca="1"/>
      </c>
      <c r="ID111">
        <f ca="1"/>
      </c>
      <c r="IE111">
        <f ca="1"/>
      </c>
      <c r="IF111">
        <f ca="1"/>
      </c>
      <c r="IG111">
        <f ca="1"/>
      </c>
      <c r="IH111">
        <f ca="1"/>
      </c>
      <c r="II111">
        <f ca="1"/>
      </c>
      <c r="IJ111">
        <f ca="1"/>
      </c>
      <c r="IK111">
        <f ca="1"/>
      </c>
      <c r="IL111">
        <f ca="1"/>
      </c>
      <c r="IM111">
        <f ca="1"/>
      </c>
      <c r="IN111">
        <f ca="1"/>
      </c>
      <c r="IO111">
        <f ca="1"/>
      </c>
      <c r="IP111">
        <f ca="1"/>
      </c>
      <c r="IQ111">
        <f ca="1"/>
      </c>
      <c r="IR111">
        <f ca="1"/>
      </c>
      <c r="IS111">
        <f ca="1"/>
      </c>
      <c r="IT111">
        <f ca="1"/>
      </c>
      <c r="IU111">
        <f ca="1"/>
      </c>
      <c r="IV111">
        <f ca="1"/>
      </c>
      <c r="IW111">
        <f ca="1"/>
      </c>
      <c r="IX111">
        <f ca="1"/>
      </c>
      <c r="IY111">
        <f ca="1"/>
      </c>
      <c r="IZ111">
        <f ca="1"/>
      </c>
      <c r="JA111">
        <f ca="1"/>
      </c>
      <c r="JB111">
        <f ca="1"/>
      </c>
      <c r="LA111">
        <f ca="1"/>
      </c>
      <c r="LB111">
        <f ca="1"/>
      </c>
      <c r="LC111">
        <f ca="1"/>
      </c>
    </row>
    <row r="112" spans="58:315" x14ac:dyDescent="0.55000000000000004">
      <c r="BF112">
        <f ca="1"/>
      </c>
      <c r="BG112">
        <f ca="1"/>
      </c>
      <c r="BI112">
        <f ca="1"/>
      </c>
      <c r="BJ112" s="11">
        <f ca="1"/>
      </c>
      <c r="BK112" s="11">
        <f ca="1"/>
      </c>
      <c r="BL112" s="11">
        <f ca="1"/>
      </c>
      <c r="BM112" s="11">
        <f ca="1"/>
      </c>
      <c r="BN112" s="11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J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F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B112">
        <f ca="1"/>
      </c>
      <c r="GC112">
        <f ca="1"/>
      </c>
      <c r="GD112">
        <f ca="1"/>
      </c>
      <c r="GE112">
        <f ca="1"/>
      </c>
      <c r="GF112">
        <f ca="1"/>
      </c>
      <c r="GG112">
        <f ca="1"/>
      </c>
      <c r="GH112">
        <f ca="1"/>
      </c>
      <c r="GI112">
        <f ca="1"/>
      </c>
      <c r="GJ112">
        <f ca="1"/>
      </c>
      <c r="GK112">
        <f ca="1"/>
      </c>
      <c r="GL112">
        <f ca="1"/>
      </c>
      <c r="GM112">
        <f ca="1"/>
      </c>
      <c r="GN112">
        <f ca="1"/>
      </c>
      <c r="GO112">
        <f ca="1"/>
      </c>
      <c r="GP112">
        <f ca="1"/>
      </c>
      <c r="GQ112">
        <f ca="1"/>
      </c>
      <c r="GR112">
        <f ca="1"/>
      </c>
      <c r="GS112">
        <f ca="1"/>
      </c>
      <c r="GT112">
        <f ca="1"/>
      </c>
      <c r="GU112">
        <f ca="1"/>
      </c>
      <c r="GV112">
        <f ca="1"/>
      </c>
      <c r="GW112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C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R112">
        <f ca="1"/>
      </c>
      <c r="HS112">
        <f ca="1"/>
      </c>
      <c r="HT112">
        <f ca="1"/>
      </c>
      <c r="HU112">
        <f ca="1"/>
      </c>
      <c r="HV112">
        <f ca="1"/>
      </c>
      <c r="HW112">
        <f ca="1"/>
      </c>
      <c r="HX112">
        <f ca="1"/>
      </c>
      <c r="HY112">
        <f ca="1"/>
      </c>
      <c r="HZ112">
        <f ca="1"/>
      </c>
      <c r="IA112">
        <f ca="1"/>
      </c>
      <c r="IB112">
        <f ca="1"/>
      </c>
      <c r="IC112">
        <f ca="1"/>
      </c>
      <c r="ID112">
        <f ca="1"/>
      </c>
      <c r="IE112">
        <f ca="1"/>
      </c>
      <c r="IF112">
        <f ca="1"/>
      </c>
      <c r="IG112">
        <f ca="1"/>
      </c>
      <c r="IH112">
        <f ca="1"/>
      </c>
      <c r="II112">
        <f ca="1"/>
      </c>
      <c r="IJ112">
        <f ca="1"/>
      </c>
      <c r="IK112">
        <f ca="1"/>
      </c>
      <c r="IL112">
        <f ca="1"/>
      </c>
      <c r="IM112">
        <f ca="1"/>
      </c>
      <c r="IN112">
        <f ca="1"/>
      </c>
      <c r="IO112">
        <f ca="1"/>
      </c>
      <c r="IP112">
        <f ca="1"/>
      </c>
      <c r="IQ112">
        <f ca="1"/>
      </c>
      <c r="IR112">
        <f ca="1"/>
      </c>
      <c r="IS112">
        <f ca="1"/>
      </c>
      <c r="IT112">
        <f ca="1"/>
      </c>
      <c r="IU112">
        <f ca="1"/>
      </c>
      <c r="IV112">
        <f ca="1"/>
      </c>
      <c r="IW112">
        <f ca="1"/>
      </c>
      <c r="IX112">
        <f ca="1"/>
      </c>
      <c r="IY112">
        <f ca="1"/>
      </c>
      <c r="IZ112">
        <f ca="1"/>
      </c>
      <c r="JA112">
        <f ca="1"/>
      </c>
      <c r="JB112">
        <f ca="1"/>
      </c>
      <c r="LA112">
        <f ca="1"/>
      </c>
      <c r="LB112">
        <f ca="1"/>
      </c>
      <c r="LC112">
        <f ca="1"/>
      </c>
    </row>
    <row r="113" spans="58:315" x14ac:dyDescent="0.55000000000000004">
      <c r="BF113">
        <f ca="1"/>
      </c>
      <c r="BG113">
        <f ca="1"/>
      </c>
      <c r="BI113">
        <f ca="1"/>
      </c>
      <c r="BJ113" s="11">
        <f ca="1"/>
      </c>
      <c r="BK113" s="11">
        <f ca="1"/>
      </c>
      <c r="BL113" s="11">
        <f ca="1"/>
      </c>
      <c r="BM113" s="11">
        <f ca="1"/>
      </c>
      <c r="BN113" s="11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J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F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B113">
        <f ca="1"/>
      </c>
      <c r="GC113">
        <f ca="1"/>
      </c>
      <c r="GD113">
        <f ca="1"/>
      </c>
      <c r="GE113">
        <f ca="1"/>
      </c>
      <c r="GF113">
        <f ca="1"/>
      </c>
      <c r="GG113">
        <f ca="1"/>
      </c>
      <c r="GH113">
        <f ca="1"/>
      </c>
      <c r="GI113">
        <f ca="1"/>
      </c>
      <c r="GJ113">
        <f ca="1"/>
      </c>
      <c r="GK113">
        <f ca="1"/>
      </c>
      <c r="GL113">
        <f ca="1"/>
      </c>
      <c r="GM113">
        <f ca="1"/>
      </c>
      <c r="GN113">
        <f ca="1"/>
      </c>
      <c r="GO113">
        <f ca="1"/>
      </c>
      <c r="GP113">
        <f ca="1"/>
      </c>
      <c r="GQ113">
        <f ca="1"/>
      </c>
      <c r="GR113">
        <f ca="1"/>
      </c>
      <c r="GS113">
        <f ca="1"/>
      </c>
      <c r="GT113">
        <f ca="1"/>
      </c>
      <c r="GU113">
        <f ca="1"/>
      </c>
      <c r="GV113">
        <f ca="1"/>
      </c>
      <c r="GW113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C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R113">
        <f ca="1"/>
      </c>
      <c r="HS113">
        <f ca="1"/>
      </c>
      <c r="HT113">
        <f ca="1"/>
      </c>
      <c r="HU113">
        <f ca="1"/>
      </c>
      <c r="HV113">
        <f ca="1"/>
      </c>
      <c r="HW113">
        <f ca="1"/>
      </c>
      <c r="HX113">
        <f ca="1"/>
      </c>
      <c r="HY113">
        <f ca="1"/>
      </c>
      <c r="HZ113">
        <f ca="1"/>
      </c>
      <c r="IA113">
        <f ca="1"/>
      </c>
      <c r="IB113">
        <f ca="1"/>
      </c>
      <c r="IC113">
        <f ca="1"/>
      </c>
      <c r="ID113">
        <f ca="1"/>
      </c>
      <c r="IE113">
        <f ca="1"/>
      </c>
      <c r="IF113">
        <f ca="1"/>
      </c>
      <c r="IG113">
        <f ca="1"/>
      </c>
      <c r="IH113">
        <f ca="1"/>
      </c>
      <c r="II113">
        <f ca="1"/>
      </c>
      <c r="IJ113">
        <f ca="1"/>
      </c>
      <c r="IK113">
        <f ca="1"/>
      </c>
      <c r="IL113">
        <f ca="1"/>
      </c>
      <c r="IM113">
        <f ca="1"/>
      </c>
      <c r="IN113">
        <f ca="1"/>
      </c>
      <c r="IO113">
        <f ca="1"/>
      </c>
      <c r="IP113">
        <f ca="1"/>
      </c>
      <c r="IQ113">
        <f ca="1"/>
      </c>
      <c r="IR113">
        <f ca="1"/>
      </c>
      <c r="IS113">
        <f ca="1"/>
      </c>
      <c r="IT113">
        <f ca="1"/>
      </c>
      <c r="IU113">
        <f ca="1"/>
      </c>
      <c r="IV113">
        <f ca="1"/>
      </c>
      <c r="IW113">
        <f ca="1"/>
      </c>
      <c r="IX113">
        <f ca="1"/>
      </c>
      <c r="IY113">
        <f ca="1"/>
      </c>
      <c r="IZ113">
        <f ca="1"/>
      </c>
      <c r="JA113">
        <f ca="1"/>
      </c>
      <c r="JB113">
        <f ca="1"/>
      </c>
      <c r="LA113">
        <f ca="1"/>
      </c>
      <c r="LB113">
        <f ca="1"/>
      </c>
      <c r="LC113">
        <f ca="1"/>
      </c>
    </row>
    <row r="114" spans="58:315" x14ac:dyDescent="0.55000000000000004">
      <c r="BF114">
        <f ca="1"/>
      </c>
      <c r="BG114">
        <f ca="1"/>
      </c>
      <c r="BI114">
        <f ca="1"/>
      </c>
      <c r="BJ114" s="11">
        <f ca="1"/>
      </c>
      <c r="BK114" s="11">
        <f ca="1"/>
      </c>
      <c r="BL114" s="11">
        <f ca="1"/>
      </c>
      <c r="BM114" s="11">
        <f ca="1"/>
      </c>
      <c r="BN114" s="11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J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F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B114">
        <f ca="1"/>
      </c>
      <c r="GC114">
        <f ca="1"/>
      </c>
      <c r="GD114">
        <f ca="1"/>
      </c>
      <c r="GE114">
        <f ca="1"/>
      </c>
      <c r="GF114">
        <f ca="1"/>
      </c>
      <c r="GG114">
        <f ca="1"/>
      </c>
      <c r="GH114">
        <f ca="1"/>
      </c>
      <c r="GI114">
        <f ca="1"/>
      </c>
      <c r="GJ114">
        <f ca="1"/>
      </c>
      <c r="GK114">
        <f ca="1"/>
      </c>
      <c r="GL114">
        <f ca="1"/>
      </c>
      <c r="GM114">
        <f ca="1"/>
      </c>
      <c r="GN114">
        <f ca="1"/>
      </c>
      <c r="GO114">
        <f ca="1"/>
      </c>
      <c r="GP114">
        <f ca="1"/>
      </c>
      <c r="GQ114">
        <f ca="1"/>
      </c>
      <c r="GR114">
        <f ca="1"/>
      </c>
      <c r="GS114">
        <f ca="1"/>
      </c>
      <c r="GT114">
        <f ca="1"/>
      </c>
      <c r="GU114">
        <f ca="1"/>
      </c>
      <c r="GV114">
        <f ca="1"/>
      </c>
      <c r="GW114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C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R114">
        <f ca="1"/>
      </c>
      <c r="HS114">
        <f ca="1"/>
      </c>
      <c r="HT114">
        <f ca="1"/>
      </c>
      <c r="HU114">
        <f ca="1"/>
      </c>
      <c r="HV114">
        <f ca="1"/>
      </c>
      <c r="HW114">
        <f ca="1"/>
      </c>
      <c r="HX114">
        <f ca="1"/>
      </c>
      <c r="HY114">
        <f ca="1"/>
      </c>
      <c r="HZ114">
        <f ca="1"/>
      </c>
      <c r="IA114">
        <f ca="1"/>
      </c>
      <c r="IB114">
        <f ca="1"/>
      </c>
      <c r="IC114">
        <f ca="1"/>
      </c>
      <c r="ID114">
        <f ca="1"/>
      </c>
      <c r="IE114">
        <f ca="1"/>
      </c>
      <c r="IF114">
        <f ca="1"/>
      </c>
      <c r="IG114">
        <f ca="1"/>
      </c>
      <c r="IH114">
        <f ca="1"/>
      </c>
      <c r="II114">
        <f ca="1"/>
      </c>
      <c r="IJ114">
        <f ca="1"/>
      </c>
      <c r="IK114">
        <f ca="1"/>
      </c>
      <c r="IL114">
        <f ca="1"/>
      </c>
      <c r="IM114">
        <f ca="1"/>
      </c>
      <c r="IN114">
        <f ca="1"/>
      </c>
      <c r="IO114">
        <f ca="1"/>
      </c>
      <c r="IP114">
        <f ca="1"/>
      </c>
      <c r="IQ114">
        <f ca="1"/>
      </c>
      <c r="IR114">
        <f ca="1"/>
      </c>
      <c r="IS114">
        <f ca="1"/>
      </c>
      <c r="IT114">
        <f ca="1"/>
      </c>
      <c r="IU114">
        <f ca="1"/>
      </c>
      <c r="IV114">
        <f ca="1"/>
      </c>
      <c r="IW114">
        <f ca="1"/>
      </c>
      <c r="IX114">
        <f ca="1"/>
      </c>
      <c r="IY114">
        <f ca="1"/>
      </c>
      <c r="IZ114">
        <f ca="1"/>
      </c>
      <c r="JA114">
        <f ca="1"/>
      </c>
      <c r="JB114">
        <f ca="1"/>
      </c>
      <c r="LA114">
        <f ca="1"/>
      </c>
      <c r="LB114">
        <f ca="1"/>
      </c>
      <c r="LC114">
        <f ca="1"/>
      </c>
    </row>
    <row r="115" spans="58:315" x14ac:dyDescent="0.55000000000000004">
      <c r="BF115">
        <f ca="1"/>
      </c>
      <c r="BG115">
        <f ca="1"/>
      </c>
      <c r="BI115">
        <f ca="1"/>
      </c>
      <c r="BJ115" s="11">
        <f ca="1"/>
      </c>
      <c r="BK115" s="11">
        <f ca="1"/>
      </c>
      <c r="BL115" s="11">
        <f ca="1"/>
      </c>
      <c r="BM115" s="11">
        <f ca="1"/>
      </c>
      <c r="BN115" s="11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J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F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B115">
        <f ca="1"/>
      </c>
      <c r="GC115">
        <f ca="1"/>
      </c>
      <c r="GD115">
        <f ca="1"/>
      </c>
      <c r="GE115">
        <f ca="1"/>
      </c>
      <c r="GF115">
        <f ca="1"/>
      </c>
      <c r="GG115">
        <f ca="1"/>
      </c>
      <c r="GH115">
        <f ca="1"/>
      </c>
      <c r="GI115">
        <f ca="1"/>
      </c>
      <c r="GJ115">
        <f ca="1"/>
      </c>
      <c r="GK115">
        <f ca="1"/>
      </c>
      <c r="GL115">
        <f ca="1"/>
      </c>
      <c r="GM115">
        <f ca="1"/>
      </c>
      <c r="GN115">
        <f ca="1"/>
      </c>
      <c r="GO115">
        <f ca="1"/>
      </c>
      <c r="GP115">
        <f ca="1"/>
      </c>
      <c r="GQ115">
        <f ca="1"/>
      </c>
      <c r="GR115">
        <f ca="1"/>
      </c>
      <c r="GS115">
        <f ca="1"/>
      </c>
      <c r="GT115">
        <f ca="1"/>
      </c>
      <c r="GU115">
        <f ca="1"/>
      </c>
      <c r="GV115">
        <f ca="1"/>
      </c>
      <c r="GW115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C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R115">
        <f ca="1"/>
      </c>
      <c r="HS115">
        <f ca="1"/>
      </c>
      <c r="HT115">
        <f ca="1"/>
      </c>
      <c r="HU115">
        <f ca="1"/>
      </c>
      <c r="HV115">
        <f ca="1"/>
      </c>
      <c r="HW115">
        <f ca="1"/>
      </c>
      <c r="HX115">
        <f ca="1"/>
      </c>
      <c r="HY115">
        <f ca="1"/>
      </c>
      <c r="HZ115">
        <f ca="1"/>
      </c>
      <c r="IA115">
        <f ca="1"/>
      </c>
      <c r="IB115">
        <f ca="1"/>
      </c>
      <c r="IC115">
        <f ca="1"/>
      </c>
      <c r="ID115">
        <f ca="1"/>
      </c>
      <c r="IE115">
        <f ca="1"/>
      </c>
      <c r="IF115">
        <f ca="1"/>
      </c>
      <c r="IG115">
        <f ca="1"/>
      </c>
      <c r="IH115">
        <f ca="1"/>
      </c>
      <c r="II115">
        <f ca="1"/>
      </c>
      <c r="IJ115">
        <f ca="1"/>
      </c>
      <c r="IK115">
        <f ca="1"/>
      </c>
      <c r="IL115">
        <f ca="1"/>
      </c>
      <c r="IM115">
        <f ca="1"/>
      </c>
      <c r="IN115">
        <f ca="1"/>
      </c>
      <c r="IO115">
        <f ca="1"/>
      </c>
      <c r="IP115">
        <f ca="1"/>
      </c>
      <c r="IQ115">
        <f ca="1"/>
      </c>
      <c r="IR115">
        <f ca="1"/>
      </c>
      <c r="IS115">
        <f ca="1"/>
      </c>
      <c r="IT115">
        <f ca="1"/>
      </c>
      <c r="IU115">
        <f ca="1"/>
      </c>
      <c r="IV115">
        <f ca="1"/>
      </c>
      <c r="IW115">
        <f ca="1"/>
      </c>
      <c r="IX115">
        <f ca="1"/>
      </c>
      <c r="IY115">
        <f ca="1"/>
      </c>
      <c r="IZ115">
        <f ca="1"/>
      </c>
      <c r="JA115">
        <f ca="1"/>
      </c>
      <c r="JB115">
        <f ca="1"/>
      </c>
      <c r="LA115">
        <f ca="1"/>
      </c>
      <c r="LB115">
        <f ca="1"/>
      </c>
      <c r="LC115">
        <f ca="1"/>
      </c>
    </row>
    <row r="116" spans="58:315" x14ac:dyDescent="0.55000000000000004">
      <c r="BF116">
        <f ca="1"/>
      </c>
      <c r="BG116">
        <f ca="1"/>
      </c>
      <c r="BI116">
        <f ca="1"/>
      </c>
      <c r="BJ116" s="11">
        <f ca="1"/>
      </c>
      <c r="BK116" s="11">
        <f ca="1"/>
      </c>
      <c r="BL116" s="11">
        <f ca="1"/>
      </c>
      <c r="BM116" s="11">
        <f ca="1"/>
      </c>
      <c r="BN116" s="11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J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F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B116">
        <f ca="1"/>
      </c>
      <c r="GC116">
        <f ca="1"/>
      </c>
      <c r="GD116">
        <f ca="1"/>
      </c>
      <c r="GE116">
        <f ca="1"/>
      </c>
      <c r="GF116">
        <f ca="1"/>
      </c>
      <c r="GG116">
        <f ca="1"/>
      </c>
      <c r="GH116">
        <f ca="1"/>
      </c>
      <c r="GI116">
        <f ca="1"/>
      </c>
      <c r="GJ116">
        <f ca="1"/>
      </c>
      <c r="GK116">
        <f ca="1"/>
      </c>
      <c r="GL116">
        <f ca="1"/>
      </c>
      <c r="GM116">
        <f ca="1"/>
      </c>
      <c r="GN116">
        <f ca="1"/>
      </c>
      <c r="GO116">
        <f ca="1"/>
      </c>
      <c r="GP116">
        <f ca="1"/>
      </c>
      <c r="GQ116">
        <f ca="1"/>
      </c>
      <c r="GR116">
        <f ca="1"/>
      </c>
      <c r="GS116">
        <f ca="1"/>
      </c>
      <c r="GT116">
        <f ca="1"/>
      </c>
      <c r="GU116">
        <f ca="1"/>
      </c>
      <c r="GV116">
        <f ca="1"/>
      </c>
      <c r="GW116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C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R116">
        <f ca="1"/>
      </c>
      <c r="HS116">
        <f ca="1"/>
      </c>
      <c r="HT116">
        <f ca="1"/>
      </c>
      <c r="HU116">
        <f ca="1"/>
      </c>
      <c r="HV116">
        <f ca="1"/>
      </c>
      <c r="HW116">
        <f ca="1"/>
      </c>
      <c r="HX116">
        <f ca="1"/>
      </c>
      <c r="HY116">
        <f ca="1"/>
      </c>
      <c r="HZ116">
        <f ca="1"/>
      </c>
      <c r="IA116">
        <f ca="1"/>
      </c>
      <c r="IB116">
        <f ca="1"/>
      </c>
      <c r="IC116">
        <f ca="1"/>
      </c>
      <c r="ID116">
        <f ca="1"/>
      </c>
      <c r="IE116">
        <f ca="1"/>
      </c>
      <c r="IF116">
        <f ca="1"/>
      </c>
      <c r="IG116">
        <f ca="1"/>
      </c>
      <c r="IH116">
        <f ca="1"/>
      </c>
      <c r="II116">
        <f ca="1"/>
      </c>
      <c r="IJ116">
        <f ca="1"/>
      </c>
      <c r="IK116">
        <f ca="1"/>
      </c>
      <c r="IL116">
        <f ca="1"/>
      </c>
      <c r="IM116">
        <f ca="1"/>
      </c>
      <c r="IN116">
        <f ca="1"/>
      </c>
      <c r="IO116">
        <f ca="1"/>
      </c>
      <c r="IP116">
        <f ca="1"/>
      </c>
      <c r="IQ116">
        <f ca="1"/>
      </c>
      <c r="IR116">
        <f ca="1"/>
      </c>
      <c r="IS116">
        <f ca="1"/>
      </c>
      <c r="IT116">
        <f ca="1"/>
      </c>
      <c r="IU116">
        <f ca="1"/>
      </c>
      <c r="IV116">
        <f ca="1"/>
      </c>
      <c r="IW116">
        <f ca="1"/>
      </c>
      <c r="IX116">
        <f ca="1"/>
      </c>
      <c r="IY116">
        <f ca="1"/>
      </c>
      <c r="IZ116">
        <f ca="1"/>
      </c>
      <c r="JA116">
        <f ca="1"/>
      </c>
      <c r="JB116">
        <f ca="1"/>
      </c>
      <c r="LA116">
        <f ca="1"/>
      </c>
      <c r="LB116">
        <f ca="1"/>
      </c>
      <c r="LC116">
        <f ca="1"/>
      </c>
    </row>
    <row r="117" spans="58:315" x14ac:dyDescent="0.55000000000000004">
      <c r="BF117">
        <f ca="1"/>
      </c>
      <c r="BG117">
        <f ca="1"/>
      </c>
      <c r="BI117">
        <f ca="1"/>
      </c>
      <c r="BJ117" s="11">
        <f ca="1"/>
      </c>
      <c r="BK117" s="11">
        <f ca="1"/>
      </c>
      <c r="BL117" s="11">
        <f ca="1"/>
      </c>
      <c r="BM117" s="11">
        <f ca="1"/>
      </c>
      <c r="BN117" s="11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J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F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B117">
        <f ca="1"/>
      </c>
      <c r="GC117">
        <f ca="1"/>
      </c>
      <c r="GD117">
        <f ca="1"/>
      </c>
      <c r="GE117">
        <f ca="1"/>
      </c>
      <c r="GF117">
        <f ca="1"/>
      </c>
      <c r="GG117">
        <f ca="1"/>
      </c>
      <c r="GH117">
        <f ca="1"/>
      </c>
      <c r="GI117">
        <f ca="1"/>
      </c>
      <c r="GJ117">
        <f ca="1"/>
      </c>
      <c r="GK117">
        <f ca="1"/>
      </c>
      <c r="GL117">
        <f ca="1"/>
      </c>
      <c r="GM117">
        <f ca="1"/>
      </c>
      <c r="GN117">
        <f ca="1"/>
      </c>
      <c r="GO117">
        <f ca="1"/>
      </c>
      <c r="GP117">
        <f ca="1"/>
      </c>
      <c r="GQ117">
        <f ca="1"/>
      </c>
      <c r="GR117">
        <f ca="1"/>
      </c>
      <c r="GS117">
        <f ca="1"/>
      </c>
      <c r="GT117">
        <f ca="1"/>
      </c>
      <c r="GU117">
        <f ca="1"/>
      </c>
      <c r="GV117">
        <f ca="1"/>
      </c>
      <c r="GW117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C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R117">
        <f ca="1"/>
      </c>
      <c r="HS117">
        <f ca="1"/>
      </c>
      <c r="HT117">
        <f ca="1"/>
      </c>
      <c r="HU117">
        <f ca="1"/>
      </c>
      <c r="HV117">
        <f ca="1"/>
      </c>
      <c r="HW117">
        <f ca="1"/>
      </c>
      <c r="HX117">
        <f ca="1"/>
      </c>
      <c r="HY117">
        <f ca="1"/>
      </c>
      <c r="HZ117">
        <f ca="1"/>
      </c>
      <c r="IA117">
        <f ca="1"/>
      </c>
      <c r="IB117">
        <f ca="1"/>
      </c>
      <c r="IC117">
        <f ca="1"/>
      </c>
      <c r="ID117">
        <f ca="1"/>
      </c>
      <c r="IE117">
        <f ca="1"/>
      </c>
      <c r="IF117">
        <f ca="1"/>
      </c>
      <c r="IG117">
        <f ca="1"/>
      </c>
      <c r="IH117">
        <f ca="1"/>
      </c>
      <c r="II117">
        <f ca="1"/>
      </c>
      <c r="IJ117">
        <f ca="1"/>
      </c>
      <c r="IK117">
        <f ca="1"/>
      </c>
      <c r="IL117">
        <f ca="1"/>
      </c>
      <c r="IM117">
        <f ca="1"/>
      </c>
      <c r="IN117">
        <f ca="1"/>
      </c>
      <c r="IO117">
        <f ca="1"/>
      </c>
      <c r="IP117">
        <f ca="1"/>
      </c>
      <c r="IQ117">
        <f ca="1"/>
      </c>
      <c r="IR117">
        <f ca="1"/>
      </c>
      <c r="IS117">
        <f ca="1"/>
      </c>
      <c r="IT117">
        <f ca="1"/>
      </c>
      <c r="IU117">
        <f ca="1"/>
      </c>
      <c r="IV117">
        <f ca="1"/>
      </c>
      <c r="IW117">
        <f ca="1"/>
      </c>
      <c r="IX117">
        <f ca="1"/>
      </c>
      <c r="IY117">
        <f ca="1"/>
      </c>
      <c r="IZ117">
        <f ca="1"/>
      </c>
      <c r="JA117">
        <f ca="1"/>
      </c>
      <c r="JB117">
        <f ca="1"/>
      </c>
      <c r="LA117">
        <f ca="1"/>
      </c>
      <c r="LB117">
        <f ca="1"/>
      </c>
      <c r="LC117">
        <f ca="1"/>
      </c>
    </row>
    <row r="118" spans="58:315" x14ac:dyDescent="0.55000000000000004">
      <c r="BF118">
        <f ca="1"/>
      </c>
      <c r="BG118">
        <f ca="1"/>
      </c>
      <c r="BI118">
        <f ca="1"/>
      </c>
      <c r="BJ118" s="11">
        <f ca="1"/>
      </c>
      <c r="BK118" s="11">
        <f ca="1"/>
      </c>
      <c r="BL118" s="11">
        <f ca="1"/>
      </c>
      <c r="BM118" s="11">
        <f ca="1"/>
      </c>
      <c r="BN118" s="11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J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F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B118">
        <f ca="1"/>
      </c>
      <c r="GC118">
        <f ca="1"/>
      </c>
      <c r="GD118">
        <f ca="1"/>
      </c>
      <c r="GE118">
        <f ca="1"/>
      </c>
      <c r="GF118">
        <f ca="1"/>
      </c>
      <c r="GG118">
        <f ca="1"/>
      </c>
      <c r="GH118">
        <f ca="1"/>
      </c>
      <c r="GI118">
        <f ca="1"/>
      </c>
      <c r="GJ118">
        <f ca="1"/>
      </c>
      <c r="GK118">
        <f ca="1"/>
      </c>
      <c r="GL118">
        <f ca="1"/>
      </c>
      <c r="GM118">
        <f ca="1"/>
      </c>
      <c r="GN118">
        <f ca="1"/>
      </c>
      <c r="GO118">
        <f ca="1"/>
      </c>
      <c r="GP118">
        <f ca="1"/>
      </c>
      <c r="GQ118">
        <f ca="1"/>
      </c>
      <c r="GR118">
        <f ca="1"/>
      </c>
      <c r="GS118">
        <f ca="1"/>
      </c>
      <c r="GT118">
        <f ca="1"/>
      </c>
      <c r="GU118">
        <f ca="1"/>
      </c>
      <c r="GV118">
        <f ca="1"/>
      </c>
      <c r="GW118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C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R118">
        <f ca="1"/>
      </c>
      <c r="HS118">
        <f ca="1"/>
      </c>
      <c r="HT118">
        <f ca="1"/>
      </c>
      <c r="HU118">
        <f ca="1"/>
      </c>
      <c r="HV118">
        <f ca="1"/>
      </c>
      <c r="HW118">
        <f ca="1"/>
      </c>
      <c r="HX118">
        <f ca="1"/>
      </c>
      <c r="HY118">
        <f ca="1"/>
      </c>
      <c r="HZ118">
        <f ca="1"/>
      </c>
      <c r="IA118">
        <f ca="1"/>
      </c>
      <c r="IB118">
        <f ca="1"/>
      </c>
      <c r="IC118">
        <f ca="1"/>
      </c>
      <c r="ID118">
        <f ca="1"/>
      </c>
      <c r="IE118">
        <f ca="1"/>
      </c>
      <c r="IF118">
        <f ca="1"/>
      </c>
      <c r="IG118">
        <f ca="1"/>
      </c>
      <c r="IH118">
        <f ca="1"/>
      </c>
      <c r="II118">
        <f ca="1"/>
      </c>
      <c r="IJ118">
        <f ca="1"/>
      </c>
      <c r="IK118">
        <f ca="1"/>
      </c>
      <c r="IL118">
        <f ca="1"/>
      </c>
      <c r="IM118">
        <f ca="1"/>
      </c>
      <c r="IN118">
        <f ca="1"/>
      </c>
      <c r="IO118">
        <f ca="1"/>
      </c>
      <c r="IP118">
        <f ca="1"/>
      </c>
      <c r="IQ118">
        <f ca="1"/>
      </c>
      <c r="IR118">
        <f ca="1"/>
      </c>
      <c r="IS118">
        <f ca="1"/>
      </c>
      <c r="IT118">
        <f ca="1"/>
      </c>
      <c r="IU118">
        <f ca="1"/>
      </c>
      <c r="IV118">
        <f ca="1"/>
      </c>
      <c r="IW118">
        <f ca="1"/>
      </c>
      <c r="IX118">
        <f ca="1"/>
      </c>
      <c r="IY118">
        <f ca="1"/>
      </c>
      <c r="IZ118">
        <f ca="1"/>
      </c>
      <c r="JA118">
        <f ca="1"/>
      </c>
      <c r="JB118">
        <f ca="1"/>
      </c>
      <c r="LA118">
        <f ca="1"/>
      </c>
      <c r="LB118">
        <f ca="1"/>
      </c>
      <c r="LC118">
        <f ca="1"/>
      </c>
    </row>
    <row r="119" spans="58:315" x14ac:dyDescent="0.55000000000000004">
      <c r="BF119">
        <f ca="1"/>
      </c>
      <c r="BG119">
        <f ca="1"/>
      </c>
      <c r="BI119">
        <f ca="1"/>
      </c>
      <c r="BJ119" s="11">
        <f ca="1"/>
      </c>
      <c r="BK119" s="11">
        <f ca="1"/>
      </c>
      <c r="BL119" s="11">
        <f ca="1"/>
      </c>
      <c r="BM119" s="11">
        <f ca="1"/>
      </c>
      <c r="BN119" s="11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J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F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B119">
        <f ca="1"/>
      </c>
      <c r="GC119">
        <f ca="1"/>
      </c>
      <c r="GD119">
        <f ca="1"/>
      </c>
      <c r="GE119">
        <f ca="1"/>
      </c>
      <c r="GF119">
        <f ca="1"/>
      </c>
      <c r="GG119">
        <f ca="1"/>
      </c>
      <c r="GH119">
        <f ca="1"/>
      </c>
      <c r="GI119">
        <f ca="1"/>
      </c>
      <c r="GJ119">
        <f ca="1"/>
      </c>
      <c r="GK119">
        <f ca="1"/>
      </c>
      <c r="GL119">
        <f ca="1"/>
      </c>
      <c r="GM119">
        <f ca="1"/>
      </c>
      <c r="GN119">
        <f ca="1"/>
      </c>
      <c r="GO119">
        <f ca="1"/>
      </c>
      <c r="GP119">
        <f ca="1"/>
      </c>
      <c r="GQ119">
        <f ca="1"/>
      </c>
      <c r="GR119">
        <f ca="1"/>
      </c>
      <c r="GS119">
        <f ca="1"/>
      </c>
      <c r="GT119">
        <f ca="1"/>
      </c>
      <c r="GU119">
        <f ca="1"/>
      </c>
      <c r="GV119">
        <f ca="1"/>
      </c>
      <c r="GW119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C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R119">
        <f ca="1"/>
      </c>
      <c r="HS119">
        <f ca="1"/>
      </c>
      <c r="HT119">
        <f ca="1"/>
      </c>
      <c r="HU119">
        <f ca="1"/>
      </c>
      <c r="HV119">
        <f ca="1"/>
      </c>
      <c r="HW119">
        <f ca="1"/>
      </c>
      <c r="HX119">
        <f ca="1"/>
      </c>
      <c r="HY119">
        <f ca="1"/>
      </c>
      <c r="HZ119">
        <f ca="1"/>
      </c>
      <c r="IA119">
        <f ca="1"/>
      </c>
      <c r="IB119">
        <f ca="1"/>
      </c>
      <c r="IC119">
        <f ca="1"/>
      </c>
      <c r="ID119">
        <f ca="1"/>
      </c>
      <c r="IE119">
        <f ca="1"/>
      </c>
      <c r="IF119">
        <f ca="1"/>
      </c>
      <c r="IG119">
        <f ca="1"/>
      </c>
      <c r="IH119">
        <f ca="1"/>
      </c>
      <c r="II119">
        <f ca="1"/>
      </c>
      <c r="IJ119">
        <f ca="1"/>
      </c>
      <c r="IK119">
        <f ca="1"/>
      </c>
      <c r="IL119">
        <f ca="1"/>
      </c>
      <c r="IM119">
        <f ca="1"/>
      </c>
      <c r="IN119">
        <f ca="1"/>
      </c>
      <c r="IO119">
        <f ca="1"/>
      </c>
      <c r="IP119">
        <f ca="1"/>
      </c>
      <c r="IQ119">
        <f ca="1"/>
      </c>
      <c r="IR119">
        <f ca="1"/>
      </c>
      <c r="IS119">
        <f ca="1"/>
      </c>
      <c r="IT119">
        <f ca="1"/>
      </c>
      <c r="IU119">
        <f ca="1"/>
      </c>
      <c r="IV119">
        <f ca="1"/>
      </c>
      <c r="IW119">
        <f ca="1"/>
      </c>
      <c r="IX119">
        <f ca="1"/>
      </c>
      <c r="IY119">
        <f ca="1"/>
      </c>
      <c r="IZ119">
        <f ca="1"/>
      </c>
      <c r="JA119">
        <f ca="1"/>
      </c>
      <c r="JB119">
        <f ca="1"/>
      </c>
      <c r="LA119">
        <f ca="1"/>
      </c>
      <c r="LB119">
        <f ca="1"/>
      </c>
      <c r="LC119">
        <f ca="1"/>
      </c>
    </row>
    <row r="120" spans="58:315" x14ac:dyDescent="0.55000000000000004">
      <c r="BF120">
        <f ca="1"/>
      </c>
      <c r="BG120">
        <f ca="1"/>
      </c>
      <c r="BI120">
        <f ca="1"/>
      </c>
      <c r="BJ120" s="11">
        <f ca="1"/>
      </c>
      <c r="BK120" s="11">
        <f ca="1"/>
      </c>
      <c r="BL120" s="11">
        <f ca="1"/>
      </c>
      <c r="BM120" s="11">
        <f ca="1"/>
      </c>
      <c r="BN120" s="11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J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F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B120">
        <f ca="1"/>
      </c>
      <c r="GC120">
        <f ca="1"/>
      </c>
      <c r="GD120">
        <f ca="1"/>
      </c>
      <c r="GE120">
        <f ca="1"/>
      </c>
      <c r="GF120">
        <f ca="1"/>
      </c>
      <c r="GG120">
        <f ca="1"/>
      </c>
      <c r="GH120">
        <f ca="1"/>
      </c>
      <c r="GI120">
        <f ca="1"/>
      </c>
      <c r="GJ120">
        <f ca="1"/>
      </c>
      <c r="GK120">
        <f ca="1"/>
      </c>
      <c r="GL120">
        <f ca="1"/>
      </c>
      <c r="GM120">
        <f ca="1"/>
      </c>
      <c r="GN120">
        <f ca="1"/>
      </c>
      <c r="GO120">
        <f ca="1"/>
      </c>
      <c r="GP120">
        <f ca="1"/>
      </c>
      <c r="GQ120">
        <f ca="1"/>
      </c>
      <c r="GR120">
        <f ca="1"/>
      </c>
      <c r="GS120">
        <f ca="1"/>
      </c>
      <c r="GT120">
        <f ca="1"/>
      </c>
      <c r="GU120">
        <f ca="1"/>
      </c>
      <c r="GV120">
        <f ca="1"/>
      </c>
      <c r="GW120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C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R120">
        <f ca="1"/>
      </c>
      <c r="HS120">
        <f ca="1"/>
      </c>
      <c r="HT120">
        <f ca="1"/>
      </c>
      <c r="HU120">
        <f ca="1"/>
      </c>
      <c r="HV120">
        <f ca="1"/>
      </c>
      <c r="HW120">
        <f ca="1"/>
      </c>
      <c r="HX120">
        <f ca="1"/>
      </c>
      <c r="HY120">
        <f ca="1"/>
      </c>
      <c r="HZ120">
        <f ca="1"/>
      </c>
      <c r="IA120">
        <f ca="1"/>
      </c>
      <c r="IB120">
        <f ca="1"/>
      </c>
      <c r="IC120">
        <f ca="1"/>
      </c>
      <c r="ID120">
        <f ca="1"/>
      </c>
      <c r="IE120">
        <f ca="1"/>
      </c>
      <c r="IF120">
        <f ca="1"/>
      </c>
      <c r="IG120">
        <f ca="1"/>
      </c>
      <c r="IH120">
        <f ca="1"/>
      </c>
      <c r="II120">
        <f ca="1"/>
      </c>
      <c r="IJ120">
        <f ca="1"/>
      </c>
      <c r="IK120">
        <f ca="1"/>
      </c>
      <c r="IL120">
        <f ca="1"/>
      </c>
      <c r="IM120">
        <f ca="1"/>
      </c>
      <c r="IN120">
        <f ca="1"/>
      </c>
      <c r="IO120">
        <f ca="1"/>
      </c>
      <c r="IP120">
        <f ca="1"/>
      </c>
      <c r="IQ120">
        <f ca="1"/>
      </c>
      <c r="IR120">
        <f ca="1"/>
      </c>
      <c r="IS120">
        <f ca="1"/>
      </c>
      <c r="IT120">
        <f ca="1"/>
      </c>
      <c r="IU120">
        <f ca="1"/>
      </c>
      <c r="IV120">
        <f ca="1"/>
      </c>
      <c r="IW120">
        <f ca="1"/>
      </c>
      <c r="IX120">
        <f ca="1"/>
      </c>
      <c r="IY120">
        <f ca="1"/>
      </c>
      <c r="IZ120">
        <f ca="1"/>
      </c>
      <c r="JA120">
        <f ca="1"/>
      </c>
      <c r="JB120">
        <f ca="1"/>
      </c>
      <c r="LA120">
        <f ca="1"/>
      </c>
      <c r="LB120">
        <f ca="1"/>
      </c>
      <c r="LC120">
        <f ca="1"/>
      </c>
    </row>
    <row r="121" spans="58:315" x14ac:dyDescent="0.55000000000000004">
      <c r="BF121">
        <f ca="1"/>
      </c>
      <c r="BG121">
        <f ca="1"/>
      </c>
      <c r="BI121">
        <f ca="1"/>
      </c>
      <c r="BJ121" s="11">
        <f ca="1"/>
      </c>
      <c r="BK121" s="11">
        <f ca="1"/>
      </c>
      <c r="BL121" s="11">
        <f ca="1"/>
      </c>
      <c r="BM121" s="11">
        <f ca="1"/>
      </c>
      <c r="BN121" s="1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J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F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B121">
        <f ca="1"/>
      </c>
      <c r="GC121">
        <f ca="1"/>
      </c>
      <c r="GD121">
        <f ca="1"/>
      </c>
      <c r="GE121">
        <f ca="1"/>
      </c>
      <c r="GF121">
        <f ca="1"/>
      </c>
      <c r="GG121">
        <f ca="1"/>
      </c>
      <c r="GH121">
        <f ca="1"/>
      </c>
      <c r="GI121">
        <f ca="1"/>
      </c>
      <c r="GJ121">
        <f ca="1"/>
      </c>
      <c r="GK121">
        <f ca="1"/>
      </c>
      <c r="GL121">
        <f ca="1"/>
      </c>
      <c r="GM121">
        <f ca="1"/>
      </c>
      <c r="GN121">
        <f ca="1"/>
      </c>
      <c r="GO121">
        <f ca="1"/>
      </c>
      <c r="GP121">
        <f ca="1"/>
      </c>
      <c r="GQ121">
        <f ca="1"/>
      </c>
      <c r="GR121">
        <f ca="1"/>
      </c>
      <c r="GS121">
        <f ca="1"/>
      </c>
      <c r="GT121">
        <f ca="1"/>
      </c>
      <c r="GU121">
        <f ca="1"/>
      </c>
      <c r="GV121">
        <f ca="1"/>
      </c>
      <c r="GW12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C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R121">
        <f ca="1"/>
      </c>
      <c r="HS121">
        <f ca="1"/>
      </c>
      <c r="HT121">
        <f ca="1"/>
      </c>
      <c r="HU121">
        <f ca="1"/>
      </c>
      <c r="HV121">
        <f ca="1"/>
      </c>
      <c r="HW121">
        <f ca="1"/>
      </c>
      <c r="HX121">
        <f ca="1"/>
      </c>
      <c r="HY121">
        <f ca="1"/>
      </c>
      <c r="HZ121">
        <f ca="1"/>
      </c>
      <c r="IA121">
        <f ca="1"/>
      </c>
      <c r="IB121">
        <f ca="1"/>
      </c>
      <c r="IC121">
        <f ca="1"/>
      </c>
      <c r="ID121">
        <f ca="1"/>
      </c>
      <c r="IE121">
        <f ca="1"/>
      </c>
      <c r="IF121">
        <f ca="1"/>
      </c>
      <c r="IG121">
        <f ca="1"/>
      </c>
      <c r="IH121">
        <f ca="1"/>
      </c>
      <c r="II121">
        <f ca="1"/>
      </c>
      <c r="IJ121">
        <f ca="1"/>
      </c>
      <c r="IK121">
        <f ca="1"/>
      </c>
      <c r="IL121">
        <f ca="1"/>
      </c>
      <c r="IM121">
        <f ca="1"/>
      </c>
      <c r="IN121">
        <f ca="1"/>
      </c>
      <c r="IO121">
        <f ca="1"/>
      </c>
      <c r="IP121">
        <f ca="1"/>
      </c>
      <c r="IQ121">
        <f ca="1"/>
      </c>
      <c r="IR121">
        <f ca="1"/>
      </c>
      <c r="IS121">
        <f ca="1"/>
      </c>
      <c r="IT121">
        <f ca="1"/>
      </c>
      <c r="IU121">
        <f ca="1"/>
      </c>
      <c r="IV121">
        <f ca="1"/>
      </c>
      <c r="IW121">
        <f ca="1"/>
      </c>
      <c r="IX121">
        <f ca="1"/>
      </c>
      <c r="IY121">
        <f ca="1"/>
      </c>
      <c r="IZ121">
        <f ca="1"/>
      </c>
      <c r="JA121">
        <f ca="1"/>
      </c>
      <c r="JB121">
        <f ca="1"/>
      </c>
      <c r="LA121">
        <f ca="1"/>
      </c>
      <c r="LB121">
        <f ca="1"/>
      </c>
      <c r="LC121">
        <f ca="1"/>
      </c>
    </row>
    <row r="122" spans="58:315" x14ac:dyDescent="0.55000000000000004">
      <c r="BF122">
        <f ca="1"/>
      </c>
      <c r="BG122">
        <f ca="1"/>
      </c>
      <c r="BI122">
        <f ca="1"/>
      </c>
      <c r="BJ122" s="11">
        <f ca="1"/>
      </c>
      <c r="BK122" s="11">
        <f ca="1"/>
      </c>
      <c r="BL122" s="11">
        <f ca="1"/>
      </c>
      <c r="BM122" s="11">
        <f ca="1"/>
      </c>
      <c r="BN122" s="11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J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F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B122">
        <f ca="1"/>
      </c>
      <c r="GC122">
        <f ca="1"/>
      </c>
      <c r="GD122">
        <f ca="1"/>
      </c>
      <c r="GE122">
        <f ca="1"/>
      </c>
      <c r="GF122">
        <f ca="1"/>
      </c>
      <c r="GG122">
        <f ca="1"/>
      </c>
      <c r="GH122">
        <f ca="1"/>
      </c>
      <c r="GI122">
        <f ca="1"/>
      </c>
      <c r="GJ122">
        <f ca="1"/>
      </c>
      <c r="GK122">
        <f ca="1"/>
      </c>
      <c r="GL122">
        <f ca="1"/>
      </c>
      <c r="GM122">
        <f ca="1"/>
      </c>
      <c r="GN122">
        <f ca="1"/>
      </c>
      <c r="GO122">
        <f ca="1"/>
      </c>
      <c r="GP122">
        <f ca="1"/>
      </c>
      <c r="GQ122">
        <f ca="1"/>
      </c>
      <c r="GR122">
        <f ca="1"/>
      </c>
      <c r="GS122">
        <f ca="1"/>
      </c>
      <c r="GT122">
        <f ca="1"/>
      </c>
      <c r="GU122">
        <f ca="1"/>
      </c>
      <c r="GV122">
        <f ca="1"/>
      </c>
      <c r="GW122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C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R122">
        <f ca="1"/>
      </c>
      <c r="HS122">
        <f ca="1"/>
      </c>
      <c r="HT122">
        <f ca="1"/>
      </c>
      <c r="HU122">
        <f ca="1"/>
      </c>
      <c r="HV122">
        <f ca="1"/>
      </c>
      <c r="HW122">
        <f ca="1"/>
      </c>
      <c r="HX122">
        <f ca="1"/>
      </c>
      <c r="HY122">
        <f ca="1"/>
      </c>
      <c r="HZ122">
        <f ca="1"/>
      </c>
      <c r="IA122">
        <f ca="1"/>
      </c>
      <c r="IB122">
        <f ca="1"/>
      </c>
      <c r="IC122">
        <f ca="1"/>
      </c>
      <c r="ID122">
        <f ca="1"/>
      </c>
      <c r="IE122">
        <f ca="1"/>
      </c>
      <c r="IF122">
        <f ca="1"/>
      </c>
      <c r="IG122">
        <f ca="1"/>
      </c>
      <c r="IH122">
        <f ca="1"/>
      </c>
      <c r="II122">
        <f ca="1"/>
      </c>
      <c r="IJ122">
        <f ca="1"/>
      </c>
      <c r="IK122">
        <f ca="1"/>
      </c>
      <c r="IL122">
        <f ca="1"/>
      </c>
      <c r="IM122">
        <f ca="1"/>
      </c>
      <c r="IN122">
        <f ca="1"/>
      </c>
      <c r="IO122">
        <f ca="1"/>
      </c>
      <c r="IP122">
        <f ca="1"/>
      </c>
      <c r="IQ122">
        <f ca="1"/>
      </c>
      <c r="IR122">
        <f ca="1"/>
      </c>
      <c r="IS122">
        <f ca="1"/>
      </c>
      <c r="IT122">
        <f ca="1"/>
      </c>
      <c r="IU122">
        <f ca="1"/>
      </c>
      <c r="IV122">
        <f ca="1"/>
      </c>
      <c r="IW122">
        <f ca="1"/>
      </c>
      <c r="IX122">
        <f ca="1"/>
      </c>
      <c r="IY122">
        <f ca="1"/>
      </c>
      <c r="IZ122">
        <f ca="1"/>
      </c>
      <c r="JA122">
        <f ca="1"/>
      </c>
      <c r="JB122">
        <f ca="1"/>
      </c>
      <c r="LA122">
        <f ca="1"/>
      </c>
      <c r="LB122">
        <f ca="1"/>
      </c>
      <c r="LC122">
        <f ca="1"/>
      </c>
    </row>
    <row r="123" spans="58:315" x14ac:dyDescent="0.55000000000000004">
      <c r="BF123">
        <f ca="1"/>
      </c>
      <c r="BG123">
        <f ca="1"/>
      </c>
      <c r="BI123">
        <f ca="1"/>
      </c>
      <c r="BJ123" s="11">
        <f ca="1"/>
      </c>
      <c r="BK123" s="11">
        <f ca="1"/>
      </c>
      <c r="BL123" s="11">
        <f ca="1"/>
      </c>
      <c r="BM123" s="11">
        <f ca="1"/>
      </c>
      <c r="BN123" s="11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J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F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B123">
        <f ca="1"/>
      </c>
      <c r="GC123">
        <f ca="1"/>
      </c>
      <c r="GD123">
        <f ca="1"/>
      </c>
      <c r="GE123">
        <f ca="1"/>
      </c>
      <c r="GF123">
        <f ca="1"/>
      </c>
      <c r="GG123">
        <f ca="1"/>
      </c>
      <c r="GH123">
        <f ca="1"/>
      </c>
      <c r="GI123">
        <f ca="1"/>
      </c>
      <c r="GJ123">
        <f ca="1"/>
      </c>
      <c r="GK123">
        <f ca="1"/>
      </c>
      <c r="GL123">
        <f ca="1"/>
      </c>
      <c r="GM123">
        <f ca="1"/>
      </c>
      <c r="GN123">
        <f ca="1"/>
      </c>
      <c r="GO123">
        <f ca="1"/>
      </c>
      <c r="GP123">
        <f ca="1"/>
      </c>
      <c r="GQ123">
        <f ca="1"/>
      </c>
      <c r="GR123">
        <f ca="1"/>
      </c>
      <c r="GS123">
        <f ca="1"/>
      </c>
      <c r="GT123">
        <f ca="1"/>
      </c>
      <c r="GU123">
        <f ca="1"/>
      </c>
      <c r="GV123">
        <f ca="1"/>
      </c>
      <c r="GW123">
        <f ca="1"/>
      </c>
      <c r="GX123">
        <f ca="1"/>
      </c>
      <c r="GY123">
        <f ca="1"/>
      </c>
      <c r="GZ123">
        <f ca="1"/>
      </c>
      <c r="HA123">
        <f ca="1"/>
      </c>
      <c r="HB123">
        <f ca="1"/>
      </c>
      <c r="HC123">
        <f ca="1"/>
      </c>
      <c r="HD123">
        <f ca="1"/>
      </c>
      <c r="HE123">
        <f ca="1"/>
      </c>
      <c r="HF123">
        <f ca="1"/>
      </c>
      <c r="HG123">
        <f ca="1"/>
      </c>
      <c r="HH123">
        <f ca="1"/>
      </c>
      <c r="HI123">
        <f ca="1"/>
      </c>
      <c r="HJ123">
        <f ca="1"/>
      </c>
      <c r="HK123">
        <f ca="1"/>
      </c>
      <c r="HL123">
        <f ca="1"/>
      </c>
      <c r="HM123">
        <f ca="1"/>
      </c>
      <c r="HN123">
        <f ca="1"/>
      </c>
      <c r="HO123">
        <f ca="1"/>
      </c>
      <c r="HP123">
        <f ca="1"/>
      </c>
      <c r="HQ123">
        <f ca="1"/>
      </c>
      <c r="HR123">
        <f ca="1"/>
      </c>
      <c r="HS123">
        <f ca="1"/>
      </c>
      <c r="HT123">
        <f ca="1"/>
      </c>
      <c r="HU123">
        <f ca="1"/>
      </c>
      <c r="HV123">
        <f ca="1"/>
      </c>
      <c r="HW123">
        <f ca="1"/>
      </c>
      <c r="HX123">
        <f ca="1"/>
      </c>
      <c r="HY123">
        <f ca="1"/>
      </c>
      <c r="HZ123">
        <f ca="1"/>
      </c>
      <c r="IA123">
        <f ca="1"/>
      </c>
      <c r="IB123">
        <f ca="1"/>
      </c>
      <c r="IC123">
        <f ca="1"/>
      </c>
      <c r="ID123">
        <f ca="1"/>
      </c>
      <c r="IE123">
        <f ca="1"/>
      </c>
      <c r="IF123">
        <f ca="1"/>
      </c>
      <c r="IG123">
        <f ca="1"/>
      </c>
      <c r="IH123">
        <f ca="1"/>
      </c>
      <c r="II123">
        <f ca="1"/>
      </c>
      <c r="IJ123">
        <f ca="1"/>
      </c>
      <c r="IK123">
        <f ca="1"/>
      </c>
      <c r="IL123">
        <f ca="1"/>
      </c>
      <c r="IM123">
        <f ca="1"/>
      </c>
      <c r="IN123">
        <f ca="1"/>
      </c>
      <c r="IO123">
        <f ca="1"/>
      </c>
      <c r="IP123">
        <f ca="1"/>
      </c>
      <c r="IQ123">
        <f ca="1"/>
      </c>
      <c r="IR123">
        <f ca="1"/>
      </c>
      <c r="IS123">
        <f ca="1"/>
      </c>
      <c r="IT123">
        <f ca="1"/>
      </c>
      <c r="IU123">
        <f ca="1"/>
      </c>
      <c r="IV123">
        <f ca="1"/>
      </c>
      <c r="IW123">
        <f ca="1"/>
      </c>
      <c r="IX123">
        <f ca="1"/>
      </c>
      <c r="IY123">
        <f ca="1"/>
      </c>
      <c r="IZ123">
        <f ca="1"/>
      </c>
      <c r="JA123">
        <f ca="1"/>
      </c>
      <c r="JB123">
        <f ca="1"/>
      </c>
      <c r="LA123">
        <f ca="1"/>
      </c>
      <c r="LB123">
        <f ca="1"/>
      </c>
      <c r="LC123">
        <f ca="1"/>
      </c>
    </row>
    <row r="124" spans="58:315" x14ac:dyDescent="0.55000000000000004">
      <c r="BF124">
        <f ca="1"/>
      </c>
      <c r="BG124">
        <f ca="1"/>
      </c>
      <c r="BI124">
        <f ca="1"/>
      </c>
      <c r="BJ124" s="11">
        <f ca="1"/>
      </c>
      <c r="BK124" s="11">
        <f ca="1"/>
      </c>
      <c r="BL124" s="11">
        <f ca="1"/>
      </c>
      <c r="BM124" s="11">
        <f ca="1"/>
      </c>
      <c r="BN124" s="11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J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F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B124">
        <f ca="1"/>
      </c>
      <c r="GC124">
        <f ca="1"/>
      </c>
      <c r="GD124">
        <f ca="1"/>
      </c>
      <c r="GE124">
        <f ca="1"/>
      </c>
      <c r="GF124">
        <f ca="1"/>
      </c>
      <c r="GG124">
        <f ca="1"/>
      </c>
      <c r="GH124">
        <f ca="1"/>
      </c>
      <c r="GI124">
        <f ca="1"/>
      </c>
      <c r="GJ124">
        <f ca="1"/>
      </c>
      <c r="GK124">
        <f ca="1"/>
      </c>
      <c r="GL124">
        <f ca="1"/>
      </c>
      <c r="GM124">
        <f ca="1"/>
      </c>
      <c r="GN124">
        <f ca="1"/>
      </c>
      <c r="GO124">
        <f ca="1"/>
      </c>
      <c r="GP124">
        <f ca="1"/>
      </c>
      <c r="GQ124">
        <f ca="1"/>
      </c>
      <c r="GR124">
        <f ca="1"/>
      </c>
      <c r="GS124">
        <f ca="1"/>
      </c>
      <c r="GT124">
        <f ca="1"/>
      </c>
      <c r="GU124">
        <f ca="1"/>
      </c>
      <c r="GV124">
        <f ca="1"/>
      </c>
      <c r="GW124">
        <f ca="1"/>
      </c>
      <c r="GX124">
        <f ca="1"/>
      </c>
      <c r="GY124">
        <f ca="1"/>
      </c>
      <c r="GZ124">
        <f ca="1"/>
      </c>
      <c r="HA124">
        <f ca="1"/>
      </c>
      <c r="HB124">
        <f ca="1"/>
      </c>
      <c r="HC124">
        <f ca="1"/>
      </c>
      <c r="HD124">
        <f ca="1"/>
      </c>
      <c r="HE124">
        <f ca="1"/>
      </c>
      <c r="HF124">
        <f ca="1"/>
      </c>
      <c r="HG124">
        <f ca="1"/>
      </c>
      <c r="HH124">
        <f ca="1"/>
      </c>
      <c r="HI124">
        <f ca="1"/>
      </c>
      <c r="HJ124">
        <f ca="1"/>
      </c>
      <c r="HK124">
        <f ca="1"/>
      </c>
      <c r="HL124">
        <f ca="1"/>
      </c>
      <c r="HM124">
        <f ca="1"/>
      </c>
      <c r="HN124">
        <f ca="1"/>
      </c>
      <c r="HO124">
        <f ca="1"/>
      </c>
      <c r="HP124">
        <f ca="1"/>
      </c>
      <c r="HQ124">
        <f ca="1"/>
      </c>
      <c r="HR124">
        <f ca="1"/>
      </c>
      <c r="HS124">
        <f ca="1"/>
      </c>
      <c r="HT124">
        <f ca="1"/>
      </c>
      <c r="HU124">
        <f ca="1"/>
      </c>
      <c r="HV124">
        <f ca="1"/>
      </c>
      <c r="HW124">
        <f ca="1"/>
      </c>
      <c r="HX124">
        <f ca="1"/>
      </c>
      <c r="HY124">
        <f ca="1"/>
      </c>
      <c r="HZ124">
        <f ca="1"/>
      </c>
      <c r="IA124">
        <f ca="1"/>
      </c>
      <c r="IB124">
        <f ca="1"/>
      </c>
      <c r="IC124">
        <f ca="1"/>
      </c>
      <c r="ID124">
        <f ca="1"/>
      </c>
      <c r="IE124">
        <f ca="1"/>
      </c>
      <c r="IF124">
        <f ca="1"/>
      </c>
      <c r="IG124">
        <f ca="1"/>
      </c>
      <c r="IH124">
        <f ca="1"/>
      </c>
      <c r="II124">
        <f ca="1"/>
      </c>
      <c r="IJ124">
        <f ca="1"/>
      </c>
      <c r="IK124">
        <f ca="1"/>
      </c>
      <c r="IL124">
        <f ca="1"/>
      </c>
      <c r="IM124">
        <f ca="1"/>
      </c>
      <c r="IN124">
        <f ca="1"/>
      </c>
      <c r="IO124">
        <f ca="1"/>
      </c>
      <c r="IP124">
        <f ca="1"/>
      </c>
      <c r="IQ124">
        <f ca="1"/>
      </c>
      <c r="IR124">
        <f ca="1"/>
      </c>
      <c r="IS124">
        <f ca="1"/>
      </c>
      <c r="IT124">
        <f ca="1"/>
      </c>
      <c r="IU124">
        <f ca="1"/>
      </c>
      <c r="IV124">
        <f ca="1"/>
      </c>
      <c r="IW124">
        <f ca="1"/>
      </c>
      <c r="IX124">
        <f ca="1"/>
      </c>
      <c r="IY124">
        <f ca="1"/>
      </c>
      <c r="IZ124">
        <f ca="1"/>
      </c>
      <c r="JA124">
        <f ca="1"/>
      </c>
      <c r="JB124">
        <f ca="1"/>
      </c>
      <c r="LA124">
        <f ca="1"/>
      </c>
      <c r="LB124">
        <f ca="1"/>
      </c>
      <c r="LC124">
        <f ca="1"/>
      </c>
    </row>
    <row r="125" spans="58:315" x14ac:dyDescent="0.55000000000000004">
      <c r="BF125">
        <f ca="1"/>
      </c>
      <c r="BG125">
        <f ca="1"/>
      </c>
      <c r="BI125">
        <f ca="1"/>
      </c>
      <c r="BJ125" s="11">
        <f ca="1"/>
      </c>
      <c r="BK125" s="11">
        <f ca="1"/>
      </c>
      <c r="BL125" s="11">
        <f ca="1"/>
      </c>
      <c r="BM125" s="11">
        <f ca="1"/>
      </c>
      <c r="BN125" s="11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J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F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B125">
        <f ca="1"/>
      </c>
      <c r="GC125">
        <f ca="1"/>
      </c>
      <c r="GD125">
        <f ca="1"/>
      </c>
      <c r="GE125">
        <f ca="1"/>
      </c>
      <c r="GF125">
        <f ca="1"/>
      </c>
      <c r="GG125">
        <f ca="1"/>
      </c>
      <c r="GH125">
        <f ca="1"/>
      </c>
      <c r="GI125">
        <f ca="1"/>
      </c>
      <c r="GJ125">
        <f ca="1"/>
      </c>
      <c r="GK125">
        <f ca="1"/>
      </c>
      <c r="GL125">
        <f ca="1"/>
      </c>
      <c r="GM125">
        <f ca="1"/>
      </c>
      <c r="GN125">
        <f ca="1"/>
      </c>
      <c r="GO125">
        <f ca="1"/>
      </c>
      <c r="GP125">
        <f ca="1"/>
      </c>
      <c r="GQ125">
        <f ca="1"/>
      </c>
      <c r="GR125">
        <f ca="1"/>
      </c>
      <c r="GS125">
        <f ca="1"/>
      </c>
      <c r="GT125">
        <f ca="1"/>
      </c>
      <c r="GU125">
        <f ca="1"/>
      </c>
      <c r="GV125">
        <f ca="1"/>
      </c>
      <c r="GW125">
        <f ca="1"/>
      </c>
      <c r="GX125">
        <f ca="1"/>
      </c>
      <c r="GY125">
        <f ca="1"/>
      </c>
      <c r="GZ125">
        <f ca="1"/>
      </c>
      <c r="HA125">
        <f ca="1"/>
      </c>
      <c r="HB125">
        <f ca="1"/>
      </c>
      <c r="HC125">
        <f ca="1"/>
      </c>
      <c r="HD125">
        <f ca="1"/>
      </c>
      <c r="HE125">
        <f ca="1"/>
      </c>
      <c r="HF125">
        <f ca="1"/>
      </c>
      <c r="HG125">
        <f ca="1"/>
      </c>
      <c r="HH125">
        <f ca="1"/>
      </c>
      <c r="HI125">
        <f ca="1"/>
      </c>
      <c r="HJ125">
        <f ca="1"/>
      </c>
      <c r="HK125">
        <f ca="1"/>
      </c>
      <c r="HL125">
        <f ca="1"/>
      </c>
      <c r="HM125">
        <f ca="1"/>
      </c>
      <c r="HN125">
        <f ca="1"/>
      </c>
      <c r="HO125">
        <f ca="1"/>
      </c>
      <c r="HP125">
        <f ca="1"/>
      </c>
      <c r="HQ125">
        <f ca="1"/>
      </c>
      <c r="HR125">
        <f ca="1"/>
      </c>
      <c r="HS125">
        <f ca="1"/>
      </c>
      <c r="HT125">
        <f ca="1"/>
      </c>
      <c r="HU125">
        <f ca="1"/>
      </c>
      <c r="HV125">
        <f ca="1"/>
      </c>
      <c r="HW125">
        <f ca="1"/>
      </c>
      <c r="HX125">
        <f ca="1"/>
      </c>
      <c r="HY125">
        <f ca="1"/>
      </c>
      <c r="HZ125">
        <f ca="1"/>
      </c>
      <c r="IA125">
        <f ca="1"/>
      </c>
      <c r="IB125">
        <f ca="1"/>
      </c>
      <c r="IC125">
        <f ca="1"/>
      </c>
      <c r="ID125">
        <f ca="1"/>
      </c>
      <c r="IE125">
        <f ca="1"/>
      </c>
      <c r="IF125">
        <f ca="1"/>
      </c>
      <c r="IG125">
        <f ca="1"/>
      </c>
      <c r="IH125">
        <f ca="1"/>
      </c>
      <c r="II125">
        <f ca="1"/>
      </c>
      <c r="IJ125">
        <f ca="1"/>
      </c>
      <c r="IK125">
        <f ca="1"/>
      </c>
      <c r="IL125">
        <f ca="1"/>
      </c>
      <c r="IM125">
        <f ca="1"/>
      </c>
      <c r="IN125">
        <f ca="1"/>
      </c>
      <c r="IO125">
        <f ca="1"/>
      </c>
      <c r="IP125">
        <f ca="1"/>
      </c>
      <c r="IQ125">
        <f ca="1"/>
      </c>
      <c r="IR125">
        <f ca="1"/>
      </c>
      <c r="IS125">
        <f ca="1"/>
      </c>
      <c r="IT125">
        <f ca="1"/>
      </c>
      <c r="IU125">
        <f ca="1"/>
      </c>
      <c r="IV125">
        <f ca="1"/>
      </c>
      <c r="IW125">
        <f ca="1"/>
      </c>
      <c r="IX125">
        <f ca="1"/>
      </c>
      <c r="IY125">
        <f ca="1"/>
      </c>
      <c r="IZ125">
        <f ca="1"/>
      </c>
      <c r="JA125">
        <f ca="1"/>
      </c>
      <c r="JB125">
        <f ca="1"/>
      </c>
      <c r="LA125">
        <f ca="1"/>
      </c>
      <c r="LB125">
        <f ca="1"/>
      </c>
      <c r="LC125">
        <f ca="1"/>
      </c>
    </row>
    <row r="126" spans="58:315" x14ac:dyDescent="0.55000000000000004">
      <c r="BF126">
        <f ca="1"/>
      </c>
      <c r="BG126">
        <f ca="1"/>
      </c>
      <c r="BI126">
        <f ca="1"/>
      </c>
      <c r="BJ126" s="11">
        <f ca="1"/>
      </c>
      <c r="BK126" s="11">
        <f ca="1"/>
      </c>
      <c r="BL126" s="11">
        <f ca="1"/>
      </c>
      <c r="BM126" s="11">
        <f ca="1"/>
      </c>
      <c r="BN126" s="11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J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F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B126">
        <f ca="1"/>
      </c>
      <c r="GC126">
        <f ca="1"/>
      </c>
      <c r="GD126">
        <f ca="1"/>
      </c>
      <c r="GE126">
        <f ca="1"/>
      </c>
      <c r="GF126">
        <f ca="1"/>
      </c>
      <c r="GG126">
        <f ca="1"/>
      </c>
      <c r="GH126">
        <f ca="1"/>
      </c>
      <c r="GI126">
        <f ca="1"/>
      </c>
      <c r="GJ126">
        <f ca="1"/>
      </c>
      <c r="GK126">
        <f ca="1"/>
      </c>
      <c r="GL126">
        <f ca="1"/>
      </c>
      <c r="GM126">
        <f ca="1"/>
      </c>
      <c r="GN126">
        <f ca="1"/>
      </c>
      <c r="GO126">
        <f ca="1"/>
      </c>
      <c r="GP126">
        <f ca="1"/>
      </c>
      <c r="GQ126">
        <f ca="1"/>
      </c>
      <c r="GR126">
        <f ca="1"/>
      </c>
      <c r="GS126">
        <f ca="1"/>
      </c>
      <c r="GT126">
        <f ca="1"/>
      </c>
      <c r="GU126">
        <f ca="1"/>
      </c>
      <c r="GV126">
        <f ca="1"/>
      </c>
      <c r="GW126">
        <f ca="1"/>
      </c>
      <c r="GX126">
        <f ca="1"/>
      </c>
      <c r="GY126">
        <f ca="1"/>
      </c>
      <c r="GZ126">
        <f ca="1"/>
      </c>
      <c r="HA126">
        <f ca="1"/>
      </c>
      <c r="HB126">
        <f ca="1"/>
      </c>
      <c r="HC126">
        <f ca="1"/>
      </c>
      <c r="HD126">
        <f ca="1"/>
      </c>
      <c r="HE126">
        <f ca="1"/>
      </c>
      <c r="HF126">
        <f ca="1"/>
      </c>
      <c r="HG126">
        <f ca="1"/>
      </c>
      <c r="HH126">
        <f ca="1"/>
      </c>
      <c r="HI126">
        <f ca="1"/>
      </c>
      <c r="HJ126">
        <f ca="1"/>
      </c>
      <c r="HK126">
        <f ca="1"/>
      </c>
      <c r="HL126">
        <f ca="1"/>
      </c>
      <c r="HM126">
        <f ca="1"/>
      </c>
      <c r="HN126">
        <f ca="1"/>
      </c>
      <c r="HO126">
        <f ca="1"/>
      </c>
      <c r="HP126">
        <f ca="1"/>
      </c>
      <c r="HQ126">
        <f ca="1"/>
      </c>
      <c r="HR126">
        <f ca="1"/>
      </c>
      <c r="HS126">
        <f ca="1"/>
      </c>
      <c r="HT126">
        <f ca="1"/>
      </c>
      <c r="HU126">
        <f ca="1"/>
      </c>
      <c r="HV126">
        <f ca="1"/>
      </c>
      <c r="HW126">
        <f ca="1"/>
      </c>
      <c r="HX126">
        <f ca="1"/>
      </c>
      <c r="HY126">
        <f ca="1"/>
      </c>
      <c r="HZ126">
        <f ca="1"/>
      </c>
      <c r="IA126">
        <f ca="1"/>
      </c>
      <c r="IB126">
        <f ca="1"/>
      </c>
      <c r="IC126">
        <f ca="1"/>
      </c>
      <c r="ID126">
        <f ca="1"/>
      </c>
      <c r="IE126">
        <f ca="1"/>
      </c>
      <c r="IF126">
        <f ca="1"/>
      </c>
      <c r="IG126">
        <f ca="1"/>
      </c>
      <c r="IH126">
        <f ca="1"/>
      </c>
      <c r="II126">
        <f ca="1"/>
      </c>
      <c r="IJ126">
        <f ca="1"/>
      </c>
      <c r="IK126">
        <f ca="1"/>
      </c>
      <c r="IL126">
        <f ca="1"/>
      </c>
      <c r="IM126">
        <f ca="1"/>
      </c>
      <c r="IN126">
        <f ca="1"/>
      </c>
      <c r="IO126">
        <f ca="1"/>
      </c>
      <c r="IP126">
        <f ca="1"/>
      </c>
      <c r="IQ126">
        <f ca="1"/>
      </c>
      <c r="IR126">
        <f ca="1"/>
      </c>
      <c r="IS126">
        <f ca="1"/>
      </c>
      <c r="IT126">
        <f ca="1"/>
      </c>
      <c r="IU126">
        <f ca="1"/>
      </c>
      <c r="IV126">
        <f ca="1"/>
      </c>
      <c r="IW126">
        <f ca="1"/>
      </c>
      <c r="IX126">
        <f ca="1"/>
      </c>
      <c r="IY126">
        <f ca="1"/>
      </c>
      <c r="IZ126">
        <f ca="1"/>
      </c>
      <c r="JA126">
        <f ca="1"/>
      </c>
      <c r="JB126">
        <f ca="1"/>
      </c>
      <c r="LA126">
        <f ca="1"/>
      </c>
      <c r="LB126">
        <f ca="1"/>
      </c>
      <c r="LC126">
        <f ca="1"/>
      </c>
    </row>
    <row r="127" spans="58:315" x14ac:dyDescent="0.55000000000000004">
      <c r="BF127">
        <f ca="1"/>
      </c>
      <c r="BG127">
        <f ca="1"/>
      </c>
      <c r="BI127">
        <f ca="1"/>
      </c>
      <c r="BJ127" s="11">
        <f ca="1"/>
      </c>
      <c r="BK127" s="11">
        <f ca="1"/>
      </c>
      <c r="BL127" s="11">
        <f ca="1"/>
      </c>
      <c r="BM127" s="11">
        <f ca="1"/>
      </c>
      <c r="BN127" s="11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J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F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B127">
        <f ca="1"/>
      </c>
      <c r="GC127">
        <f ca="1"/>
      </c>
      <c r="GD127">
        <f ca="1"/>
      </c>
      <c r="GE127">
        <f ca="1"/>
      </c>
      <c r="GF127">
        <f ca="1"/>
      </c>
      <c r="GG127">
        <f ca="1"/>
      </c>
      <c r="GH127">
        <f ca="1"/>
      </c>
      <c r="GI127">
        <f ca="1"/>
      </c>
      <c r="GJ127">
        <f ca="1"/>
      </c>
      <c r="GK127">
        <f ca="1"/>
      </c>
      <c r="GL127">
        <f ca="1"/>
      </c>
      <c r="GM127">
        <f ca="1"/>
      </c>
      <c r="GN127">
        <f ca="1"/>
      </c>
      <c r="GO127">
        <f ca="1"/>
      </c>
      <c r="GP127">
        <f ca="1"/>
      </c>
      <c r="GQ127">
        <f ca="1"/>
      </c>
      <c r="GR127">
        <f ca="1"/>
      </c>
      <c r="GS127">
        <f ca="1"/>
      </c>
      <c r="GT127">
        <f ca="1"/>
      </c>
      <c r="GU127">
        <f ca="1"/>
      </c>
      <c r="GV127">
        <f ca="1"/>
      </c>
      <c r="GW127">
        <f ca="1"/>
      </c>
      <c r="GX127">
        <f ca="1"/>
      </c>
      <c r="GY127">
        <f ca="1"/>
      </c>
      <c r="GZ127">
        <f ca="1"/>
      </c>
      <c r="HA127">
        <f ca="1"/>
      </c>
      <c r="HB127">
        <f ca="1"/>
      </c>
      <c r="HC127">
        <f ca="1"/>
      </c>
      <c r="HD127">
        <f ca="1"/>
      </c>
      <c r="HE127">
        <f ca="1"/>
      </c>
      <c r="HF127">
        <f ca="1"/>
      </c>
      <c r="HG127">
        <f ca="1"/>
      </c>
      <c r="HH127">
        <f ca="1"/>
      </c>
      <c r="HI127">
        <f ca="1"/>
      </c>
      <c r="HJ127">
        <f ca="1"/>
      </c>
      <c r="HK127">
        <f ca="1"/>
      </c>
      <c r="HL127">
        <f ca="1"/>
      </c>
      <c r="HM127">
        <f ca="1"/>
      </c>
      <c r="HN127">
        <f ca="1"/>
      </c>
      <c r="HO127">
        <f ca="1"/>
      </c>
      <c r="HP127">
        <f ca="1"/>
      </c>
      <c r="HQ127">
        <f ca="1"/>
      </c>
      <c r="HR127">
        <f ca="1"/>
      </c>
      <c r="HS127">
        <f ca="1"/>
      </c>
      <c r="HT127">
        <f ca="1"/>
      </c>
      <c r="HU127">
        <f ca="1"/>
      </c>
      <c r="HV127">
        <f ca="1"/>
      </c>
      <c r="HW127">
        <f ca="1"/>
      </c>
      <c r="HX127">
        <f ca="1"/>
      </c>
      <c r="HY127">
        <f ca="1"/>
      </c>
      <c r="HZ127">
        <f ca="1"/>
      </c>
      <c r="IA127">
        <f ca="1"/>
      </c>
      <c r="IB127">
        <f ca="1"/>
      </c>
      <c r="IC127">
        <f ca="1"/>
      </c>
      <c r="ID127">
        <f ca="1"/>
      </c>
      <c r="IE127">
        <f ca="1"/>
      </c>
      <c r="IF127">
        <f ca="1"/>
      </c>
      <c r="IG127">
        <f ca="1"/>
      </c>
      <c r="IH127">
        <f ca="1"/>
      </c>
      <c r="II127">
        <f ca="1"/>
      </c>
      <c r="IJ127">
        <f ca="1"/>
      </c>
      <c r="IK127">
        <f ca="1"/>
      </c>
      <c r="IL127">
        <f ca="1"/>
      </c>
      <c r="IM127">
        <f ca="1"/>
      </c>
      <c r="IN127">
        <f ca="1"/>
      </c>
      <c r="IO127">
        <f ca="1"/>
      </c>
      <c r="IP127">
        <f ca="1"/>
      </c>
      <c r="IQ127">
        <f ca="1"/>
      </c>
      <c r="IR127">
        <f ca="1"/>
      </c>
      <c r="IS127">
        <f ca="1"/>
      </c>
      <c r="IT127">
        <f ca="1"/>
      </c>
      <c r="IU127">
        <f ca="1"/>
      </c>
      <c r="IV127">
        <f ca="1"/>
      </c>
      <c r="IW127">
        <f ca="1"/>
      </c>
      <c r="IX127">
        <f ca="1"/>
      </c>
      <c r="IY127">
        <f ca="1"/>
      </c>
      <c r="IZ127">
        <f ca="1"/>
      </c>
      <c r="JA127">
        <f ca="1"/>
      </c>
      <c r="JB127">
        <f ca="1"/>
      </c>
      <c r="LA127">
        <f ca="1"/>
      </c>
      <c r="LB127">
        <f ca="1"/>
      </c>
      <c r="LC127">
        <f ca="1"/>
      </c>
    </row>
    <row r="128" spans="58:315" x14ac:dyDescent="0.55000000000000004">
      <c r="BF128">
        <f ca="1"/>
      </c>
      <c r="BG128">
        <f ca="1"/>
      </c>
      <c r="BI128">
        <f ca="1"/>
      </c>
      <c r="BJ128" s="11">
        <f ca="1"/>
      </c>
      <c r="BK128" s="11">
        <f ca="1"/>
      </c>
      <c r="BL128" s="11">
        <f ca="1"/>
      </c>
      <c r="BM128" s="11">
        <f ca="1"/>
      </c>
      <c r="BN128" s="11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J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F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B128">
        <f ca="1"/>
      </c>
      <c r="GC128">
        <f ca="1"/>
      </c>
      <c r="GD128">
        <f ca="1"/>
      </c>
      <c r="GE128">
        <f ca="1"/>
      </c>
      <c r="GF128">
        <f ca="1"/>
      </c>
      <c r="GG128">
        <f ca="1"/>
      </c>
      <c r="GH128">
        <f ca="1"/>
      </c>
      <c r="GI128">
        <f ca="1"/>
      </c>
      <c r="GJ128">
        <f ca="1"/>
      </c>
      <c r="GK128">
        <f ca="1"/>
      </c>
      <c r="GL128">
        <f ca="1"/>
      </c>
      <c r="GM128">
        <f ca="1"/>
      </c>
      <c r="GN128">
        <f ca="1"/>
      </c>
      <c r="GO128">
        <f ca="1"/>
      </c>
      <c r="GP128">
        <f ca="1"/>
      </c>
      <c r="GQ128">
        <f ca="1"/>
      </c>
      <c r="GR128">
        <f ca="1"/>
      </c>
      <c r="GS128">
        <f ca="1"/>
      </c>
      <c r="GT128">
        <f ca="1"/>
      </c>
      <c r="GU128">
        <f ca="1"/>
      </c>
      <c r="GV128">
        <f ca="1"/>
      </c>
      <c r="GW128">
        <f ca="1"/>
      </c>
      <c r="GX128">
        <f ca="1"/>
      </c>
      <c r="GY128">
        <f ca="1"/>
      </c>
      <c r="GZ128">
        <f ca="1"/>
      </c>
      <c r="HA128">
        <f ca="1"/>
      </c>
      <c r="HB128">
        <f ca="1"/>
      </c>
      <c r="HC128">
        <f ca="1"/>
      </c>
      <c r="HD128">
        <f ca="1"/>
      </c>
      <c r="HE128">
        <f ca="1"/>
      </c>
      <c r="HF128">
        <f ca="1"/>
      </c>
      <c r="HG128">
        <f ca="1"/>
      </c>
      <c r="HH128">
        <f ca="1"/>
      </c>
      <c r="HI128">
        <f ca="1"/>
      </c>
      <c r="HJ128">
        <f ca="1"/>
      </c>
      <c r="HK128">
        <f ca="1"/>
      </c>
      <c r="HL128">
        <f ca="1"/>
      </c>
      <c r="HM128">
        <f ca="1"/>
      </c>
      <c r="HN128">
        <f ca="1"/>
      </c>
      <c r="HO128">
        <f ca="1"/>
      </c>
      <c r="HP128">
        <f ca="1"/>
      </c>
      <c r="HQ128">
        <f ca="1"/>
      </c>
      <c r="HR128">
        <f ca="1"/>
      </c>
      <c r="HS128">
        <f ca="1"/>
      </c>
      <c r="HT128">
        <f ca="1"/>
      </c>
      <c r="HU128">
        <f ca="1"/>
      </c>
      <c r="HV128">
        <f ca="1"/>
      </c>
      <c r="HW128">
        <f ca="1"/>
      </c>
      <c r="HX128">
        <f ca="1"/>
      </c>
      <c r="HY128">
        <f ca="1"/>
      </c>
      <c r="HZ128">
        <f ca="1"/>
      </c>
      <c r="IA128">
        <f ca="1"/>
      </c>
      <c r="IB128">
        <f ca="1"/>
      </c>
      <c r="IC128">
        <f ca="1"/>
      </c>
      <c r="ID128">
        <f ca="1"/>
      </c>
      <c r="IE128">
        <f ca="1"/>
      </c>
      <c r="IF128">
        <f ca="1"/>
      </c>
      <c r="IG128">
        <f ca="1"/>
      </c>
      <c r="IH128">
        <f ca="1"/>
      </c>
      <c r="II128">
        <f ca="1"/>
      </c>
      <c r="IJ128">
        <f ca="1"/>
      </c>
      <c r="IK128">
        <f ca="1"/>
      </c>
      <c r="IL128">
        <f ca="1"/>
      </c>
      <c r="IM128">
        <f ca="1"/>
      </c>
      <c r="IN128">
        <f ca="1"/>
      </c>
      <c r="IO128">
        <f ca="1"/>
      </c>
      <c r="IP128">
        <f ca="1"/>
      </c>
      <c r="IQ128">
        <f ca="1"/>
      </c>
      <c r="IR128">
        <f ca="1"/>
      </c>
      <c r="IS128">
        <f ca="1"/>
      </c>
      <c r="IT128">
        <f ca="1"/>
      </c>
      <c r="IU128">
        <f ca="1"/>
      </c>
      <c r="IV128">
        <f ca="1"/>
      </c>
      <c r="IW128">
        <f ca="1"/>
      </c>
      <c r="IX128">
        <f ca="1"/>
      </c>
      <c r="IY128">
        <f ca="1"/>
      </c>
      <c r="IZ128">
        <f ca="1"/>
      </c>
      <c r="JA128">
        <f ca="1"/>
      </c>
      <c r="JB128">
        <f ca="1"/>
      </c>
      <c r="LA128">
        <f ca="1"/>
      </c>
      <c r="LB128">
        <f ca="1"/>
      </c>
      <c r="LC128">
        <f ca="1"/>
      </c>
    </row>
    <row r="129" spans="58:315" x14ac:dyDescent="0.55000000000000004">
      <c r="BF129">
        <f ca="1"/>
      </c>
      <c r="BG129">
        <f ca="1"/>
      </c>
      <c r="BI129">
        <f ca="1"/>
      </c>
      <c r="BJ129" s="11">
        <f ca="1"/>
      </c>
      <c r="BK129" s="11">
        <f ca="1"/>
      </c>
      <c r="BL129" s="11">
        <f ca="1"/>
      </c>
      <c r="BM129" s="11">
        <f ca="1"/>
      </c>
      <c r="BN129" s="11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J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F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B129">
        <f ca="1"/>
      </c>
      <c r="GC129">
        <f ca="1"/>
      </c>
      <c r="GD129">
        <f ca="1"/>
      </c>
      <c r="GE129">
        <f ca="1"/>
      </c>
      <c r="GF129">
        <f ca="1"/>
      </c>
      <c r="GG129">
        <f ca="1"/>
      </c>
      <c r="GH129">
        <f ca="1"/>
      </c>
      <c r="GI129">
        <f ca="1"/>
      </c>
      <c r="GJ129">
        <f ca="1"/>
      </c>
      <c r="GK129">
        <f ca="1"/>
      </c>
      <c r="GL129">
        <f ca="1"/>
      </c>
      <c r="GM129">
        <f ca="1"/>
      </c>
      <c r="GN129">
        <f ca="1"/>
      </c>
      <c r="GO129">
        <f ca="1"/>
      </c>
      <c r="GP129">
        <f ca="1"/>
      </c>
      <c r="GQ129">
        <f ca="1"/>
      </c>
      <c r="GR129">
        <f ca="1"/>
      </c>
      <c r="GS129">
        <f ca="1"/>
      </c>
      <c r="GT129">
        <f ca="1"/>
      </c>
      <c r="GU129">
        <f ca="1"/>
      </c>
      <c r="GV129">
        <f ca="1"/>
      </c>
      <c r="GW129">
        <f ca="1"/>
      </c>
      <c r="GX129">
        <f ca="1"/>
      </c>
      <c r="GY129">
        <f ca="1"/>
      </c>
      <c r="GZ129">
        <f ca="1"/>
      </c>
      <c r="HA129">
        <f ca="1"/>
      </c>
      <c r="HB129">
        <f ca="1"/>
      </c>
      <c r="HC129">
        <f ca="1"/>
      </c>
      <c r="HD129">
        <f ca="1"/>
      </c>
      <c r="HE129">
        <f ca="1"/>
      </c>
      <c r="HF129">
        <f ca="1"/>
      </c>
      <c r="HG129">
        <f ca="1"/>
      </c>
      <c r="HH129">
        <f ca="1"/>
      </c>
      <c r="HI129">
        <f ca="1"/>
      </c>
      <c r="HJ129">
        <f ca="1"/>
      </c>
      <c r="HK129">
        <f ca="1"/>
      </c>
      <c r="HL129">
        <f ca="1"/>
      </c>
      <c r="HM129">
        <f ca="1"/>
      </c>
      <c r="HN129">
        <f ca="1"/>
      </c>
      <c r="HO129">
        <f ca="1"/>
      </c>
      <c r="HP129">
        <f ca="1"/>
      </c>
      <c r="HQ129">
        <f ca="1"/>
      </c>
      <c r="HR129">
        <f ca="1"/>
      </c>
      <c r="HS129">
        <f ca="1"/>
      </c>
      <c r="HT129">
        <f ca="1"/>
      </c>
      <c r="HU129">
        <f ca="1"/>
      </c>
      <c r="HV129">
        <f ca="1"/>
      </c>
      <c r="HW129">
        <f ca="1"/>
      </c>
      <c r="HX129">
        <f ca="1"/>
      </c>
      <c r="HY129">
        <f ca="1"/>
      </c>
      <c r="HZ129">
        <f ca="1"/>
      </c>
      <c r="IA129">
        <f ca="1"/>
      </c>
      <c r="IB129">
        <f ca="1"/>
      </c>
      <c r="IC129">
        <f ca="1"/>
      </c>
      <c r="ID129">
        <f ca="1"/>
      </c>
      <c r="IE129">
        <f ca="1"/>
      </c>
      <c r="IF129">
        <f ca="1"/>
      </c>
      <c r="IG129">
        <f ca="1"/>
      </c>
      <c r="IH129">
        <f ca="1"/>
      </c>
      <c r="II129">
        <f ca="1"/>
      </c>
      <c r="IJ129">
        <f ca="1"/>
      </c>
      <c r="IK129">
        <f ca="1"/>
      </c>
      <c r="IL129">
        <f ca="1"/>
      </c>
      <c r="IM129">
        <f ca="1"/>
      </c>
      <c r="IN129">
        <f ca="1"/>
      </c>
      <c r="IO129">
        <f ca="1"/>
      </c>
      <c r="IP129">
        <f ca="1"/>
      </c>
      <c r="IQ129">
        <f ca="1"/>
      </c>
      <c r="IR129">
        <f ca="1"/>
      </c>
      <c r="IS129">
        <f ca="1"/>
      </c>
      <c r="IT129">
        <f ca="1"/>
      </c>
      <c r="IU129">
        <f ca="1"/>
      </c>
      <c r="IV129">
        <f ca="1"/>
      </c>
      <c r="IW129">
        <f ca="1"/>
      </c>
      <c r="IX129">
        <f ca="1"/>
      </c>
      <c r="IY129">
        <f ca="1"/>
      </c>
      <c r="IZ129">
        <f ca="1"/>
      </c>
      <c r="JA129">
        <f ca="1"/>
      </c>
      <c r="JB129">
        <f ca="1"/>
      </c>
      <c r="LA129">
        <f ca="1"/>
      </c>
      <c r="LB129">
        <f ca="1"/>
      </c>
      <c r="LC129">
        <f ca="1"/>
      </c>
    </row>
    <row r="130" spans="58:315" x14ac:dyDescent="0.55000000000000004">
      <c r="BF130">
        <f ca="1"/>
      </c>
      <c r="BG130">
        <f ca="1"/>
      </c>
      <c r="BI130">
        <f ca="1"/>
      </c>
      <c r="BJ130" s="11">
        <f ca="1"/>
      </c>
      <c r="BK130" s="11">
        <f ca="1"/>
      </c>
      <c r="BL130" s="11">
        <f ca="1"/>
      </c>
      <c r="BM130" s="11">
        <f ca="1"/>
      </c>
      <c r="BN130" s="11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J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F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B130">
        <f ca="1"/>
      </c>
      <c r="GC130">
        <f ca="1"/>
      </c>
      <c r="GD130">
        <f ca="1"/>
      </c>
      <c r="GE130">
        <f ca="1"/>
      </c>
      <c r="GF130">
        <f ca="1"/>
      </c>
      <c r="GG130">
        <f ca="1"/>
      </c>
      <c r="GH130">
        <f ca="1"/>
      </c>
      <c r="GI130">
        <f ca="1"/>
      </c>
      <c r="GJ130">
        <f ca="1"/>
      </c>
      <c r="GK130">
        <f ca="1"/>
      </c>
      <c r="GL130">
        <f ca="1"/>
      </c>
      <c r="GM130">
        <f ca="1"/>
      </c>
      <c r="GN130">
        <f ca="1"/>
      </c>
      <c r="GO130">
        <f ca="1"/>
      </c>
      <c r="GP130">
        <f ca="1"/>
      </c>
      <c r="GQ130">
        <f ca="1"/>
      </c>
      <c r="GR130">
        <f ca="1"/>
      </c>
      <c r="GS130">
        <f ca="1"/>
      </c>
      <c r="GT130">
        <f ca="1"/>
      </c>
      <c r="GU130">
        <f ca="1"/>
      </c>
      <c r="GV130">
        <f ca="1"/>
      </c>
      <c r="GW130">
        <f ca="1"/>
      </c>
      <c r="GX130">
        <f ca="1"/>
      </c>
      <c r="GY130">
        <f ca="1"/>
      </c>
      <c r="GZ130">
        <f ca="1"/>
      </c>
      <c r="HA130">
        <f ca="1"/>
      </c>
      <c r="HB130">
        <f ca="1"/>
      </c>
      <c r="HC130">
        <f ca="1"/>
      </c>
      <c r="HD130">
        <f ca="1"/>
      </c>
      <c r="HE130">
        <f ca="1"/>
      </c>
      <c r="HF130">
        <f ca="1"/>
      </c>
      <c r="HG130">
        <f ca="1"/>
      </c>
      <c r="HH130">
        <f ca="1"/>
      </c>
      <c r="HI130">
        <f ca="1"/>
      </c>
      <c r="HJ130">
        <f ca="1"/>
      </c>
      <c r="HK130">
        <f ca="1"/>
      </c>
      <c r="HL130">
        <f ca="1"/>
      </c>
      <c r="HM130">
        <f ca="1"/>
      </c>
      <c r="HN130">
        <f ca="1"/>
      </c>
      <c r="HO130">
        <f ca="1"/>
      </c>
      <c r="HP130">
        <f ca="1"/>
      </c>
      <c r="HQ130">
        <f ca="1"/>
      </c>
      <c r="HR130">
        <f ca="1"/>
      </c>
      <c r="HS130">
        <f ca="1"/>
      </c>
      <c r="HT130">
        <f ca="1"/>
      </c>
      <c r="HU130">
        <f ca="1"/>
      </c>
      <c r="HV130">
        <f ca="1"/>
      </c>
      <c r="HW130">
        <f ca="1"/>
      </c>
      <c r="HX130">
        <f ca="1"/>
      </c>
      <c r="HY130">
        <f ca="1"/>
      </c>
      <c r="HZ130">
        <f ca="1"/>
      </c>
      <c r="IA130">
        <f ca="1"/>
      </c>
      <c r="IB130">
        <f ca="1"/>
      </c>
      <c r="IC130">
        <f ca="1"/>
      </c>
      <c r="ID130">
        <f ca="1"/>
      </c>
      <c r="IE130">
        <f ca="1"/>
      </c>
      <c r="IF130">
        <f ca="1"/>
      </c>
      <c r="IG130">
        <f ca="1"/>
      </c>
      <c r="IH130">
        <f ca="1"/>
      </c>
      <c r="II130">
        <f ca="1"/>
      </c>
      <c r="IJ130">
        <f ca="1"/>
      </c>
      <c r="IK130">
        <f ca="1"/>
      </c>
      <c r="IL130">
        <f ca="1"/>
      </c>
      <c r="IM130">
        <f ca="1"/>
      </c>
      <c r="IN130">
        <f ca="1"/>
      </c>
      <c r="IO130">
        <f ca="1"/>
      </c>
      <c r="IP130">
        <f ca="1"/>
      </c>
      <c r="IQ130">
        <f ca="1"/>
      </c>
      <c r="IR130">
        <f ca="1"/>
      </c>
      <c r="IS130">
        <f ca="1"/>
      </c>
      <c r="IT130">
        <f ca="1"/>
      </c>
      <c r="IU130">
        <f ca="1"/>
      </c>
      <c r="IV130">
        <f ca="1"/>
      </c>
      <c r="IW130">
        <f ca="1"/>
      </c>
      <c r="IX130">
        <f ca="1"/>
      </c>
      <c r="IY130">
        <f ca="1"/>
      </c>
      <c r="IZ130">
        <f ca="1"/>
      </c>
      <c r="JA130">
        <f ca="1"/>
      </c>
      <c r="JB130">
        <f ca="1"/>
      </c>
      <c r="LA130">
        <f ca="1"/>
      </c>
      <c r="LB130">
        <f ca="1"/>
      </c>
      <c r="LC130">
        <f ca="1"/>
      </c>
    </row>
    <row r="131" spans="58:315" x14ac:dyDescent="0.55000000000000004">
      <c r="BF131">
        <f ca="1"/>
      </c>
      <c r="BG131">
        <f ca="1"/>
      </c>
      <c r="BI131">
        <f ca="1"/>
      </c>
      <c r="BJ131" s="11">
        <f ca="1"/>
      </c>
      <c r="BK131" s="11">
        <f ca="1"/>
      </c>
      <c r="BL131" s="11">
        <f ca="1"/>
      </c>
      <c r="BM131" s="11">
        <f ca="1"/>
      </c>
      <c r="BN131" s="1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J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F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B131">
        <f ca="1"/>
      </c>
      <c r="GC131">
        <f ca="1"/>
      </c>
      <c r="GD131">
        <f ca="1"/>
      </c>
      <c r="GE131">
        <f ca="1"/>
      </c>
      <c r="GF131">
        <f ca="1"/>
      </c>
      <c r="GG131">
        <f ca="1"/>
      </c>
      <c r="GH131">
        <f ca="1"/>
      </c>
      <c r="GI131">
        <f ca="1"/>
      </c>
      <c r="GJ131">
        <f ca="1"/>
      </c>
      <c r="GK131">
        <f ca="1"/>
      </c>
      <c r="GL131">
        <f ca="1"/>
      </c>
      <c r="GM131">
        <f ca="1"/>
      </c>
      <c r="GN131">
        <f ca="1"/>
      </c>
      <c r="GO131">
        <f ca="1"/>
      </c>
      <c r="GP131">
        <f ca="1"/>
      </c>
      <c r="GQ131">
        <f ca="1"/>
      </c>
      <c r="GR131">
        <f ca="1"/>
      </c>
      <c r="GS131">
        <f ca="1"/>
      </c>
      <c r="GT131">
        <f ca="1"/>
      </c>
      <c r="GU131">
        <f ca="1"/>
      </c>
      <c r="GV131">
        <f ca="1"/>
      </c>
      <c r="GW131">
        <f ca="1"/>
      </c>
      <c r="GX131">
        <f ca="1"/>
      </c>
      <c r="GY131">
        <f ca="1"/>
      </c>
      <c r="GZ131">
        <f ca="1"/>
      </c>
      <c r="HA131">
        <f ca="1"/>
      </c>
      <c r="HB131">
        <f ca="1"/>
      </c>
      <c r="HC131">
        <f ca="1"/>
      </c>
      <c r="HD131">
        <f ca="1"/>
      </c>
      <c r="HE131">
        <f ca="1"/>
      </c>
      <c r="HF131">
        <f ca="1"/>
      </c>
      <c r="HG131">
        <f ca="1"/>
      </c>
      <c r="HH131">
        <f ca="1"/>
      </c>
      <c r="HI131">
        <f ca="1"/>
      </c>
      <c r="HJ131">
        <f ca="1"/>
      </c>
      <c r="HK131">
        <f ca="1"/>
      </c>
      <c r="HL131">
        <f ca="1"/>
      </c>
      <c r="HM131">
        <f ca="1"/>
      </c>
      <c r="HN131">
        <f ca="1"/>
      </c>
      <c r="HO131">
        <f ca="1"/>
      </c>
      <c r="HP131">
        <f ca="1"/>
      </c>
      <c r="HQ131">
        <f ca="1"/>
      </c>
      <c r="HR131">
        <f ca="1"/>
      </c>
      <c r="HS131">
        <f ca="1"/>
      </c>
      <c r="HT131">
        <f ca="1"/>
      </c>
      <c r="HU131">
        <f ca="1"/>
      </c>
      <c r="HV131">
        <f ca="1"/>
      </c>
      <c r="HW131">
        <f ca="1"/>
      </c>
      <c r="HX131">
        <f ca="1"/>
      </c>
      <c r="HY131">
        <f ca="1"/>
      </c>
      <c r="HZ131">
        <f ca="1"/>
      </c>
      <c r="IA131">
        <f ca="1"/>
      </c>
      <c r="IB131">
        <f ca="1"/>
      </c>
      <c r="IC131">
        <f ca="1"/>
      </c>
      <c r="ID131">
        <f ca="1"/>
      </c>
      <c r="IE131">
        <f ca="1"/>
      </c>
      <c r="IF131">
        <f ca="1"/>
      </c>
      <c r="IG131">
        <f ca="1"/>
      </c>
      <c r="IH131">
        <f ca="1"/>
      </c>
      <c r="II131">
        <f ca="1"/>
      </c>
      <c r="IJ131">
        <f ca="1"/>
      </c>
      <c r="IK131">
        <f ca="1"/>
      </c>
      <c r="IL131">
        <f ca="1"/>
      </c>
      <c r="IM131">
        <f ca="1"/>
      </c>
      <c r="IN131">
        <f ca="1"/>
      </c>
      <c r="IO131">
        <f ca="1"/>
      </c>
      <c r="IP131">
        <f ca="1"/>
      </c>
      <c r="IQ131">
        <f ca="1"/>
      </c>
      <c r="IR131">
        <f ca="1"/>
      </c>
      <c r="IS131">
        <f ca="1"/>
      </c>
      <c r="IT131">
        <f ca="1"/>
      </c>
      <c r="IU131">
        <f ca="1"/>
      </c>
      <c r="IV131">
        <f ca="1"/>
      </c>
      <c r="IW131">
        <f ca="1"/>
      </c>
      <c r="IX131">
        <f ca="1"/>
      </c>
      <c r="IY131">
        <f ca="1"/>
      </c>
      <c r="IZ131">
        <f ca="1"/>
      </c>
      <c r="JA131">
        <f ca="1"/>
      </c>
      <c r="JB131">
        <f ca="1"/>
      </c>
      <c r="LA131">
        <f ca="1"/>
      </c>
      <c r="LB131">
        <f ca="1"/>
      </c>
      <c r="LC131">
        <f ca="1"/>
      </c>
    </row>
    <row r="132" spans="58:315" x14ac:dyDescent="0.55000000000000004">
      <c r="BF132">
        <f ca="1"/>
      </c>
      <c r="BG132">
        <f ca="1"/>
      </c>
      <c r="BI132">
        <f ca="1"/>
      </c>
      <c r="BJ132" s="11">
        <f ca="1"/>
      </c>
      <c r="BK132" s="11">
        <f ca="1"/>
      </c>
      <c r="BL132" s="11">
        <f ca="1"/>
      </c>
      <c r="BM132" s="11">
        <f ca="1"/>
      </c>
      <c r="BN132" s="11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J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F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B132">
        <f ca="1"/>
      </c>
      <c r="GC132">
        <f ca="1"/>
      </c>
      <c r="GD132">
        <f ca="1"/>
      </c>
      <c r="GE132">
        <f ca="1"/>
      </c>
      <c r="GF132">
        <f ca="1"/>
      </c>
      <c r="GG132">
        <f ca="1"/>
      </c>
      <c r="GH132">
        <f ca="1"/>
      </c>
      <c r="GI132">
        <f ca="1"/>
      </c>
      <c r="GJ132">
        <f ca="1"/>
      </c>
      <c r="GK132">
        <f ca="1"/>
      </c>
      <c r="GL132">
        <f ca="1"/>
      </c>
      <c r="GM132">
        <f ca="1"/>
      </c>
      <c r="GN132">
        <f ca="1"/>
      </c>
      <c r="GO132">
        <f ca="1"/>
      </c>
      <c r="GP132">
        <f ca="1"/>
      </c>
      <c r="GQ132">
        <f ca="1"/>
      </c>
      <c r="GR132">
        <f ca="1"/>
      </c>
      <c r="GS132">
        <f ca="1"/>
      </c>
      <c r="GT132">
        <f ca="1"/>
      </c>
      <c r="GU132">
        <f ca="1"/>
      </c>
      <c r="GV132">
        <f ca="1"/>
      </c>
      <c r="GW132">
        <f ca="1"/>
      </c>
      <c r="GX132">
        <f ca="1"/>
      </c>
      <c r="GY132">
        <f ca="1"/>
      </c>
      <c r="GZ132">
        <f ca="1"/>
      </c>
      <c r="HA132">
        <f ca="1"/>
      </c>
      <c r="HB132">
        <f ca="1"/>
      </c>
      <c r="HC132">
        <f ca="1"/>
      </c>
      <c r="HD132">
        <f ca="1"/>
      </c>
      <c r="HE132">
        <f ca="1"/>
      </c>
      <c r="HF132">
        <f ca="1"/>
      </c>
      <c r="HG132">
        <f ca="1"/>
      </c>
      <c r="HH132">
        <f ca="1"/>
      </c>
      <c r="HI132">
        <f ca="1"/>
      </c>
      <c r="HJ132">
        <f ca="1"/>
      </c>
      <c r="HK132">
        <f ca="1"/>
      </c>
      <c r="HL132">
        <f ca="1"/>
      </c>
      <c r="HM132">
        <f ca="1"/>
      </c>
      <c r="HN132">
        <f ca="1"/>
      </c>
      <c r="HO132">
        <f ca="1"/>
      </c>
      <c r="HP132">
        <f ca="1"/>
      </c>
      <c r="HQ132">
        <f ca="1"/>
      </c>
      <c r="HR132">
        <f ca="1"/>
      </c>
      <c r="HS132">
        <f ca="1"/>
      </c>
      <c r="HT132">
        <f ca="1"/>
      </c>
      <c r="HU132">
        <f ca="1"/>
      </c>
      <c r="HV132">
        <f ca="1"/>
      </c>
      <c r="HW132">
        <f ca="1"/>
      </c>
      <c r="HX132">
        <f ca="1"/>
      </c>
      <c r="HY132">
        <f ca="1"/>
      </c>
      <c r="HZ132">
        <f ca="1"/>
      </c>
      <c r="IA132">
        <f ca="1"/>
      </c>
      <c r="IB132">
        <f ca="1"/>
      </c>
      <c r="IC132">
        <f ca="1"/>
      </c>
      <c r="ID132">
        <f ca="1"/>
      </c>
      <c r="IE132">
        <f ca="1"/>
      </c>
      <c r="IF132">
        <f ca="1"/>
      </c>
      <c r="IG132">
        <f ca="1"/>
      </c>
      <c r="IH132">
        <f ca="1"/>
      </c>
      <c r="II132">
        <f ca="1"/>
      </c>
      <c r="IJ132">
        <f ca="1"/>
      </c>
      <c r="IK132">
        <f ca="1"/>
      </c>
      <c r="IL132">
        <f ca="1"/>
      </c>
      <c r="IM132">
        <f ca="1"/>
      </c>
      <c r="IN132">
        <f ca="1"/>
      </c>
      <c r="IO132">
        <f ca="1"/>
      </c>
      <c r="IP132">
        <f ca="1"/>
      </c>
      <c r="IQ132">
        <f ca="1"/>
      </c>
      <c r="IR132">
        <f ca="1"/>
      </c>
      <c r="IS132">
        <f ca="1"/>
      </c>
      <c r="IT132">
        <f ca="1"/>
      </c>
      <c r="IU132">
        <f ca="1"/>
      </c>
      <c r="IV132">
        <f ca="1"/>
      </c>
      <c r="IW132">
        <f ca="1"/>
      </c>
      <c r="IX132">
        <f ca="1"/>
      </c>
      <c r="IY132">
        <f ca="1"/>
      </c>
      <c r="IZ132">
        <f ca="1"/>
      </c>
      <c r="JA132">
        <f ca="1"/>
      </c>
      <c r="JB132">
        <f ca="1"/>
      </c>
      <c r="LA132">
        <f ca="1"/>
      </c>
      <c r="LB132">
        <f ca="1"/>
      </c>
      <c r="LC132">
        <f ca="1"/>
      </c>
    </row>
    <row r="133" spans="58:315" x14ac:dyDescent="0.55000000000000004">
      <c r="BF133">
        <f ca="1"/>
      </c>
      <c r="BG133">
        <f ca="1"/>
      </c>
      <c r="BI133">
        <f ca="1"/>
      </c>
      <c r="BJ133" s="11">
        <f ca="1"/>
      </c>
      <c r="BK133" s="11">
        <f ca="1"/>
      </c>
      <c r="BL133" s="11">
        <f ca="1"/>
      </c>
      <c r="BM133" s="11">
        <f ca="1"/>
      </c>
      <c r="BN133" s="11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J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F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B133">
        <f ca="1"/>
      </c>
      <c r="GC133">
        <f ca="1"/>
      </c>
      <c r="GD133">
        <f ca="1"/>
      </c>
      <c r="GE133">
        <f ca="1"/>
      </c>
      <c r="GF133">
        <f ca="1"/>
      </c>
      <c r="GG133">
        <f ca="1"/>
      </c>
      <c r="GH133">
        <f ca="1"/>
      </c>
      <c r="GI133">
        <f ca="1"/>
      </c>
      <c r="GJ133">
        <f ca="1"/>
      </c>
      <c r="GK133">
        <f ca="1"/>
      </c>
      <c r="GL133">
        <f ca="1"/>
      </c>
      <c r="GM133">
        <f ca="1"/>
      </c>
      <c r="GN133">
        <f ca="1"/>
      </c>
      <c r="GO133">
        <f ca="1"/>
      </c>
      <c r="GP133">
        <f ca="1"/>
      </c>
      <c r="GQ133">
        <f ca="1"/>
      </c>
      <c r="GR133">
        <f ca="1"/>
      </c>
      <c r="GS133">
        <f ca="1"/>
      </c>
      <c r="GT133">
        <f ca="1"/>
      </c>
      <c r="GU133">
        <f ca="1"/>
      </c>
      <c r="GV133">
        <f ca="1"/>
      </c>
      <c r="GW133">
        <f ca="1"/>
      </c>
      <c r="GX133">
        <f ca="1"/>
      </c>
      <c r="GY133">
        <f ca="1"/>
      </c>
      <c r="GZ133">
        <f ca="1"/>
      </c>
      <c r="HA133">
        <f ca="1"/>
      </c>
      <c r="HB133">
        <f ca="1"/>
      </c>
      <c r="HC133">
        <f ca="1"/>
      </c>
      <c r="HD133">
        <f ca="1"/>
      </c>
      <c r="HE133">
        <f ca="1"/>
      </c>
      <c r="HF133">
        <f ca="1"/>
      </c>
      <c r="HG133">
        <f ca="1"/>
      </c>
      <c r="HH133">
        <f ca="1"/>
      </c>
      <c r="HI133">
        <f ca="1"/>
      </c>
      <c r="HJ133">
        <f ca="1"/>
      </c>
      <c r="HK133">
        <f ca="1"/>
      </c>
      <c r="HL133">
        <f ca="1"/>
      </c>
      <c r="HM133">
        <f ca="1"/>
      </c>
      <c r="HN133">
        <f ca="1"/>
      </c>
      <c r="HO133">
        <f ca="1"/>
      </c>
      <c r="HP133">
        <f ca="1"/>
      </c>
      <c r="HQ133">
        <f ca="1"/>
      </c>
      <c r="HR133">
        <f ca="1"/>
      </c>
      <c r="HS133">
        <f ca="1"/>
      </c>
      <c r="HT133">
        <f ca="1"/>
      </c>
      <c r="HU133">
        <f ca="1"/>
      </c>
      <c r="HV133">
        <f ca="1"/>
      </c>
      <c r="HW133">
        <f ca="1"/>
      </c>
      <c r="HX133">
        <f ca="1"/>
      </c>
      <c r="HY133">
        <f ca="1"/>
      </c>
      <c r="HZ133">
        <f ca="1"/>
      </c>
      <c r="IA133">
        <f ca="1"/>
      </c>
      <c r="IB133">
        <f ca="1"/>
      </c>
      <c r="IC133">
        <f ca="1"/>
      </c>
      <c r="ID133">
        <f ca="1"/>
      </c>
      <c r="IE133">
        <f ca="1"/>
      </c>
      <c r="IF133">
        <f ca="1"/>
      </c>
      <c r="IG133">
        <f ca="1"/>
      </c>
      <c r="IH133">
        <f ca="1"/>
      </c>
      <c r="II133">
        <f ca="1"/>
      </c>
      <c r="IJ133">
        <f ca="1"/>
      </c>
      <c r="IK133">
        <f ca="1"/>
      </c>
      <c r="IL133">
        <f ca="1"/>
      </c>
      <c r="IM133">
        <f ca="1"/>
      </c>
      <c r="IN133">
        <f ca="1"/>
      </c>
      <c r="IO133">
        <f ca="1"/>
      </c>
      <c r="IP133">
        <f ca="1"/>
      </c>
      <c r="IQ133">
        <f ca="1"/>
      </c>
      <c r="IR133">
        <f ca="1"/>
      </c>
      <c r="IS133">
        <f ca="1"/>
      </c>
      <c r="IT133">
        <f ca="1"/>
      </c>
      <c r="IU133">
        <f ca="1"/>
      </c>
      <c r="IV133">
        <f ca="1"/>
      </c>
      <c r="IW133">
        <f ca="1"/>
      </c>
      <c r="IX133">
        <f ca="1"/>
      </c>
      <c r="IY133">
        <f ca="1"/>
      </c>
      <c r="IZ133">
        <f ca="1"/>
      </c>
      <c r="JA133">
        <f ca="1"/>
      </c>
      <c r="JB133">
        <f ca="1"/>
      </c>
      <c r="LA133">
        <f ca="1"/>
      </c>
      <c r="LB133">
        <f ca="1"/>
      </c>
      <c r="LC133">
        <f ca="1"/>
      </c>
    </row>
    <row r="134" spans="58:315" x14ac:dyDescent="0.55000000000000004">
      <c r="BF134">
        <f ca="1"/>
      </c>
      <c r="BG134">
        <f ca="1"/>
      </c>
      <c r="BI134">
        <f ca="1"/>
      </c>
      <c r="BJ134" s="11">
        <f ca="1"/>
      </c>
      <c r="BK134" s="11">
        <f ca="1"/>
      </c>
      <c r="BL134" s="11">
        <f ca="1"/>
      </c>
      <c r="BM134" s="11">
        <f ca="1"/>
      </c>
      <c r="BN134" s="11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J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F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B134">
        <f ca="1"/>
      </c>
      <c r="GC134">
        <f ca="1"/>
      </c>
      <c r="GD134">
        <f ca="1"/>
      </c>
      <c r="GE134">
        <f ca="1"/>
      </c>
      <c r="GF134">
        <f ca="1"/>
      </c>
      <c r="GG134">
        <f ca="1"/>
      </c>
      <c r="GH134">
        <f ca="1"/>
      </c>
      <c r="GI134">
        <f ca="1"/>
      </c>
      <c r="GJ134">
        <f ca="1"/>
      </c>
      <c r="GK134">
        <f ca="1"/>
      </c>
      <c r="GL134">
        <f ca="1"/>
      </c>
      <c r="GM134">
        <f ca="1"/>
      </c>
      <c r="GN134">
        <f ca="1"/>
      </c>
      <c r="GO134">
        <f ca="1"/>
      </c>
      <c r="GP134">
        <f ca="1"/>
      </c>
      <c r="GQ134">
        <f ca="1"/>
      </c>
      <c r="GR134">
        <f ca="1"/>
      </c>
      <c r="GS134">
        <f ca="1"/>
      </c>
      <c r="GT134">
        <f ca="1"/>
      </c>
      <c r="GU134">
        <f ca="1"/>
      </c>
      <c r="GV134">
        <f ca="1"/>
      </c>
      <c r="GW134">
        <f ca="1"/>
      </c>
      <c r="GX134">
        <f ca="1"/>
      </c>
      <c r="GY134">
        <f ca="1"/>
      </c>
      <c r="GZ134">
        <f ca="1"/>
      </c>
      <c r="HA134">
        <f ca="1"/>
      </c>
      <c r="HB134">
        <f ca="1"/>
      </c>
      <c r="HC134">
        <f ca="1"/>
      </c>
      <c r="HD134">
        <f ca="1"/>
      </c>
      <c r="HE134">
        <f ca="1"/>
      </c>
      <c r="HF134">
        <f ca="1"/>
      </c>
      <c r="HG134">
        <f ca="1"/>
      </c>
      <c r="HH134">
        <f ca="1"/>
      </c>
      <c r="HI134">
        <f ca="1"/>
      </c>
      <c r="HJ134">
        <f ca="1"/>
      </c>
      <c r="HK134">
        <f ca="1"/>
      </c>
      <c r="HL134">
        <f ca="1"/>
      </c>
      <c r="HM134">
        <f ca="1"/>
      </c>
      <c r="HN134">
        <f ca="1"/>
      </c>
      <c r="HO134">
        <f ca="1"/>
      </c>
      <c r="HP134">
        <f ca="1"/>
      </c>
      <c r="HQ134">
        <f ca="1"/>
      </c>
      <c r="HR134">
        <f ca="1"/>
      </c>
      <c r="HS134">
        <f ca="1"/>
      </c>
      <c r="HT134">
        <f ca="1"/>
      </c>
      <c r="HU134">
        <f ca="1"/>
      </c>
      <c r="HV134">
        <f ca="1"/>
      </c>
      <c r="HW134">
        <f ca="1"/>
      </c>
      <c r="HX134">
        <f ca="1"/>
      </c>
      <c r="HY134">
        <f ca="1"/>
      </c>
      <c r="HZ134">
        <f ca="1"/>
      </c>
      <c r="IA134">
        <f ca="1"/>
      </c>
      <c r="IB134">
        <f ca="1"/>
      </c>
      <c r="IC134">
        <f ca="1"/>
      </c>
      <c r="ID134">
        <f ca="1"/>
      </c>
      <c r="IE134">
        <f ca="1"/>
      </c>
      <c r="IF134">
        <f ca="1"/>
      </c>
      <c r="IG134">
        <f ca="1"/>
      </c>
      <c r="IH134">
        <f ca="1"/>
      </c>
      <c r="II134">
        <f ca="1"/>
      </c>
      <c r="IJ134">
        <f ca="1"/>
      </c>
      <c r="IK134">
        <f ca="1"/>
      </c>
      <c r="IL134">
        <f ca="1"/>
      </c>
      <c r="IM134">
        <f ca="1"/>
      </c>
      <c r="IN134">
        <f ca="1"/>
      </c>
      <c r="IO134">
        <f ca="1"/>
      </c>
      <c r="IP134">
        <f ca="1"/>
      </c>
      <c r="IQ134">
        <f ca="1"/>
      </c>
      <c r="IR134">
        <f ca="1"/>
      </c>
      <c r="IS134">
        <f ca="1"/>
      </c>
      <c r="IT134">
        <f ca="1"/>
      </c>
      <c r="IU134">
        <f ca="1"/>
      </c>
      <c r="IV134">
        <f ca="1"/>
      </c>
      <c r="IW134">
        <f ca="1"/>
      </c>
      <c r="IX134">
        <f ca="1"/>
      </c>
      <c r="IY134">
        <f ca="1"/>
      </c>
      <c r="IZ134">
        <f ca="1"/>
      </c>
      <c r="JA134">
        <f ca="1"/>
      </c>
      <c r="JB134">
        <f ca="1"/>
      </c>
      <c r="LA134">
        <f ca="1"/>
      </c>
      <c r="LB134">
        <f ca="1"/>
      </c>
      <c r="LC134">
        <f ca="1"/>
      </c>
    </row>
    <row r="135" spans="58:315" x14ac:dyDescent="0.55000000000000004">
      <c r="BF135">
        <f ca="1"/>
      </c>
      <c r="BG135">
        <f ca="1"/>
      </c>
      <c r="BI135">
        <f ca="1"/>
      </c>
      <c r="BJ135" s="11">
        <f ca="1"/>
      </c>
      <c r="BK135" s="11">
        <f ca="1"/>
      </c>
      <c r="BL135" s="11">
        <f ca="1"/>
      </c>
      <c r="BM135" s="11">
        <f ca="1"/>
      </c>
      <c r="BN135" s="11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J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F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B135">
        <f ca="1"/>
      </c>
      <c r="GC135">
        <f ca="1"/>
      </c>
      <c r="GD135">
        <f ca="1"/>
      </c>
      <c r="GE135">
        <f ca="1"/>
      </c>
      <c r="GF135">
        <f ca="1"/>
      </c>
      <c r="GG135">
        <f ca="1"/>
      </c>
      <c r="GH135">
        <f ca="1"/>
      </c>
      <c r="GI135">
        <f ca="1"/>
      </c>
      <c r="GJ135">
        <f ca="1"/>
      </c>
      <c r="GK135">
        <f ca="1"/>
      </c>
      <c r="GL135">
        <f ca="1"/>
      </c>
      <c r="GM135">
        <f ca="1"/>
      </c>
      <c r="GN135">
        <f ca="1"/>
      </c>
      <c r="GO135">
        <f ca="1"/>
      </c>
      <c r="GP135">
        <f ca="1"/>
      </c>
      <c r="GQ135">
        <f ca="1"/>
      </c>
      <c r="GR135">
        <f ca="1"/>
      </c>
      <c r="GS135">
        <f ca="1"/>
      </c>
      <c r="GT135">
        <f ca="1"/>
      </c>
      <c r="GU135">
        <f ca="1"/>
      </c>
      <c r="GV135">
        <f ca="1"/>
      </c>
      <c r="GW135">
        <f ca="1"/>
      </c>
      <c r="GX135">
        <f ca="1"/>
      </c>
      <c r="GY135">
        <f ca="1"/>
      </c>
      <c r="GZ135">
        <f ca="1"/>
      </c>
      <c r="HA135">
        <f ca="1"/>
      </c>
      <c r="HB135">
        <f ca="1"/>
      </c>
      <c r="HC135">
        <f ca="1"/>
      </c>
      <c r="HD135">
        <f ca="1"/>
      </c>
      <c r="HE135">
        <f ca="1"/>
      </c>
      <c r="HF135">
        <f ca="1"/>
      </c>
      <c r="HG135">
        <f ca="1"/>
      </c>
      <c r="HH135">
        <f ca="1"/>
      </c>
      <c r="HI135">
        <f ca="1"/>
      </c>
      <c r="HJ135">
        <f ca="1"/>
      </c>
      <c r="HK135">
        <f ca="1"/>
      </c>
      <c r="HL135">
        <f ca="1"/>
      </c>
      <c r="HM135">
        <f ca="1"/>
      </c>
      <c r="HN135">
        <f ca="1"/>
      </c>
      <c r="HO135">
        <f ca="1"/>
      </c>
      <c r="HP135">
        <f ca="1"/>
      </c>
      <c r="HQ135">
        <f ca="1"/>
      </c>
      <c r="HR135">
        <f ca="1"/>
      </c>
      <c r="HS135">
        <f ca="1"/>
      </c>
      <c r="HT135">
        <f ca="1"/>
      </c>
      <c r="HU135">
        <f ca="1"/>
      </c>
      <c r="HV135">
        <f ca="1"/>
      </c>
      <c r="HW135">
        <f ca="1"/>
      </c>
      <c r="HX135">
        <f ca="1"/>
      </c>
      <c r="HY135">
        <f ca="1"/>
      </c>
      <c r="HZ135">
        <f ca="1"/>
      </c>
      <c r="IA135">
        <f ca="1"/>
      </c>
      <c r="IB135">
        <f ca="1"/>
      </c>
      <c r="IC135">
        <f ca="1"/>
      </c>
      <c r="ID135">
        <f ca="1"/>
      </c>
      <c r="IE135">
        <f ca="1"/>
      </c>
      <c r="IF135">
        <f ca="1"/>
      </c>
      <c r="IG135">
        <f ca="1"/>
      </c>
      <c r="IH135">
        <f ca="1"/>
      </c>
      <c r="II135">
        <f ca="1"/>
      </c>
      <c r="IJ135">
        <f ca="1"/>
      </c>
      <c r="IK135">
        <f ca="1"/>
      </c>
      <c r="IL135">
        <f ca="1"/>
      </c>
      <c r="IM135">
        <f ca="1"/>
      </c>
      <c r="IN135">
        <f ca="1"/>
      </c>
      <c r="IO135">
        <f ca="1"/>
      </c>
      <c r="IP135">
        <f ca="1"/>
      </c>
      <c r="IQ135">
        <f ca="1"/>
      </c>
      <c r="IR135">
        <f ca="1"/>
      </c>
      <c r="IS135">
        <f ca="1"/>
      </c>
      <c r="IT135">
        <f ca="1"/>
      </c>
      <c r="IU135">
        <f ca="1"/>
      </c>
      <c r="IV135">
        <f ca="1"/>
      </c>
      <c r="IW135">
        <f ca="1"/>
      </c>
      <c r="IX135">
        <f ca="1"/>
      </c>
      <c r="IY135">
        <f ca="1"/>
      </c>
      <c r="IZ135">
        <f ca="1"/>
      </c>
      <c r="JA135">
        <f ca="1"/>
      </c>
      <c r="JB135">
        <f ca="1"/>
      </c>
      <c r="LA135">
        <f ca="1"/>
      </c>
      <c r="LB135">
        <f ca="1"/>
      </c>
      <c r="LC135">
        <f ca="1"/>
      </c>
    </row>
    <row r="136" spans="58:315" x14ac:dyDescent="0.55000000000000004">
      <c r="BF136">
        <f ca="1"/>
      </c>
      <c r="BG136">
        <f ca="1"/>
      </c>
      <c r="BI136">
        <f ca="1"/>
      </c>
      <c r="BJ136" s="11">
        <f ca="1"/>
      </c>
      <c r="BK136" s="11">
        <f ca="1"/>
      </c>
      <c r="BL136" s="11">
        <f ca="1"/>
      </c>
      <c r="BM136" s="11">
        <f ca="1"/>
      </c>
      <c r="BN136" s="11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J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F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B136">
        <f ca="1"/>
      </c>
      <c r="GC136">
        <f ca="1"/>
      </c>
      <c r="GD136">
        <f ca="1"/>
      </c>
      <c r="GE136">
        <f ca="1"/>
      </c>
      <c r="GF136">
        <f ca="1"/>
      </c>
      <c r="GG136">
        <f ca="1"/>
      </c>
      <c r="GH136">
        <f ca="1"/>
      </c>
      <c r="GI136">
        <f ca="1"/>
      </c>
      <c r="GJ136">
        <f ca="1"/>
      </c>
      <c r="GK136">
        <f ca="1"/>
      </c>
      <c r="GL136">
        <f ca="1"/>
      </c>
      <c r="GM136">
        <f ca="1"/>
      </c>
      <c r="GN136">
        <f ca="1"/>
      </c>
      <c r="GO136">
        <f ca="1"/>
      </c>
      <c r="GP136">
        <f ca="1"/>
      </c>
      <c r="GQ136">
        <f ca="1"/>
      </c>
      <c r="GR136">
        <f ca="1"/>
      </c>
      <c r="GS136">
        <f ca="1"/>
      </c>
      <c r="GT136">
        <f ca="1"/>
      </c>
      <c r="GU136">
        <f ca="1"/>
      </c>
      <c r="GV136">
        <f ca="1"/>
      </c>
      <c r="GW136">
        <f ca="1"/>
      </c>
      <c r="GX136">
        <f ca="1"/>
      </c>
      <c r="GY136">
        <f ca="1"/>
      </c>
      <c r="GZ136">
        <f ca="1"/>
      </c>
      <c r="HA136">
        <f ca="1"/>
      </c>
      <c r="HB136">
        <f ca="1"/>
      </c>
      <c r="HC136">
        <f ca="1"/>
      </c>
      <c r="HD136">
        <f ca="1"/>
      </c>
      <c r="HE136">
        <f ca="1"/>
      </c>
      <c r="HF136">
        <f ca="1"/>
      </c>
      <c r="HG136">
        <f ca="1"/>
      </c>
      <c r="HH136">
        <f ca="1"/>
      </c>
      <c r="HI136">
        <f ca="1"/>
      </c>
      <c r="HJ136">
        <f ca="1"/>
      </c>
      <c r="HK136">
        <f ca="1"/>
      </c>
      <c r="HL136">
        <f ca="1"/>
      </c>
      <c r="HM136">
        <f ca="1"/>
      </c>
      <c r="HN136">
        <f ca="1"/>
      </c>
      <c r="HO136">
        <f ca="1"/>
      </c>
      <c r="HP136">
        <f ca="1"/>
      </c>
      <c r="HQ136">
        <f ca="1"/>
      </c>
      <c r="HR136">
        <f ca="1"/>
      </c>
      <c r="HS136">
        <f ca="1"/>
      </c>
      <c r="HT136">
        <f ca="1"/>
      </c>
      <c r="HU136">
        <f ca="1"/>
      </c>
      <c r="HV136">
        <f ca="1"/>
      </c>
      <c r="HW136">
        <f ca="1"/>
      </c>
      <c r="HX136">
        <f ca="1"/>
      </c>
      <c r="HY136">
        <f ca="1"/>
      </c>
      <c r="HZ136">
        <f ca="1"/>
      </c>
      <c r="IA136">
        <f ca="1"/>
      </c>
      <c r="IB136">
        <f ca="1"/>
      </c>
      <c r="IC136">
        <f ca="1"/>
      </c>
      <c r="ID136">
        <f ca="1"/>
      </c>
      <c r="IE136">
        <f ca="1"/>
      </c>
      <c r="IF136">
        <f ca="1"/>
      </c>
      <c r="IG136">
        <f ca="1"/>
      </c>
      <c r="IH136">
        <f ca="1"/>
      </c>
      <c r="II136">
        <f ca="1"/>
      </c>
      <c r="IJ136">
        <f ca="1"/>
      </c>
      <c r="IK136">
        <f ca="1"/>
      </c>
      <c r="IL136">
        <f ca="1"/>
      </c>
      <c r="IM136">
        <f ca="1"/>
      </c>
      <c r="IN136">
        <f ca="1"/>
      </c>
      <c r="IO136">
        <f ca="1"/>
      </c>
      <c r="IP136">
        <f ca="1"/>
      </c>
      <c r="IQ136">
        <f ca="1"/>
      </c>
      <c r="IR136">
        <f ca="1"/>
      </c>
      <c r="IS136">
        <f ca="1"/>
      </c>
      <c r="IT136">
        <f ca="1"/>
      </c>
      <c r="IU136">
        <f ca="1"/>
      </c>
      <c r="IV136">
        <f ca="1"/>
      </c>
      <c r="IW136">
        <f ca="1"/>
      </c>
      <c r="IX136">
        <f ca="1"/>
      </c>
      <c r="IY136">
        <f ca="1"/>
      </c>
      <c r="IZ136">
        <f ca="1"/>
      </c>
      <c r="JA136">
        <f ca="1"/>
      </c>
      <c r="JB136">
        <f ca="1"/>
      </c>
      <c r="LA136">
        <f ca="1"/>
      </c>
      <c r="LB136">
        <f ca="1"/>
      </c>
      <c r="LC136">
        <f ca="1"/>
      </c>
    </row>
    <row r="137" spans="58:315" x14ac:dyDescent="0.55000000000000004">
      <c r="BF137">
        <f ca="1"/>
      </c>
      <c r="BG137">
        <f ca="1"/>
      </c>
      <c r="BI137">
        <f ca="1"/>
      </c>
      <c r="BJ137" s="11">
        <f ca="1"/>
      </c>
      <c r="BK137" s="11">
        <f ca="1"/>
      </c>
      <c r="BL137" s="11">
        <f ca="1"/>
      </c>
      <c r="BM137" s="11">
        <f ca="1"/>
      </c>
      <c r="BN137" s="11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J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F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B137">
        <f ca="1"/>
      </c>
      <c r="GC137">
        <f ca="1"/>
      </c>
      <c r="GD137">
        <f ca="1"/>
      </c>
      <c r="GE137">
        <f ca="1"/>
      </c>
      <c r="GF137">
        <f ca="1"/>
      </c>
      <c r="GG137">
        <f ca="1"/>
      </c>
      <c r="GH137">
        <f ca="1"/>
      </c>
      <c r="GI137">
        <f ca="1"/>
      </c>
      <c r="GJ137">
        <f ca="1"/>
      </c>
      <c r="GK137">
        <f ca="1"/>
      </c>
      <c r="GL137">
        <f ca="1"/>
      </c>
      <c r="GM137">
        <f ca="1"/>
      </c>
      <c r="GN137">
        <f ca="1"/>
      </c>
      <c r="GO137">
        <f ca="1"/>
      </c>
      <c r="GP137">
        <f ca="1"/>
      </c>
      <c r="GQ137">
        <f ca="1"/>
      </c>
      <c r="GR137">
        <f ca="1"/>
      </c>
      <c r="GS137">
        <f ca="1"/>
      </c>
      <c r="GT137">
        <f ca="1"/>
      </c>
      <c r="GU137">
        <f ca="1"/>
      </c>
      <c r="GV137">
        <f ca="1"/>
      </c>
      <c r="GW137">
        <f ca="1"/>
      </c>
      <c r="GX137">
        <f ca="1"/>
      </c>
      <c r="GY137">
        <f ca="1"/>
      </c>
      <c r="GZ137">
        <f ca="1"/>
      </c>
      <c r="HA137">
        <f ca="1"/>
      </c>
      <c r="HB137">
        <f ca="1"/>
      </c>
      <c r="HC137">
        <f ca="1"/>
      </c>
      <c r="HD137">
        <f ca="1"/>
      </c>
      <c r="HE137">
        <f ca="1"/>
      </c>
      <c r="HF137">
        <f ca="1"/>
      </c>
      <c r="HG137">
        <f ca="1"/>
      </c>
      <c r="HH137">
        <f ca="1"/>
      </c>
      <c r="HI137">
        <f ca="1"/>
      </c>
      <c r="HJ137">
        <f ca="1"/>
      </c>
      <c r="HK137">
        <f ca="1"/>
      </c>
      <c r="HL137">
        <f ca="1"/>
      </c>
      <c r="HM137">
        <f ca="1"/>
      </c>
      <c r="HN137">
        <f ca="1"/>
      </c>
      <c r="HO137">
        <f ca="1"/>
      </c>
      <c r="HP137">
        <f ca="1"/>
      </c>
      <c r="HQ137">
        <f ca="1"/>
      </c>
      <c r="HR137">
        <f ca="1"/>
      </c>
      <c r="HS137">
        <f ca="1"/>
      </c>
      <c r="HT137">
        <f ca="1"/>
      </c>
      <c r="HU137">
        <f ca="1"/>
      </c>
      <c r="HV137">
        <f ca="1"/>
      </c>
      <c r="HW137">
        <f ca="1"/>
      </c>
      <c r="HX137">
        <f ca="1"/>
      </c>
      <c r="HY137">
        <f ca="1"/>
      </c>
      <c r="HZ137">
        <f ca="1"/>
      </c>
      <c r="IA137">
        <f ca="1"/>
      </c>
      <c r="IB137">
        <f ca="1"/>
      </c>
      <c r="IC137">
        <f ca="1"/>
      </c>
      <c r="ID137">
        <f ca="1"/>
      </c>
      <c r="IE137">
        <f ca="1"/>
      </c>
      <c r="IF137">
        <f ca="1"/>
      </c>
      <c r="IG137">
        <f ca="1"/>
      </c>
      <c r="IH137">
        <f ca="1"/>
      </c>
      <c r="II137">
        <f ca="1"/>
      </c>
      <c r="IJ137">
        <f ca="1"/>
      </c>
      <c r="IK137">
        <f ca="1"/>
      </c>
      <c r="IL137">
        <f ca="1"/>
      </c>
      <c r="IM137">
        <f ca="1"/>
      </c>
      <c r="IN137">
        <f ca="1"/>
      </c>
      <c r="IO137">
        <f ca="1"/>
      </c>
      <c r="IP137">
        <f ca="1"/>
      </c>
      <c r="IQ137">
        <f ca="1"/>
      </c>
      <c r="IR137">
        <f ca="1"/>
      </c>
      <c r="IS137">
        <f ca="1"/>
      </c>
      <c r="IT137">
        <f ca="1"/>
      </c>
      <c r="IU137">
        <f ca="1"/>
      </c>
      <c r="IV137">
        <f ca="1"/>
      </c>
      <c r="IW137">
        <f ca="1"/>
      </c>
      <c r="IX137">
        <f ca="1"/>
      </c>
      <c r="IY137">
        <f ca="1"/>
      </c>
      <c r="IZ137">
        <f ca="1"/>
      </c>
      <c r="JA137">
        <f ca="1"/>
      </c>
      <c r="JB137">
        <f ca="1"/>
      </c>
      <c r="LA137">
        <f ca="1"/>
      </c>
      <c r="LB137">
        <f ca="1"/>
      </c>
      <c r="LC137">
        <f ca="1"/>
      </c>
    </row>
    <row r="138" spans="58:315" x14ac:dyDescent="0.55000000000000004">
      <c r="BF138">
        <f ca="1"/>
      </c>
      <c r="BG138">
        <f ca="1"/>
      </c>
      <c r="BI138">
        <f ca="1"/>
      </c>
      <c r="BJ138" s="11">
        <f ca="1"/>
      </c>
      <c r="BK138" s="11">
        <f ca="1"/>
      </c>
      <c r="BL138" s="11">
        <f ca="1"/>
      </c>
      <c r="BM138" s="11">
        <f ca="1"/>
      </c>
      <c r="BN138" s="11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J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F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B138">
        <f ca="1"/>
      </c>
      <c r="GC138">
        <f ca="1"/>
      </c>
      <c r="GD138">
        <f ca="1"/>
      </c>
      <c r="GE138">
        <f ca="1"/>
      </c>
      <c r="GF138">
        <f ca="1"/>
      </c>
      <c r="GG138">
        <f ca="1"/>
      </c>
      <c r="GH138">
        <f ca="1"/>
      </c>
      <c r="GI138">
        <f ca="1"/>
      </c>
      <c r="GJ138">
        <f ca="1"/>
      </c>
      <c r="GK138">
        <f ca="1"/>
      </c>
      <c r="GL138">
        <f ca="1"/>
      </c>
      <c r="GM138">
        <f ca="1"/>
      </c>
      <c r="GN138">
        <f ca="1"/>
      </c>
      <c r="GO138">
        <f ca="1"/>
      </c>
      <c r="GP138">
        <f ca="1"/>
      </c>
      <c r="GQ138">
        <f ca="1"/>
      </c>
      <c r="GR138">
        <f ca="1"/>
      </c>
      <c r="GS138">
        <f ca="1"/>
      </c>
      <c r="GT138">
        <f ca="1"/>
      </c>
      <c r="GU138">
        <f ca="1"/>
      </c>
      <c r="GV138">
        <f ca="1"/>
      </c>
      <c r="GW138">
        <f ca="1"/>
      </c>
      <c r="GX138">
        <f ca="1"/>
      </c>
      <c r="GY138">
        <f ca="1"/>
      </c>
      <c r="GZ138">
        <f ca="1"/>
      </c>
      <c r="HA138">
        <f ca="1"/>
      </c>
      <c r="HB138">
        <f ca="1"/>
      </c>
      <c r="HC138">
        <f ca="1"/>
      </c>
      <c r="HD138">
        <f ca="1"/>
      </c>
      <c r="HE138">
        <f ca="1"/>
      </c>
      <c r="HF138">
        <f ca="1"/>
      </c>
      <c r="HG138">
        <f ca="1"/>
      </c>
      <c r="HH138">
        <f ca="1"/>
      </c>
      <c r="HI138">
        <f ca="1"/>
      </c>
      <c r="HJ138">
        <f ca="1"/>
      </c>
      <c r="HK138">
        <f ca="1"/>
      </c>
      <c r="HL138">
        <f ca="1"/>
      </c>
      <c r="HM138">
        <f ca="1"/>
      </c>
      <c r="HN138">
        <f ca="1"/>
      </c>
      <c r="HO138">
        <f ca="1"/>
      </c>
      <c r="HP138">
        <f ca="1"/>
      </c>
      <c r="HQ138">
        <f ca="1"/>
      </c>
      <c r="HR138">
        <f ca="1"/>
      </c>
      <c r="HS138">
        <f ca="1"/>
      </c>
      <c r="HT138">
        <f ca="1"/>
      </c>
      <c r="HU138">
        <f ca="1"/>
      </c>
      <c r="HV138">
        <f ca="1"/>
      </c>
      <c r="HW138">
        <f ca="1"/>
      </c>
      <c r="HX138">
        <f ca="1"/>
      </c>
      <c r="HY138">
        <f ca="1"/>
      </c>
      <c r="HZ138">
        <f ca="1"/>
      </c>
      <c r="IA138">
        <f ca="1"/>
      </c>
      <c r="IB138">
        <f ca="1"/>
      </c>
      <c r="IC138">
        <f ca="1"/>
      </c>
      <c r="ID138">
        <f ca="1"/>
      </c>
      <c r="IE138">
        <f ca="1"/>
      </c>
      <c r="IF138">
        <f ca="1"/>
      </c>
      <c r="IG138">
        <f ca="1"/>
      </c>
      <c r="IH138">
        <f ca="1"/>
      </c>
      <c r="II138">
        <f ca="1"/>
      </c>
      <c r="IJ138">
        <f ca="1"/>
      </c>
      <c r="IK138">
        <f ca="1"/>
      </c>
      <c r="IL138">
        <f ca="1"/>
      </c>
      <c r="IM138">
        <f ca="1"/>
      </c>
      <c r="IN138">
        <f ca="1"/>
      </c>
      <c r="IO138">
        <f ca="1"/>
      </c>
      <c r="IP138">
        <f ca="1"/>
      </c>
      <c r="IQ138">
        <f ca="1"/>
      </c>
      <c r="IR138">
        <f ca="1"/>
      </c>
      <c r="IS138">
        <f ca="1"/>
      </c>
      <c r="IT138">
        <f ca="1"/>
      </c>
      <c r="IU138">
        <f ca="1"/>
      </c>
      <c r="IV138">
        <f ca="1"/>
      </c>
      <c r="IW138">
        <f ca="1"/>
      </c>
      <c r="IX138">
        <f ca="1"/>
      </c>
      <c r="IY138">
        <f ca="1"/>
      </c>
      <c r="IZ138">
        <f ca="1"/>
      </c>
      <c r="JA138">
        <f ca="1"/>
      </c>
      <c r="JB138">
        <f ca="1"/>
      </c>
      <c r="LA138">
        <f ca="1"/>
      </c>
      <c r="LB138">
        <f ca="1"/>
      </c>
      <c r="LC138">
        <f ca="1"/>
      </c>
    </row>
    <row r="139" spans="58:315" x14ac:dyDescent="0.55000000000000004">
      <c r="BF139">
        <f ca="1"/>
      </c>
      <c r="BG139">
        <f ca="1"/>
      </c>
      <c r="BI139">
        <f ca="1"/>
      </c>
      <c r="BJ139" s="11">
        <f ca="1"/>
      </c>
      <c r="BK139" s="11">
        <f ca="1"/>
      </c>
      <c r="BL139" s="11">
        <f ca="1"/>
      </c>
      <c r="BM139" s="11">
        <f ca="1"/>
      </c>
      <c r="BN139" s="11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J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F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B139">
        <f ca="1"/>
      </c>
      <c r="GC139">
        <f ca="1"/>
      </c>
      <c r="GD139">
        <f ca="1"/>
      </c>
      <c r="GE139">
        <f ca="1"/>
      </c>
      <c r="GF139">
        <f ca="1"/>
      </c>
      <c r="GG139">
        <f ca="1"/>
      </c>
      <c r="GH139">
        <f ca="1"/>
      </c>
      <c r="GI139">
        <f ca="1"/>
      </c>
      <c r="GJ139">
        <f ca="1"/>
      </c>
      <c r="GK139">
        <f ca="1"/>
      </c>
      <c r="GL139">
        <f ca="1"/>
      </c>
      <c r="GM139">
        <f ca="1"/>
      </c>
      <c r="GN139">
        <f ca="1"/>
      </c>
      <c r="GO139">
        <f ca="1"/>
      </c>
      <c r="GP139">
        <f ca="1"/>
      </c>
      <c r="GQ139">
        <f ca="1"/>
      </c>
      <c r="GR139">
        <f ca="1"/>
      </c>
      <c r="GS139">
        <f ca="1"/>
      </c>
      <c r="GT139">
        <f ca="1"/>
      </c>
      <c r="GU139">
        <f ca="1"/>
      </c>
      <c r="GV139">
        <f ca="1"/>
      </c>
      <c r="GW139">
        <f ca="1"/>
      </c>
      <c r="GX139">
        <f ca="1"/>
      </c>
      <c r="GY139">
        <f ca="1"/>
      </c>
      <c r="GZ139">
        <f ca="1"/>
      </c>
      <c r="HA139">
        <f ca="1"/>
      </c>
      <c r="HB139">
        <f ca="1"/>
      </c>
      <c r="HC139">
        <f ca="1"/>
      </c>
      <c r="HD139">
        <f ca="1"/>
      </c>
      <c r="HE139">
        <f ca="1"/>
      </c>
      <c r="HF139">
        <f ca="1"/>
      </c>
      <c r="HG139">
        <f ca="1"/>
      </c>
      <c r="HH139">
        <f ca="1"/>
      </c>
      <c r="HI139">
        <f ca="1"/>
      </c>
      <c r="HJ139">
        <f ca="1"/>
      </c>
      <c r="HK139">
        <f ca="1"/>
      </c>
      <c r="HL139">
        <f ca="1"/>
      </c>
      <c r="HM139">
        <f ca="1"/>
      </c>
      <c r="HN139">
        <f ca="1"/>
      </c>
      <c r="HO139">
        <f ca="1"/>
      </c>
      <c r="HP139">
        <f ca="1"/>
      </c>
      <c r="HQ139">
        <f ca="1"/>
      </c>
      <c r="HR139">
        <f ca="1"/>
      </c>
      <c r="HS139">
        <f ca="1"/>
      </c>
      <c r="HT139">
        <f ca="1"/>
      </c>
      <c r="HU139">
        <f ca="1"/>
      </c>
      <c r="HV139">
        <f ca="1"/>
      </c>
      <c r="HW139">
        <f ca="1"/>
      </c>
      <c r="HX139">
        <f ca="1"/>
      </c>
      <c r="HY139">
        <f ca="1"/>
      </c>
      <c r="HZ139">
        <f ca="1"/>
      </c>
      <c r="IA139">
        <f ca="1"/>
      </c>
      <c r="IB139">
        <f ca="1"/>
      </c>
      <c r="IC139">
        <f ca="1"/>
      </c>
      <c r="ID139">
        <f ca="1"/>
      </c>
      <c r="IE139">
        <f ca="1"/>
      </c>
      <c r="IF139">
        <f ca="1"/>
      </c>
      <c r="IG139">
        <f ca="1"/>
      </c>
      <c r="IH139">
        <f ca="1"/>
      </c>
      <c r="II139">
        <f ca="1"/>
      </c>
      <c r="IJ139">
        <f ca="1"/>
      </c>
      <c r="IK139">
        <f ca="1"/>
      </c>
      <c r="IL139">
        <f ca="1"/>
      </c>
      <c r="IM139">
        <f ca="1"/>
      </c>
      <c r="IN139">
        <f ca="1"/>
      </c>
      <c r="IO139">
        <f ca="1"/>
      </c>
      <c r="IP139">
        <f ca="1"/>
      </c>
      <c r="IQ139">
        <f ca="1"/>
      </c>
      <c r="IR139">
        <f ca="1"/>
      </c>
      <c r="IS139">
        <f ca="1"/>
      </c>
      <c r="IT139">
        <f ca="1"/>
      </c>
      <c r="IU139">
        <f ca="1"/>
      </c>
      <c r="IV139">
        <f ca="1"/>
      </c>
      <c r="IW139">
        <f ca="1"/>
      </c>
      <c r="IX139">
        <f ca="1"/>
      </c>
      <c r="IY139">
        <f ca="1"/>
      </c>
      <c r="IZ139">
        <f ca="1"/>
      </c>
      <c r="JA139">
        <f ca="1"/>
      </c>
      <c r="JB139">
        <f ca="1"/>
      </c>
      <c r="LA139">
        <f ca="1"/>
      </c>
      <c r="LB139">
        <f ca="1"/>
      </c>
      <c r="LC139">
        <f ca="1"/>
      </c>
    </row>
    <row r="140" spans="58:315" x14ac:dyDescent="0.55000000000000004">
      <c r="BF140">
        <f ca="1"/>
      </c>
      <c r="BG140">
        <f ca="1"/>
      </c>
      <c r="BI140">
        <f ca="1"/>
      </c>
      <c r="BJ140" s="11">
        <f ca="1"/>
      </c>
      <c r="BK140" s="11">
        <f ca="1"/>
      </c>
      <c r="BL140" s="11">
        <f ca="1"/>
      </c>
      <c r="BM140" s="11">
        <f ca="1"/>
      </c>
      <c r="BN140" s="11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J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F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B140">
        <f ca="1"/>
      </c>
      <c r="GC140">
        <f ca="1"/>
      </c>
      <c r="GD140">
        <f ca="1"/>
      </c>
      <c r="GE140">
        <f ca="1"/>
      </c>
      <c r="GF140">
        <f ca="1"/>
      </c>
      <c r="GG140">
        <f ca="1"/>
      </c>
      <c r="GH140">
        <f ca="1"/>
      </c>
      <c r="GI140">
        <f ca="1"/>
      </c>
      <c r="GJ140">
        <f ca="1"/>
      </c>
      <c r="GK140">
        <f ca="1"/>
      </c>
      <c r="GL140">
        <f ca="1"/>
      </c>
      <c r="GM140">
        <f ca="1"/>
      </c>
      <c r="GN140">
        <f ca="1"/>
      </c>
      <c r="GO140">
        <f ca="1"/>
      </c>
      <c r="GP140">
        <f ca="1"/>
      </c>
      <c r="GQ140">
        <f ca="1"/>
      </c>
      <c r="GR140">
        <f ca="1"/>
      </c>
      <c r="GS140">
        <f ca="1"/>
      </c>
      <c r="GT140">
        <f ca="1"/>
      </c>
      <c r="GU140">
        <f ca="1"/>
      </c>
      <c r="GV140">
        <f ca="1"/>
      </c>
      <c r="GW140">
        <f ca="1"/>
      </c>
      <c r="GX140">
        <f ca="1"/>
      </c>
      <c r="GY140">
        <f ca="1"/>
      </c>
      <c r="GZ140">
        <f ca="1"/>
      </c>
      <c r="HA140">
        <f ca="1"/>
      </c>
      <c r="HB140">
        <f ca="1"/>
      </c>
      <c r="HC140">
        <f ca="1"/>
      </c>
      <c r="HD140">
        <f ca="1"/>
      </c>
      <c r="HE140">
        <f ca="1"/>
      </c>
      <c r="HF140">
        <f ca="1"/>
      </c>
      <c r="HG140">
        <f ca="1"/>
      </c>
      <c r="HH140">
        <f ca="1"/>
      </c>
      <c r="HI140">
        <f ca="1"/>
      </c>
      <c r="HJ140">
        <f ca="1"/>
      </c>
      <c r="HK140">
        <f ca="1"/>
      </c>
      <c r="HL140">
        <f ca="1"/>
      </c>
      <c r="HM140">
        <f ca="1"/>
      </c>
      <c r="HN140">
        <f ca="1"/>
      </c>
      <c r="HO140">
        <f ca="1"/>
      </c>
      <c r="HP140">
        <f ca="1"/>
      </c>
      <c r="HQ140">
        <f ca="1"/>
      </c>
      <c r="HR140">
        <f ca="1"/>
      </c>
      <c r="HS140">
        <f ca="1"/>
      </c>
      <c r="HT140">
        <f ca="1"/>
      </c>
      <c r="HU140">
        <f ca="1"/>
      </c>
      <c r="HV140">
        <f ca="1"/>
      </c>
      <c r="HW140">
        <f ca="1"/>
      </c>
      <c r="HX140">
        <f ca="1"/>
      </c>
      <c r="HY140">
        <f ca="1"/>
      </c>
      <c r="HZ140">
        <f ca="1"/>
      </c>
      <c r="IA140">
        <f ca="1"/>
      </c>
      <c r="IB140">
        <f ca="1"/>
      </c>
      <c r="IC140">
        <f ca="1"/>
      </c>
      <c r="ID140">
        <f ca="1"/>
      </c>
      <c r="IE140">
        <f ca="1"/>
      </c>
      <c r="IF140">
        <f ca="1"/>
      </c>
      <c r="IG140">
        <f ca="1"/>
      </c>
      <c r="IH140">
        <f ca="1"/>
      </c>
      <c r="II140">
        <f ca="1"/>
      </c>
      <c r="IJ140">
        <f ca="1"/>
      </c>
      <c r="IK140">
        <f ca="1"/>
      </c>
      <c r="IL140">
        <f ca="1"/>
      </c>
      <c r="IM140">
        <f ca="1"/>
      </c>
      <c r="IN140">
        <f ca="1"/>
      </c>
      <c r="IO140">
        <f ca="1"/>
      </c>
      <c r="IP140">
        <f ca="1"/>
      </c>
      <c r="IQ140">
        <f ca="1"/>
      </c>
      <c r="IR140">
        <f ca="1"/>
      </c>
      <c r="IS140">
        <f ca="1"/>
      </c>
      <c r="IT140">
        <f ca="1"/>
      </c>
      <c r="IU140">
        <f ca="1"/>
      </c>
      <c r="IV140">
        <f ca="1"/>
      </c>
      <c r="IW140">
        <f ca="1"/>
      </c>
      <c r="IX140">
        <f ca="1"/>
      </c>
      <c r="IY140">
        <f ca="1"/>
      </c>
      <c r="IZ140">
        <f ca="1"/>
      </c>
      <c r="JA140">
        <f ca="1"/>
      </c>
      <c r="JB140">
        <f ca="1"/>
      </c>
      <c r="LA140">
        <f ca="1"/>
      </c>
      <c r="LB140">
        <f ca="1"/>
      </c>
      <c r="LC140">
        <f ca="1"/>
      </c>
    </row>
    <row r="141" spans="58:315" x14ac:dyDescent="0.55000000000000004">
      <c r="BF141">
        <f ca="1"/>
      </c>
      <c r="BG141">
        <f ca="1"/>
      </c>
      <c r="BI141">
        <f ca="1"/>
      </c>
      <c r="BJ141" s="11">
        <f ca="1"/>
      </c>
      <c r="BK141" s="11">
        <f ca="1"/>
      </c>
      <c r="BL141" s="11">
        <f ca="1"/>
      </c>
      <c r="BM141" s="11">
        <f ca="1"/>
      </c>
      <c r="BN141" s="1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J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F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B141">
        <f ca="1"/>
      </c>
      <c r="GC141">
        <f ca="1"/>
      </c>
      <c r="GD141">
        <f ca="1"/>
      </c>
      <c r="GE141">
        <f ca="1"/>
      </c>
      <c r="GF141">
        <f ca="1"/>
      </c>
      <c r="GG141">
        <f ca="1"/>
      </c>
      <c r="GH141">
        <f ca="1"/>
      </c>
      <c r="GI141">
        <f ca="1"/>
      </c>
      <c r="GJ141">
        <f ca="1"/>
      </c>
      <c r="GK141">
        <f ca="1"/>
      </c>
      <c r="GL141">
        <f ca="1"/>
      </c>
      <c r="GM141">
        <f ca="1"/>
      </c>
      <c r="GN141">
        <f ca="1"/>
      </c>
      <c r="GO141">
        <f ca="1"/>
      </c>
      <c r="GP141">
        <f ca="1"/>
      </c>
      <c r="GQ141">
        <f ca="1"/>
      </c>
      <c r="GR141">
        <f ca="1"/>
      </c>
      <c r="GS141">
        <f ca="1"/>
      </c>
      <c r="GT141">
        <f ca="1"/>
      </c>
      <c r="GU141">
        <f ca="1"/>
      </c>
      <c r="GV141">
        <f ca="1"/>
      </c>
      <c r="GW141">
        <f ca="1"/>
      </c>
      <c r="GX141">
        <f ca="1"/>
      </c>
      <c r="GY141">
        <f ca="1"/>
      </c>
      <c r="GZ141">
        <f ca="1"/>
      </c>
      <c r="HA141">
        <f ca="1"/>
      </c>
      <c r="HB141">
        <f ca="1"/>
      </c>
      <c r="HC141">
        <f ca="1"/>
      </c>
      <c r="HD141">
        <f ca="1"/>
      </c>
      <c r="HE141">
        <f ca="1"/>
      </c>
      <c r="HF141">
        <f ca="1"/>
      </c>
      <c r="HG141">
        <f ca="1"/>
      </c>
      <c r="HH141">
        <f ca="1"/>
      </c>
      <c r="HI141">
        <f ca="1"/>
      </c>
      <c r="HJ141">
        <f ca="1"/>
      </c>
      <c r="HK141">
        <f ca="1"/>
      </c>
      <c r="HL141">
        <f ca="1"/>
      </c>
      <c r="HM141">
        <f ca="1"/>
      </c>
      <c r="HN141">
        <f ca="1"/>
      </c>
      <c r="HO141">
        <f ca="1"/>
      </c>
      <c r="HP141">
        <f ca="1"/>
      </c>
      <c r="HQ141">
        <f ca="1"/>
      </c>
      <c r="HR141">
        <f ca="1"/>
      </c>
      <c r="HS141">
        <f ca="1"/>
      </c>
      <c r="HT141">
        <f ca="1"/>
      </c>
      <c r="HU141">
        <f ca="1"/>
      </c>
      <c r="HV141">
        <f ca="1"/>
      </c>
      <c r="HW141">
        <f ca="1"/>
      </c>
      <c r="HX141">
        <f ca="1"/>
      </c>
      <c r="HY141">
        <f ca="1"/>
      </c>
      <c r="HZ141">
        <f ca="1"/>
      </c>
      <c r="IA141">
        <f ca="1"/>
      </c>
      <c r="IB141">
        <f ca="1"/>
      </c>
      <c r="IC141">
        <f ca="1"/>
      </c>
      <c r="ID141">
        <f ca="1"/>
      </c>
      <c r="IE141">
        <f ca="1"/>
      </c>
      <c r="IF141">
        <f ca="1"/>
      </c>
      <c r="IG141">
        <f ca="1"/>
      </c>
      <c r="IH141">
        <f ca="1"/>
      </c>
      <c r="II141">
        <f ca="1"/>
      </c>
      <c r="IJ141">
        <f ca="1"/>
      </c>
      <c r="IK141">
        <f ca="1"/>
      </c>
      <c r="IL141">
        <f ca="1"/>
      </c>
      <c r="IM141">
        <f ca="1"/>
      </c>
      <c r="IN141">
        <f ca="1"/>
      </c>
      <c r="IO141">
        <f ca="1"/>
      </c>
      <c r="IP141">
        <f ca="1"/>
      </c>
      <c r="IQ141">
        <f ca="1"/>
      </c>
      <c r="IR141">
        <f ca="1"/>
      </c>
      <c r="IS141">
        <f ca="1"/>
      </c>
      <c r="IT141">
        <f ca="1"/>
      </c>
      <c r="IU141">
        <f ca="1"/>
      </c>
      <c r="IV141">
        <f ca="1"/>
      </c>
      <c r="IW141">
        <f ca="1"/>
      </c>
      <c r="IX141">
        <f ca="1"/>
      </c>
      <c r="IY141">
        <f ca="1"/>
      </c>
      <c r="IZ141">
        <f ca="1"/>
      </c>
      <c r="JA141">
        <f ca="1"/>
      </c>
      <c r="JB141">
        <f ca="1"/>
      </c>
      <c r="LA141">
        <f ca="1"/>
      </c>
      <c r="LB141">
        <f ca="1"/>
      </c>
      <c r="LC141">
        <f ca="1"/>
      </c>
    </row>
    <row r="142" spans="58:315" x14ac:dyDescent="0.55000000000000004">
      <c r="BF142">
        <f ca="1"/>
      </c>
      <c r="BG142">
        <f ca="1"/>
      </c>
      <c r="BI142">
        <f ca="1"/>
      </c>
      <c r="BJ142" s="11">
        <f ca="1"/>
      </c>
      <c r="BK142" s="11">
        <f ca="1"/>
      </c>
      <c r="BL142" s="11">
        <f ca="1"/>
      </c>
      <c r="BM142" s="11">
        <f ca="1"/>
      </c>
      <c r="BN142" s="11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J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F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B142">
        <f ca="1"/>
      </c>
      <c r="GC142">
        <f ca="1"/>
      </c>
      <c r="GD142">
        <f ca="1"/>
      </c>
      <c r="GE142">
        <f ca="1"/>
      </c>
      <c r="GF142">
        <f ca="1"/>
      </c>
      <c r="GG142">
        <f ca="1"/>
      </c>
      <c r="GH142">
        <f ca="1"/>
      </c>
      <c r="GI142">
        <f ca="1"/>
      </c>
      <c r="GJ142">
        <f ca="1"/>
      </c>
      <c r="GK142">
        <f ca="1"/>
      </c>
      <c r="GL142">
        <f ca="1"/>
      </c>
      <c r="GM142">
        <f ca="1"/>
      </c>
      <c r="GN142">
        <f ca="1"/>
      </c>
      <c r="GO142">
        <f ca="1"/>
      </c>
      <c r="GP142">
        <f ca="1"/>
      </c>
      <c r="GQ142">
        <f ca="1"/>
      </c>
      <c r="GR142">
        <f ca="1"/>
      </c>
      <c r="GS142">
        <f ca="1"/>
      </c>
      <c r="GT142">
        <f ca="1"/>
      </c>
      <c r="GU142">
        <f ca="1"/>
      </c>
      <c r="GV142">
        <f ca="1"/>
      </c>
      <c r="GW142">
        <f ca="1"/>
      </c>
      <c r="GX142">
        <f ca="1"/>
      </c>
      <c r="GY142">
        <f ca="1"/>
      </c>
      <c r="GZ142">
        <f ca="1"/>
      </c>
      <c r="HA142">
        <f ca="1"/>
      </c>
      <c r="HB142">
        <f ca="1"/>
      </c>
      <c r="HC142">
        <f ca="1"/>
      </c>
      <c r="HD142">
        <f ca="1"/>
      </c>
      <c r="HE142">
        <f ca="1"/>
      </c>
      <c r="HF142">
        <f ca="1"/>
      </c>
      <c r="HG142">
        <f ca="1"/>
      </c>
      <c r="HH142">
        <f ca="1"/>
      </c>
      <c r="HI142">
        <f ca="1"/>
      </c>
      <c r="HJ142">
        <f ca="1"/>
      </c>
      <c r="HK142">
        <f ca="1"/>
      </c>
      <c r="HL142">
        <f ca="1"/>
      </c>
      <c r="HM142">
        <f ca="1"/>
      </c>
      <c r="HN142">
        <f ca="1"/>
      </c>
      <c r="HO142">
        <f ca="1"/>
      </c>
      <c r="HP142">
        <f ca="1"/>
      </c>
      <c r="HQ142">
        <f ca="1"/>
      </c>
      <c r="HR142">
        <f ca="1"/>
      </c>
      <c r="HS142">
        <f ca="1"/>
      </c>
      <c r="HT142">
        <f ca="1"/>
      </c>
      <c r="HU142">
        <f ca="1"/>
      </c>
      <c r="HV142">
        <f ca="1"/>
      </c>
      <c r="HW142">
        <f ca="1"/>
      </c>
      <c r="HX142">
        <f ca="1"/>
      </c>
      <c r="HY142">
        <f ca="1"/>
      </c>
      <c r="HZ142">
        <f ca="1"/>
      </c>
      <c r="IA142">
        <f ca="1"/>
      </c>
      <c r="IB142">
        <f ca="1"/>
      </c>
      <c r="IC142">
        <f ca="1"/>
      </c>
      <c r="ID142">
        <f ca="1"/>
      </c>
      <c r="IE142">
        <f ca="1"/>
      </c>
      <c r="IF142">
        <f ca="1"/>
      </c>
      <c r="IG142">
        <f ca="1"/>
      </c>
      <c r="IH142">
        <f ca="1"/>
      </c>
      <c r="II142">
        <f ca="1"/>
      </c>
      <c r="IJ142">
        <f ca="1"/>
      </c>
      <c r="IK142">
        <f ca="1"/>
      </c>
      <c r="IL142">
        <f ca="1"/>
      </c>
      <c r="IM142">
        <f ca="1"/>
      </c>
      <c r="IN142">
        <f ca="1"/>
      </c>
      <c r="IO142">
        <f ca="1"/>
      </c>
      <c r="IP142">
        <f ca="1"/>
      </c>
      <c r="IQ142">
        <f ca="1"/>
      </c>
      <c r="IR142">
        <f ca="1"/>
      </c>
      <c r="IS142">
        <f ca="1"/>
      </c>
      <c r="IT142">
        <f ca="1"/>
      </c>
      <c r="IU142">
        <f ca="1"/>
      </c>
      <c r="IV142">
        <f ca="1"/>
      </c>
      <c r="IW142">
        <f ca="1"/>
      </c>
      <c r="IX142">
        <f ca="1"/>
      </c>
      <c r="IY142">
        <f ca="1"/>
      </c>
      <c r="IZ142">
        <f ca="1"/>
      </c>
      <c r="JA142">
        <f ca="1"/>
      </c>
      <c r="JB142">
        <f ca="1"/>
      </c>
      <c r="LA142">
        <f ca="1"/>
      </c>
      <c r="LB142">
        <f ca="1"/>
      </c>
      <c r="LC142">
        <f ca="1"/>
      </c>
    </row>
    <row r="143" spans="58:315" x14ac:dyDescent="0.55000000000000004">
      <c r="BF143">
        <f ca="1"/>
      </c>
      <c r="BG143">
        <f ca="1"/>
      </c>
      <c r="BI143">
        <f ca="1"/>
      </c>
      <c r="BJ143" s="11">
        <f ca="1"/>
      </c>
      <c r="BK143" s="11">
        <f ca="1"/>
      </c>
      <c r="BL143" s="11">
        <f ca="1"/>
      </c>
      <c r="BM143" s="11">
        <f ca="1"/>
      </c>
      <c r="BN143" s="11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J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F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B143">
        <f ca="1"/>
      </c>
      <c r="GC143">
        <f ca="1"/>
      </c>
      <c r="GD143">
        <f ca="1"/>
      </c>
      <c r="GE143">
        <f ca="1"/>
      </c>
      <c r="GF143">
        <f ca="1"/>
      </c>
      <c r="GG143">
        <f ca="1"/>
      </c>
      <c r="GH143">
        <f ca="1"/>
      </c>
      <c r="GI143">
        <f ca="1"/>
      </c>
      <c r="GJ143">
        <f ca="1"/>
      </c>
      <c r="GK143">
        <f ca="1"/>
      </c>
      <c r="GL143">
        <f ca="1"/>
      </c>
      <c r="GM143">
        <f ca="1"/>
      </c>
      <c r="GN143">
        <f ca="1"/>
      </c>
      <c r="GO143">
        <f ca="1"/>
      </c>
      <c r="GP143">
        <f ca="1"/>
      </c>
      <c r="GQ143">
        <f ca="1"/>
      </c>
      <c r="GR143">
        <f ca="1"/>
      </c>
      <c r="GS143">
        <f ca="1"/>
      </c>
      <c r="GT143">
        <f ca="1"/>
      </c>
      <c r="GU143">
        <f ca="1"/>
      </c>
      <c r="GV143">
        <f ca="1"/>
      </c>
      <c r="GW143">
        <f ca="1"/>
      </c>
      <c r="GX143">
        <f ca="1"/>
      </c>
      <c r="GY143">
        <f ca="1"/>
      </c>
      <c r="GZ143">
        <f ca="1"/>
      </c>
      <c r="HA143">
        <f ca="1"/>
      </c>
      <c r="HB143">
        <f ca="1"/>
      </c>
      <c r="HC143">
        <f ca="1"/>
      </c>
      <c r="HD143">
        <f ca="1"/>
      </c>
      <c r="HE143">
        <f ca="1"/>
      </c>
      <c r="HF143">
        <f ca="1"/>
      </c>
      <c r="HG143">
        <f ca="1"/>
      </c>
      <c r="HH143">
        <f ca="1"/>
      </c>
      <c r="HI143">
        <f ca="1"/>
      </c>
      <c r="HJ143">
        <f ca="1"/>
      </c>
      <c r="HK143">
        <f ca="1"/>
      </c>
      <c r="HL143">
        <f ca="1"/>
      </c>
      <c r="HM143">
        <f ca="1"/>
      </c>
      <c r="HN143">
        <f ca="1"/>
      </c>
      <c r="HO143">
        <f ca="1"/>
      </c>
      <c r="HP143">
        <f ca="1"/>
      </c>
      <c r="HQ143">
        <f ca="1"/>
      </c>
      <c r="HR143">
        <f ca="1"/>
      </c>
      <c r="HS143">
        <f ca="1"/>
      </c>
      <c r="HT143">
        <f ca="1"/>
      </c>
      <c r="HU143">
        <f ca="1"/>
      </c>
      <c r="HV143">
        <f ca="1"/>
      </c>
      <c r="HW143">
        <f ca="1"/>
      </c>
      <c r="HX143">
        <f ca="1"/>
      </c>
      <c r="HY143">
        <f ca="1"/>
      </c>
      <c r="HZ143">
        <f ca="1"/>
      </c>
      <c r="IA143">
        <f ca="1"/>
      </c>
      <c r="IB143">
        <f ca="1"/>
      </c>
      <c r="IC143">
        <f ca="1"/>
      </c>
      <c r="ID143">
        <f ca="1"/>
      </c>
      <c r="IE143">
        <f ca="1"/>
      </c>
      <c r="IF143">
        <f ca="1"/>
      </c>
      <c r="IG143">
        <f ca="1"/>
      </c>
      <c r="IH143">
        <f ca="1"/>
      </c>
      <c r="II143">
        <f ca="1"/>
      </c>
      <c r="IJ143">
        <f ca="1"/>
      </c>
      <c r="IK143">
        <f ca="1"/>
      </c>
      <c r="IL143">
        <f ca="1"/>
      </c>
      <c r="IM143">
        <f ca="1"/>
      </c>
      <c r="IN143">
        <f ca="1"/>
      </c>
      <c r="IO143">
        <f ca="1"/>
      </c>
      <c r="IP143">
        <f ca="1"/>
      </c>
      <c r="IQ143">
        <f ca="1"/>
      </c>
      <c r="IR143">
        <f ca="1"/>
      </c>
      <c r="IS143">
        <f ca="1"/>
      </c>
      <c r="IT143">
        <f ca="1"/>
      </c>
      <c r="IU143">
        <f ca="1"/>
      </c>
      <c r="IV143">
        <f ca="1"/>
      </c>
      <c r="IW143">
        <f ca="1"/>
      </c>
      <c r="IX143">
        <f ca="1"/>
      </c>
      <c r="IY143">
        <f ca="1"/>
      </c>
      <c r="IZ143">
        <f ca="1"/>
      </c>
      <c r="JA143">
        <f ca="1"/>
      </c>
      <c r="JB143">
        <f ca="1"/>
      </c>
      <c r="LA143">
        <f ca="1"/>
      </c>
      <c r="LB143">
        <f ca="1"/>
      </c>
      <c r="LC143">
        <f ca="1"/>
      </c>
    </row>
    <row r="144" spans="58:315" x14ac:dyDescent="0.55000000000000004">
      <c r="BF144">
        <f ca="1"/>
      </c>
      <c r="BG144">
        <f ca="1"/>
      </c>
      <c r="BI144">
        <f ca="1"/>
      </c>
      <c r="BJ144" s="11">
        <f ca="1"/>
      </c>
      <c r="BK144" s="11">
        <f ca="1"/>
      </c>
      <c r="BL144" s="11">
        <f ca="1"/>
      </c>
      <c r="BM144" s="11">
        <f ca="1"/>
      </c>
      <c r="BN144" s="11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J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F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B144">
        <f ca="1"/>
      </c>
      <c r="GC144">
        <f ca="1"/>
      </c>
      <c r="GD144">
        <f ca="1"/>
      </c>
      <c r="GE144">
        <f ca="1"/>
      </c>
      <c r="GF144">
        <f ca="1"/>
      </c>
      <c r="GG144">
        <f ca="1"/>
      </c>
      <c r="GH144">
        <f ca="1"/>
      </c>
      <c r="GI144">
        <f ca="1"/>
      </c>
      <c r="GJ144">
        <f ca="1"/>
      </c>
      <c r="GK144">
        <f ca="1"/>
      </c>
      <c r="GL144">
        <f ca="1"/>
      </c>
      <c r="GM144">
        <f ca="1"/>
      </c>
      <c r="GN144">
        <f ca="1"/>
      </c>
      <c r="GO144">
        <f ca="1"/>
      </c>
      <c r="GP144">
        <f ca="1"/>
      </c>
      <c r="GQ144">
        <f ca="1"/>
      </c>
      <c r="GR144">
        <f ca="1"/>
      </c>
      <c r="GS144">
        <f ca="1"/>
      </c>
      <c r="GT144">
        <f ca="1"/>
      </c>
      <c r="GU144">
        <f ca="1"/>
      </c>
      <c r="GV144">
        <f ca="1"/>
      </c>
      <c r="GW144">
        <f ca="1"/>
      </c>
      <c r="GX144">
        <f ca="1"/>
      </c>
      <c r="GY144">
        <f ca="1"/>
      </c>
      <c r="GZ144">
        <f ca="1"/>
      </c>
      <c r="HA144">
        <f ca="1"/>
      </c>
      <c r="HB144">
        <f ca="1"/>
      </c>
      <c r="HC144">
        <f ca="1"/>
      </c>
      <c r="HD144">
        <f ca="1"/>
      </c>
      <c r="HE144">
        <f ca="1"/>
      </c>
      <c r="HF144">
        <f ca="1"/>
      </c>
      <c r="HG144">
        <f ca="1"/>
      </c>
      <c r="HH144">
        <f ca="1"/>
      </c>
      <c r="HI144">
        <f ca="1"/>
      </c>
      <c r="HJ144">
        <f ca="1"/>
      </c>
      <c r="HK144">
        <f ca="1"/>
      </c>
      <c r="HL144">
        <f ca="1"/>
      </c>
      <c r="HM144">
        <f ca="1"/>
      </c>
      <c r="HN144">
        <f ca="1"/>
      </c>
      <c r="HO144">
        <f ca="1"/>
      </c>
      <c r="HP144">
        <f ca="1"/>
      </c>
      <c r="HQ144">
        <f ca="1"/>
      </c>
      <c r="HR144">
        <f ca="1"/>
      </c>
      <c r="HS144">
        <f ca="1"/>
      </c>
      <c r="HT144">
        <f ca="1"/>
      </c>
      <c r="HU144">
        <f ca="1"/>
      </c>
      <c r="HV144">
        <f ca="1"/>
      </c>
      <c r="HW144">
        <f ca="1"/>
      </c>
      <c r="HX144">
        <f ca="1"/>
      </c>
      <c r="HY144">
        <f ca="1"/>
      </c>
      <c r="HZ144">
        <f ca="1"/>
      </c>
      <c r="IA144">
        <f ca="1"/>
      </c>
      <c r="IB144">
        <f ca="1"/>
      </c>
      <c r="IC144">
        <f ca="1"/>
      </c>
      <c r="ID144">
        <f ca="1"/>
      </c>
      <c r="IE144">
        <f ca="1"/>
      </c>
      <c r="IF144">
        <f ca="1"/>
      </c>
      <c r="IG144">
        <f ca="1"/>
      </c>
      <c r="IH144">
        <f ca="1"/>
      </c>
      <c r="II144">
        <f ca="1"/>
      </c>
      <c r="IJ144">
        <f ca="1"/>
      </c>
      <c r="IK144">
        <f ca="1"/>
      </c>
      <c r="IL144">
        <f ca="1"/>
      </c>
      <c r="IM144">
        <f ca="1"/>
      </c>
      <c r="IN144">
        <f ca="1"/>
      </c>
      <c r="IO144">
        <f ca="1"/>
      </c>
      <c r="IP144">
        <f ca="1"/>
      </c>
      <c r="IQ144">
        <f ca="1"/>
      </c>
      <c r="IR144">
        <f ca="1"/>
      </c>
      <c r="IS144">
        <f ca="1"/>
      </c>
      <c r="IT144">
        <f ca="1"/>
      </c>
      <c r="IU144">
        <f ca="1"/>
      </c>
      <c r="IV144">
        <f ca="1"/>
      </c>
      <c r="IW144">
        <f ca="1"/>
      </c>
      <c r="IX144">
        <f ca="1"/>
      </c>
      <c r="IY144">
        <f ca="1"/>
      </c>
      <c r="IZ144">
        <f ca="1"/>
      </c>
      <c r="JA144">
        <f ca="1"/>
      </c>
      <c r="JB144">
        <f ca="1"/>
      </c>
      <c r="LA144">
        <f ca="1"/>
      </c>
      <c r="LB144">
        <f ca="1"/>
      </c>
      <c r="LC144">
        <f ca="1"/>
      </c>
    </row>
    <row r="145" spans="58:315" x14ac:dyDescent="0.55000000000000004">
      <c r="BF145">
        <f ca="1"/>
      </c>
      <c r="BG145">
        <f ca="1"/>
      </c>
      <c r="BI145">
        <f ca="1"/>
      </c>
      <c r="BJ145" s="11">
        <f ca="1"/>
      </c>
      <c r="BK145" s="11">
        <f ca="1"/>
      </c>
      <c r="BL145" s="11">
        <f ca="1"/>
      </c>
      <c r="BM145" s="11">
        <f ca="1"/>
      </c>
      <c r="BN145" s="11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J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F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B145">
        <f ca="1"/>
      </c>
      <c r="GC145">
        <f ca="1"/>
      </c>
      <c r="GD145">
        <f ca="1"/>
      </c>
      <c r="GE145">
        <f ca="1"/>
      </c>
      <c r="GF145">
        <f ca="1"/>
      </c>
      <c r="GG145">
        <f ca="1"/>
      </c>
      <c r="GH145">
        <f ca="1"/>
      </c>
      <c r="GI145">
        <f ca="1"/>
      </c>
      <c r="GJ145">
        <f ca="1"/>
      </c>
      <c r="GK145">
        <f ca="1"/>
      </c>
      <c r="GL145">
        <f ca="1"/>
      </c>
      <c r="GM145">
        <f ca="1"/>
      </c>
      <c r="GN145">
        <f ca="1"/>
      </c>
      <c r="GO145">
        <f ca="1"/>
      </c>
      <c r="GP145">
        <f ca="1"/>
      </c>
      <c r="GQ145">
        <f ca="1"/>
      </c>
      <c r="GR145">
        <f ca="1"/>
      </c>
      <c r="GS145">
        <f ca="1"/>
      </c>
      <c r="GT145">
        <f ca="1"/>
      </c>
      <c r="GU145">
        <f ca="1"/>
      </c>
      <c r="GV145">
        <f ca="1"/>
      </c>
      <c r="GW145">
        <f ca="1"/>
      </c>
      <c r="GX145">
        <f ca="1"/>
      </c>
      <c r="GY145">
        <f ca="1"/>
      </c>
      <c r="GZ145">
        <f ca="1"/>
      </c>
      <c r="HA145">
        <f ca="1"/>
      </c>
      <c r="HB145">
        <f ca="1"/>
      </c>
      <c r="HC145">
        <f ca="1"/>
      </c>
      <c r="HD145">
        <f ca="1"/>
      </c>
      <c r="HE145">
        <f ca="1"/>
      </c>
      <c r="HF145">
        <f ca="1"/>
      </c>
      <c r="HG145">
        <f ca="1"/>
      </c>
      <c r="HH145">
        <f ca="1"/>
      </c>
      <c r="HI145">
        <f ca="1"/>
      </c>
      <c r="HJ145">
        <f ca="1"/>
      </c>
      <c r="HK145">
        <f ca="1"/>
      </c>
      <c r="HL145">
        <f ca="1"/>
      </c>
      <c r="HM145">
        <f ca="1"/>
      </c>
      <c r="HN145">
        <f ca="1"/>
      </c>
      <c r="HO145">
        <f ca="1"/>
      </c>
      <c r="HP145">
        <f ca="1"/>
      </c>
      <c r="HQ145">
        <f ca="1"/>
      </c>
      <c r="HR145">
        <f ca="1"/>
      </c>
      <c r="HS145">
        <f ca="1"/>
      </c>
      <c r="HT145">
        <f ca="1"/>
      </c>
      <c r="HU145">
        <f ca="1"/>
      </c>
      <c r="HV145">
        <f ca="1"/>
      </c>
      <c r="HW145">
        <f ca="1"/>
      </c>
      <c r="HX145">
        <f ca="1"/>
      </c>
      <c r="HY145">
        <f ca="1"/>
      </c>
      <c r="HZ145">
        <f ca="1"/>
      </c>
      <c r="IA145">
        <f ca="1"/>
      </c>
      <c r="IB145">
        <f ca="1"/>
      </c>
      <c r="IC145">
        <f ca="1"/>
      </c>
      <c r="ID145">
        <f ca="1"/>
      </c>
      <c r="IE145">
        <f ca="1"/>
      </c>
      <c r="IF145">
        <f ca="1"/>
      </c>
      <c r="IG145">
        <f ca="1"/>
      </c>
      <c r="IH145">
        <f ca="1"/>
      </c>
      <c r="II145">
        <f ca="1"/>
      </c>
      <c r="IJ145">
        <f ca="1"/>
      </c>
      <c r="IK145">
        <f ca="1"/>
      </c>
      <c r="IL145">
        <f ca="1"/>
      </c>
      <c r="IM145">
        <f ca="1"/>
      </c>
      <c r="IN145">
        <f ca="1"/>
      </c>
      <c r="IO145">
        <f ca="1"/>
      </c>
      <c r="IP145">
        <f ca="1"/>
      </c>
      <c r="IQ145">
        <f ca="1"/>
      </c>
      <c r="IR145">
        <f ca="1"/>
      </c>
      <c r="IS145">
        <f ca="1"/>
      </c>
      <c r="IT145">
        <f ca="1"/>
      </c>
      <c r="IU145">
        <f ca="1"/>
      </c>
      <c r="IV145">
        <f ca="1"/>
      </c>
      <c r="IW145">
        <f ca="1"/>
      </c>
      <c r="IX145">
        <f ca="1"/>
      </c>
      <c r="IY145">
        <f ca="1"/>
      </c>
      <c r="IZ145">
        <f ca="1"/>
      </c>
      <c r="JA145">
        <f ca="1"/>
      </c>
      <c r="JB145">
        <f ca="1"/>
      </c>
      <c r="LA145">
        <f ca="1"/>
      </c>
      <c r="LB145">
        <f ca="1"/>
      </c>
      <c r="LC145">
        <f ca="1"/>
      </c>
    </row>
    <row r="146" spans="58:315" x14ac:dyDescent="0.55000000000000004">
      <c r="BF146">
        <f ca="1"/>
      </c>
      <c r="BG146">
        <f ca="1"/>
      </c>
      <c r="BI146">
        <f ca="1"/>
      </c>
      <c r="BJ146" s="11">
        <f ca="1"/>
      </c>
      <c r="BK146" s="11">
        <f ca="1"/>
      </c>
      <c r="BL146" s="11">
        <f ca="1"/>
      </c>
      <c r="BM146" s="11">
        <f ca="1"/>
      </c>
      <c r="BN146" s="11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J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F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B146">
        <f ca="1"/>
      </c>
      <c r="GC146">
        <f ca="1"/>
      </c>
      <c r="GD146">
        <f ca="1"/>
      </c>
      <c r="GE146">
        <f ca="1"/>
      </c>
      <c r="GF146">
        <f ca="1"/>
      </c>
      <c r="GG146">
        <f ca="1"/>
      </c>
      <c r="GH146">
        <f ca="1"/>
      </c>
      <c r="GI146">
        <f ca="1"/>
      </c>
      <c r="GJ146">
        <f ca="1"/>
      </c>
      <c r="GK146">
        <f ca="1"/>
      </c>
      <c r="GL146">
        <f ca="1"/>
      </c>
      <c r="GM146">
        <f ca="1"/>
      </c>
      <c r="GN146">
        <f ca="1"/>
      </c>
      <c r="GO146">
        <f ca="1"/>
      </c>
      <c r="GP146">
        <f ca="1"/>
      </c>
      <c r="GQ146">
        <f ca="1"/>
      </c>
      <c r="GR146">
        <f ca="1"/>
      </c>
      <c r="GS146">
        <f ca="1"/>
      </c>
      <c r="GT146">
        <f ca="1"/>
      </c>
      <c r="GU146">
        <f ca="1"/>
      </c>
      <c r="GV146">
        <f ca="1"/>
      </c>
      <c r="GW146">
        <f ca="1"/>
      </c>
      <c r="GX146">
        <f ca="1"/>
      </c>
      <c r="GY146">
        <f ca="1"/>
      </c>
      <c r="GZ146">
        <f ca="1"/>
      </c>
      <c r="HA146">
        <f ca="1"/>
      </c>
      <c r="HB146">
        <f ca="1"/>
      </c>
      <c r="HC146">
        <f ca="1"/>
      </c>
      <c r="HD146">
        <f ca="1"/>
      </c>
      <c r="HE146">
        <f ca="1"/>
      </c>
      <c r="HF146">
        <f ca="1"/>
      </c>
      <c r="HG146">
        <f ca="1"/>
      </c>
      <c r="HH146">
        <f ca="1"/>
      </c>
      <c r="HI146">
        <f ca="1"/>
      </c>
      <c r="HJ146">
        <f ca="1"/>
      </c>
      <c r="HK146">
        <f ca="1"/>
      </c>
      <c r="HL146">
        <f ca="1"/>
      </c>
      <c r="HM146">
        <f ca="1"/>
      </c>
      <c r="HN146">
        <f ca="1"/>
      </c>
      <c r="HO146">
        <f ca="1"/>
      </c>
      <c r="HP146">
        <f ca="1"/>
      </c>
      <c r="HQ146">
        <f ca="1"/>
      </c>
      <c r="HR146">
        <f ca="1"/>
      </c>
      <c r="HS146">
        <f ca="1"/>
      </c>
      <c r="HT146">
        <f ca="1"/>
      </c>
      <c r="HU146">
        <f ca="1"/>
      </c>
      <c r="HV146">
        <f ca="1"/>
      </c>
      <c r="HW146">
        <f ca="1"/>
      </c>
      <c r="HX146">
        <f ca="1"/>
      </c>
      <c r="HY146">
        <f ca="1"/>
      </c>
      <c r="HZ146">
        <f ca="1"/>
      </c>
      <c r="IA146">
        <f ca="1"/>
      </c>
      <c r="IB146">
        <f ca="1"/>
      </c>
      <c r="IC146">
        <f ca="1"/>
      </c>
      <c r="ID146">
        <f ca="1"/>
      </c>
      <c r="IE146">
        <f ca="1"/>
      </c>
      <c r="IF146">
        <f ca="1"/>
      </c>
      <c r="IG146">
        <f ca="1"/>
      </c>
      <c r="IH146">
        <f ca="1"/>
      </c>
      <c r="II146">
        <f ca="1"/>
      </c>
      <c r="IJ146">
        <f ca="1"/>
      </c>
      <c r="IK146">
        <f ca="1"/>
      </c>
      <c r="IL146">
        <f ca="1"/>
      </c>
      <c r="IM146">
        <f ca="1"/>
      </c>
      <c r="IN146">
        <f ca="1"/>
      </c>
      <c r="IO146">
        <f ca="1"/>
      </c>
      <c r="IP146">
        <f ca="1"/>
      </c>
      <c r="IQ146">
        <f ca="1"/>
      </c>
      <c r="IR146">
        <f ca="1"/>
      </c>
      <c r="IS146">
        <f ca="1"/>
      </c>
      <c r="IT146">
        <f ca="1"/>
      </c>
      <c r="IU146">
        <f ca="1"/>
      </c>
      <c r="IV146">
        <f ca="1"/>
      </c>
      <c r="IW146">
        <f ca="1"/>
      </c>
      <c r="IX146">
        <f ca="1"/>
      </c>
      <c r="IY146">
        <f ca="1"/>
      </c>
      <c r="IZ146">
        <f ca="1"/>
      </c>
      <c r="JA146">
        <f ca="1"/>
      </c>
      <c r="JB146">
        <f ca="1"/>
      </c>
      <c r="LA146">
        <f ca="1"/>
      </c>
      <c r="LB146">
        <f ca="1"/>
      </c>
      <c r="LC146">
        <f ca="1"/>
      </c>
    </row>
    <row r="147" spans="58:315" x14ac:dyDescent="0.55000000000000004">
      <c r="BF147">
        <f ca="1"/>
      </c>
      <c r="BG147">
        <f ca="1"/>
      </c>
      <c r="BI147">
        <f ca="1"/>
      </c>
      <c r="BJ147" s="11">
        <f ca="1"/>
      </c>
      <c r="BK147" s="11">
        <f ca="1"/>
      </c>
      <c r="BL147" s="11">
        <f ca="1"/>
      </c>
      <c r="BM147" s="11">
        <f ca="1"/>
      </c>
      <c r="BN147" s="11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J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F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B147">
        <f ca="1"/>
      </c>
      <c r="GC147">
        <f ca="1"/>
      </c>
      <c r="GD147">
        <f ca="1"/>
      </c>
      <c r="GE147">
        <f ca="1"/>
      </c>
      <c r="GF147">
        <f ca="1"/>
      </c>
      <c r="GG147">
        <f ca="1"/>
      </c>
      <c r="GH147">
        <f ca="1"/>
      </c>
      <c r="GI147">
        <f ca="1"/>
      </c>
      <c r="GJ147">
        <f ca="1"/>
      </c>
      <c r="GK147">
        <f ca="1"/>
      </c>
      <c r="GL147">
        <f ca="1"/>
      </c>
      <c r="GM147">
        <f ca="1"/>
      </c>
      <c r="GN147">
        <f ca="1"/>
      </c>
      <c r="GO147">
        <f ca="1"/>
      </c>
      <c r="GP147">
        <f ca="1"/>
      </c>
      <c r="GQ147">
        <f ca="1"/>
      </c>
      <c r="GR147">
        <f ca="1"/>
      </c>
      <c r="GS147">
        <f ca="1"/>
      </c>
      <c r="GT147">
        <f ca="1"/>
      </c>
      <c r="GU147">
        <f ca="1"/>
      </c>
      <c r="GV147">
        <f ca="1"/>
      </c>
      <c r="GW147">
        <f ca="1"/>
      </c>
      <c r="GX147">
        <f ca="1"/>
      </c>
      <c r="GY147">
        <f ca="1"/>
      </c>
      <c r="GZ147">
        <f ca="1"/>
      </c>
      <c r="HA147">
        <f ca="1"/>
      </c>
      <c r="HB147">
        <f ca="1"/>
      </c>
      <c r="HC147">
        <f ca="1"/>
      </c>
      <c r="HD147">
        <f ca="1"/>
      </c>
      <c r="HE147">
        <f ca="1"/>
      </c>
      <c r="HF147">
        <f ca="1"/>
      </c>
      <c r="HG147">
        <f ca="1"/>
      </c>
      <c r="HH147">
        <f ca="1"/>
      </c>
      <c r="HI147">
        <f ca="1"/>
      </c>
      <c r="HJ147">
        <f ca="1"/>
      </c>
      <c r="HK147">
        <f ca="1"/>
      </c>
      <c r="HL147">
        <f ca="1"/>
      </c>
      <c r="HM147">
        <f ca="1"/>
      </c>
      <c r="HN147">
        <f ca="1"/>
      </c>
      <c r="HO147">
        <f ca="1"/>
      </c>
      <c r="HP147">
        <f ca="1"/>
      </c>
      <c r="HQ147">
        <f ca="1"/>
      </c>
      <c r="HR147">
        <f ca="1"/>
      </c>
      <c r="HS147">
        <f ca="1"/>
      </c>
      <c r="HT147">
        <f ca="1"/>
      </c>
      <c r="HU147">
        <f ca="1"/>
      </c>
      <c r="HV147">
        <f ca="1"/>
      </c>
      <c r="HW147">
        <f ca="1"/>
      </c>
      <c r="HX147">
        <f ca="1"/>
      </c>
      <c r="HY147">
        <f ca="1"/>
      </c>
      <c r="HZ147">
        <f ca="1"/>
      </c>
      <c r="IA147">
        <f ca="1"/>
      </c>
      <c r="IB147">
        <f ca="1"/>
      </c>
      <c r="IC147">
        <f ca="1"/>
      </c>
      <c r="ID147">
        <f ca="1"/>
      </c>
      <c r="IE147">
        <f ca="1"/>
      </c>
      <c r="IF147">
        <f ca="1"/>
      </c>
      <c r="IG147">
        <f ca="1"/>
      </c>
      <c r="IH147">
        <f ca="1"/>
      </c>
      <c r="II147">
        <f ca="1"/>
      </c>
      <c r="IJ147">
        <f ca="1"/>
      </c>
      <c r="IK147">
        <f ca="1"/>
      </c>
      <c r="IL147">
        <f ca="1"/>
      </c>
      <c r="IM147">
        <f ca="1"/>
      </c>
      <c r="IN147">
        <f ca="1"/>
      </c>
      <c r="IO147">
        <f ca="1"/>
      </c>
      <c r="IP147">
        <f ca="1"/>
      </c>
      <c r="IQ147">
        <f ca="1"/>
      </c>
      <c r="IR147">
        <f ca="1"/>
      </c>
      <c r="IS147">
        <f ca="1"/>
      </c>
      <c r="IT147">
        <f ca="1"/>
      </c>
      <c r="IU147">
        <f ca="1"/>
      </c>
      <c r="IV147">
        <f ca="1"/>
      </c>
      <c r="IW147">
        <f ca="1"/>
      </c>
      <c r="IX147">
        <f ca="1"/>
      </c>
      <c r="IY147">
        <f ca="1"/>
      </c>
      <c r="IZ147">
        <f ca="1"/>
      </c>
      <c r="JA147">
        <f ca="1"/>
      </c>
      <c r="JB147">
        <f ca="1"/>
      </c>
      <c r="LA147">
        <f ca="1"/>
      </c>
      <c r="LB147">
        <f ca="1"/>
      </c>
      <c r="LC147">
        <f ca="1"/>
      </c>
    </row>
    <row r="148" spans="58:315" x14ac:dyDescent="0.55000000000000004">
      <c r="BF148">
        <f ca="1"/>
      </c>
      <c r="BG148">
        <f ca="1"/>
      </c>
      <c r="BI148">
        <f ca="1"/>
      </c>
      <c r="BJ148" s="11">
        <f ca="1"/>
      </c>
      <c r="BK148" s="11">
        <f ca="1"/>
      </c>
      <c r="BL148" s="11">
        <f ca="1"/>
      </c>
      <c r="BM148" s="11">
        <f ca="1"/>
      </c>
      <c r="BN148" s="11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J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F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B148">
        <f ca="1"/>
      </c>
      <c r="GC148">
        <f ca="1"/>
      </c>
      <c r="GD148">
        <f ca="1"/>
      </c>
      <c r="GE148">
        <f ca="1"/>
      </c>
      <c r="GF148">
        <f ca="1"/>
      </c>
      <c r="GG148">
        <f ca="1"/>
      </c>
      <c r="GH148">
        <f ca="1"/>
      </c>
      <c r="GI148">
        <f ca="1"/>
      </c>
      <c r="GJ148">
        <f ca="1"/>
      </c>
      <c r="GK148">
        <f ca="1"/>
      </c>
      <c r="GL148">
        <f ca="1"/>
      </c>
      <c r="GM148">
        <f ca="1"/>
      </c>
      <c r="GN148">
        <f ca="1"/>
      </c>
      <c r="GO148">
        <f ca="1"/>
      </c>
      <c r="GP148">
        <f ca="1"/>
      </c>
      <c r="GQ148">
        <f ca="1"/>
      </c>
      <c r="GR148">
        <f ca="1"/>
      </c>
      <c r="GS148">
        <f ca="1"/>
      </c>
      <c r="GT148">
        <f ca="1"/>
      </c>
      <c r="GU148">
        <f ca="1"/>
      </c>
      <c r="GV148">
        <f ca="1"/>
      </c>
      <c r="GW148">
        <f ca="1"/>
      </c>
      <c r="GX148">
        <f ca="1"/>
      </c>
      <c r="GY148">
        <f ca="1"/>
      </c>
      <c r="GZ148">
        <f ca="1"/>
      </c>
      <c r="HA148">
        <f ca="1"/>
      </c>
      <c r="HB148">
        <f ca="1"/>
      </c>
      <c r="HC148">
        <f ca="1"/>
      </c>
      <c r="HD148">
        <f ca="1"/>
      </c>
      <c r="HE148">
        <f ca="1"/>
      </c>
      <c r="HF148">
        <f ca="1"/>
      </c>
      <c r="HG148">
        <f ca="1"/>
      </c>
      <c r="HH148">
        <f ca="1"/>
      </c>
      <c r="HI148">
        <f ca="1"/>
      </c>
      <c r="HJ148">
        <f ca="1"/>
      </c>
      <c r="HK148">
        <f ca="1"/>
      </c>
      <c r="HL148">
        <f ca="1"/>
      </c>
      <c r="HM148">
        <f ca="1"/>
      </c>
      <c r="HN148">
        <f ca="1"/>
      </c>
      <c r="HO148">
        <f ca="1"/>
      </c>
      <c r="HP148">
        <f ca="1"/>
      </c>
      <c r="HQ148">
        <f ca="1"/>
      </c>
      <c r="HR148">
        <f ca="1"/>
      </c>
      <c r="HS148">
        <f ca="1"/>
      </c>
      <c r="HT148">
        <f ca="1"/>
      </c>
      <c r="HU148">
        <f ca="1"/>
      </c>
      <c r="HV148">
        <f ca="1"/>
      </c>
      <c r="HW148">
        <f ca="1"/>
      </c>
      <c r="HX148">
        <f ca="1"/>
      </c>
      <c r="HY148">
        <f ca="1"/>
      </c>
      <c r="HZ148">
        <f ca="1"/>
      </c>
      <c r="IA148">
        <f ca="1"/>
      </c>
      <c r="IB148">
        <f ca="1"/>
      </c>
      <c r="IC148">
        <f ca="1"/>
      </c>
      <c r="ID148">
        <f ca="1"/>
      </c>
      <c r="IE148">
        <f ca="1"/>
      </c>
      <c r="IF148">
        <f ca="1"/>
      </c>
      <c r="IG148">
        <f ca="1"/>
      </c>
      <c r="IH148">
        <f ca="1"/>
      </c>
      <c r="II148">
        <f ca="1"/>
      </c>
      <c r="IJ148">
        <f ca="1"/>
      </c>
      <c r="IK148">
        <f ca="1"/>
      </c>
      <c r="IL148">
        <f ca="1"/>
      </c>
      <c r="IM148">
        <f ca="1"/>
      </c>
      <c r="IN148">
        <f ca="1"/>
      </c>
      <c r="IO148">
        <f ca="1"/>
      </c>
      <c r="IP148">
        <f ca="1"/>
      </c>
      <c r="IQ148">
        <f ca="1"/>
      </c>
      <c r="IR148">
        <f ca="1"/>
      </c>
      <c r="IS148">
        <f ca="1"/>
      </c>
      <c r="IT148">
        <f ca="1"/>
      </c>
      <c r="IU148">
        <f ca="1"/>
      </c>
      <c r="IV148">
        <f ca="1"/>
      </c>
      <c r="IW148">
        <f ca="1"/>
      </c>
      <c r="IX148">
        <f ca="1"/>
      </c>
      <c r="IY148">
        <f ca="1"/>
      </c>
      <c r="IZ148">
        <f ca="1"/>
      </c>
      <c r="JA148">
        <f ca="1"/>
      </c>
      <c r="JB148">
        <f ca="1"/>
      </c>
      <c r="LA148">
        <f ca="1"/>
      </c>
      <c r="LB148">
        <f ca="1"/>
      </c>
      <c r="LC148">
        <f ca="1"/>
      </c>
    </row>
    <row r="149" spans="58:315" x14ac:dyDescent="0.55000000000000004">
      <c r="BF149">
        <f ca="1"/>
      </c>
      <c r="BG149">
        <f ca="1"/>
      </c>
      <c r="BI149">
        <f ca="1"/>
      </c>
      <c r="BJ149" s="11">
        <f ca="1"/>
      </c>
      <c r="BK149" s="11">
        <f ca="1"/>
      </c>
      <c r="BL149" s="11">
        <f ca="1"/>
      </c>
      <c r="BM149" s="11">
        <f ca="1"/>
      </c>
      <c r="BN149" s="11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J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F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B149">
        <f ca="1"/>
      </c>
      <c r="GC149">
        <f ca="1"/>
      </c>
      <c r="GD149">
        <f ca="1"/>
      </c>
      <c r="GE149">
        <f ca="1"/>
      </c>
      <c r="GF149">
        <f ca="1"/>
      </c>
      <c r="GG149">
        <f ca="1"/>
      </c>
      <c r="GH149">
        <f ca="1"/>
      </c>
      <c r="GI149">
        <f ca="1"/>
      </c>
      <c r="GJ149">
        <f ca="1"/>
      </c>
      <c r="GK149">
        <f ca="1"/>
      </c>
      <c r="GL149">
        <f ca="1"/>
      </c>
      <c r="GM149">
        <f ca="1"/>
      </c>
      <c r="GN149">
        <f ca="1"/>
      </c>
      <c r="GO149">
        <f ca="1"/>
      </c>
      <c r="GP149">
        <f ca="1"/>
      </c>
      <c r="GQ149">
        <f ca="1"/>
      </c>
      <c r="GR149">
        <f ca="1"/>
      </c>
      <c r="GS149">
        <f ca="1"/>
      </c>
      <c r="GT149">
        <f ca="1"/>
      </c>
      <c r="GU149">
        <f ca="1"/>
      </c>
      <c r="GV149">
        <f ca="1"/>
      </c>
      <c r="GW149">
        <f ca="1"/>
      </c>
      <c r="GX149">
        <f ca="1"/>
      </c>
      <c r="GY149">
        <f ca="1"/>
      </c>
      <c r="GZ149">
        <f ca="1"/>
      </c>
      <c r="HA149">
        <f ca="1"/>
      </c>
      <c r="HB149">
        <f ca="1"/>
      </c>
      <c r="HC149">
        <f ca="1"/>
      </c>
      <c r="HD149">
        <f ca="1"/>
      </c>
      <c r="HE149">
        <f ca="1"/>
      </c>
      <c r="HF149">
        <f ca="1"/>
      </c>
      <c r="HG149">
        <f ca="1"/>
      </c>
      <c r="HH149">
        <f ca="1"/>
      </c>
      <c r="HI149">
        <f ca="1"/>
      </c>
      <c r="HJ149">
        <f ca="1"/>
      </c>
      <c r="HK149">
        <f ca="1"/>
      </c>
      <c r="HL149">
        <f ca="1"/>
      </c>
      <c r="HM149">
        <f ca="1"/>
      </c>
      <c r="HN149">
        <f ca="1"/>
      </c>
      <c r="HO149">
        <f ca="1"/>
      </c>
      <c r="HP149">
        <f ca="1"/>
      </c>
      <c r="HQ149">
        <f ca="1"/>
      </c>
      <c r="HR149">
        <f ca="1"/>
      </c>
      <c r="HS149">
        <f ca="1"/>
      </c>
      <c r="HT149">
        <f ca="1"/>
      </c>
      <c r="HU149">
        <f ca="1"/>
      </c>
      <c r="HV149">
        <f ca="1"/>
      </c>
      <c r="HW149">
        <f ca="1"/>
      </c>
      <c r="HX149">
        <f ca="1"/>
      </c>
      <c r="HY149">
        <f ca="1"/>
      </c>
      <c r="HZ149">
        <f ca="1"/>
      </c>
      <c r="IA149">
        <f ca="1"/>
      </c>
      <c r="IB149">
        <f ca="1"/>
      </c>
      <c r="IC149">
        <f ca="1"/>
      </c>
      <c r="ID149">
        <f ca="1"/>
      </c>
      <c r="IE149">
        <f ca="1"/>
      </c>
      <c r="IF149">
        <f ca="1"/>
      </c>
      <c r="IG149">
        <f ca="1"/>
      </c>
      <c r="IH149">
        <f ca="1"/>
      </c>
      <c r="II149">
        <f ca="1"/>
      </c>
      <c r="IJ149">
        <f ca="1"/>
      </c>
      <c r="IK149">
        <f ca="1"/>
      </c>
      <c r="IL149">
        <f ca="1"/>
      </c>
      <c r="IM149">
        <f ca="1"/>
      </c>
      <c r="IN149">
        <f ca="1"/>
      </c>
      <c r="IO149">
        <f ca="1"/>
      </c>
      <c r="IP149">
        <f ca="1"/>
      </c>
      <c r="IQ149">
        <f ca="1"/>
      </c>
      <c r="IR149">
        <f ca="1"/>
      </c>
      <c r="IS149">
        <f ca="1"/>
      </c>
      <c r="IT149">
        <f ca="1"/>
      </c>
      <c r="IU149">
        <f ca="1"/>
      </c>
      <c r="IV149">
        <f ca="1"/>
      </c>
      <c r="IW149">
        <f ca="1"/>
      </c>
      <c r="IX149">
        <f ca="1"/>
      </c>
      <c r="IY149">
        <f ca="1"/>
      </c>
      <c r="IZ149">
        <f ca="1"/>
      </c>
      <c r="JA149">
        <f ca="1"/>
      </c>
      <c r="JB149">
        <f ca="1"/>
      </c>
      <c r="LA149">
        <f ca="1"/>
      </c>
      <c r="LB149">
        <f ca="1"/>
      </c>
      <c r="LC149">
        <f ca="1"/>
      </c>
    </row>
    <row r="150" spans="58:315" x14ac:dyDescent="0.55000000000000004">
      <c r="BF150">
        <f ca="1"/>
      </c>
      <c r="BG150">
        <f ca="1"/>
      </c>
      <c r="BI150">
        <f ca="1"/>
      </c>
      <c r="BJ150" s="11">
        <f ca="1"/>
      </c>
      <c r="BK150" s="11">
        <f ca="1"/>
      </c>
      <c r="BL150" s="11">
        <f ca="1"/>
      </c>
      <c r="BM150" s="11">
        <f ca="1"/>
      </c>
      <c r="BN150" s="11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J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F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B150">
        <f ca="1"/>
      </c>
      <c r="GC150">
        <f ca="1"/>
      </c>
      <c r="GD150">
        <f ca="1"/>
      </c>
      <c r="GE150">
        <f ca="1"/>
      </c>
      <c r="GF150">
        <f ca="1"/>
      </c>
      <c r="GG150">
        <f ca="1"/>
      </c>
      <c r="GH150">
        <f ca="1"/>
      </c>
      <c r="GI150">
        <f ca="1"/>
      </c>
      <c r="GJ150">
        <f ca="1"/>
      </c>
      <c r="GK150">
        <f ca="1"/>
      </c>
      <c r="GL150">
        <f ca="1"/>
      </c>
      <c r="GM150">
        <f ca="1"/>
      </c>
      <c r="GN150">
        <f ca="1"/>
      </c>
      <c r="GO150">
        <f ca="1"/>
      </c>
      <c r="GP150">
        <f ca="1"/>
      </c>
      <c r="GQ150">
        <f ca="1"/>
      </c>
      <c r="GR150">
        <f ca="1"/>
      </c>
      <c r="GS150">
        <f ca="1"/>
      </c>
      <c r="GT150">
        <f ca="1"/>
      </c>
      <c r="GU150">
        <f ca="1"/>
      </c>
      <c r="GV150">
        <f ca="1"/>
      </c>
      <c r="GW150">
        <f ca="1"/>
      </c>
      <c r="GX150">
        <f ca="1"/>
      </c>
      <c r="GY150">
        <f ca="1"/>
      </c>
      <c r="GZ150">
        <f ca="1"/>
      </c>
      <c r="HA150">
        <f ca="1"/>
      </c>
      <c r="HB150">
        <f ca="1"/>
      </c>
      <c r="HC150">
        <f ca="1"/>
      </c>
      <c r="HD150">
        <f ca="1"/>
      </c>
      <c r="HE150">
        <f ca="1"/>
      </c>
      <c r="HF150">
        <f ca="1"/>
      </c>
      <c r="HG150">
        <f ca="1"/>
      </c>
      <c r="HH150">
        <f ca="1"/>
      </c>
      <c r="HI150">
        <f ca="1"/>
      </c>
      <c r="HJ150">
        <f ca="1"/>
      </c>
      <c r="HK150">
        <f ca="1"/>
      </c>
      <c r="HL150">
        <f ca="1"/>
      </c>
      <c r="HM150">
        <f ca="1"/>
      </c>
      <c r="HN150">
        <f ca="1"/>
      </c>
      <c r="HO150">
        <f ca="1"/>
      </c>
      <c r="HP150">
        <f ca="1"/>
      </c>
      <c r="HQ150">
        <f ca="1"/>
      </c>
      <c r="HR150">
        <f ca="1"/>
      </c>
      <c r="HS150">
        <f ca="1"/>
      </c>
      <c r="HT150">
        <f ca="1"/>
      </c>
      <c r="HU150">
        <f ca="1"/>
      </c>
      <c r="HV150">
        <f ca="1"/>
      </c>
      <c r="HW150">
        <f ca="1"/>
      </c>
      <c r="HX150">
        <f ca="1"/>
      </c>
      <c r="HY150">
        <f ca="1"/>
      </c>
      <c r="HZ150">
        <f ca="1"/>
      </c>
      <c r="IA150">
        <f ca="1"/>
      </c>
      <c r="IB150">
        <f ca="1"/>
      </c>
      <c r="IC150">
        <f ca="1"/>
      </c>
      <c r="ID150">
        <f ca="1"/>
      </c>
      <c r="IE150">
        <f ca="1"/>
      </c>
      <c r="IF150">
        <f ca="1"/>
      </c>
      <c r="IG150">
        <f ca="1"/>
      </c>
      <c r="IH150">
        <f ca="1"/>
      </c>
      <c r="II150">
        <f ca="1"/>
      </c>
      <c r="IJ150">
        <f ca="1"/>
      </c>
      <c r="IK150">
        <f ca="1"/>
      </c>
      <c r="IL150">
        <f ca="1"/>
      </c>
      <c r="IM150">
        <f ca="1"/>
      </c>
      <c r="IN150">
        <f ca="1"/>
      </c>
      <c r="IO150">
        <f ca="1"/>
      </c>
      <c r="IP150">
        <f ca="1"/>
      </c>
      <c r="IQ150">
        <f ca="1"/>
      </c>
      <c r="IR150">
        <f ca="1"/>
      </c>
      <c r="IS150">
        <f ca="1"/>
      </c>
      <c r="IT150">
        <f ca="1"/>
      </c>
      <c r="IU150">
        <f ca="1"/>
      </c>
      <c r="IV150">
        <f ca="1"/>
      </c>
      <c r="IW150">
        <f ca="1"/>
      </c>
      <c r="IX150">
        <f ca="1"/>
      </c>
      <c r="IY150">
        <f ca="1"/>
      </c>
      <c r="IZ150">
        <f ca="1"/>
      </c>
      <c r="JA150">
        <f ca="1"/>
      </c>
      <c r="JB150">
        <f ca="1"/>
      </c>
      <c r="LA150">
        <f ca="1"/>
      </c>
      <c r="LB150">
        <f ca="1"/>
      </c>
      <c r="LC150">
        <f ca="1"/>
      </c>
    </row>
    <row r="151" spans="58:315" x14ac:dyDescent="0.55000000000000004">
      <c r="BF151">
        <f ca="1"/>
      </c>
      <c r="BG151">
        <f ca="1"/>
      </c>
      <c r="BI151">
        <f ca="1"/>
      </c>
      <c r="BJ151" s="11">
        <f ca="1"/>
      </c>
      <c r="BK151" s="11">
        <f ca="1"/>
      </c>
      <c r="BL151" s="11">
        <f ca="1"/>
      </c>
      <c r="BM151" s="11">
        <f ca="1"/>
      </c>
      <c r="BN151" s="1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J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F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B151">
        <f ca="1"/>
      </c>
      <c r="GC151">
        <f ca="1"/>
      </c>
      <c r="GD151">
        <f ca="1"/>
      </c>
      <c r="GE151">
        <f ca="1"/>
      </c>
      <c r="GF151">
        <f ca="1"/>
      </c>
      <c r="GG151">
        <f ca="1"/>
      </c>
      <c r="GH151">
        <f ca="1"/>
      </c>
      <c r="GI151">
        <f ca="1"/>
      </c>
      <c r="GJ151">
        <f ca="1"/>
      </c>
      <c r="GK151">
        <f ca="1"/>
      </c>
      <c r="GL151">
        <f ca="1"/>
      </c>
      <c r="GM151">
        <f ca="1"/>
      </c>
      <c r="GN151">
        <f ca="1"/>
      </c>
      <c r="GO151">
        <f ca="1"/>
      </c>
      <c r="GP151">
        <f ca="1"/>
      </c>
      <c r="GQ151">
        <f ca="1"/>
      </c>
      <c r="GR151">
        <f ca="1"/>
      </c>
      <c r="GS151">
        <f ca="1"/>
      </c>
      <c r="GT151">
        <f ca="1"/>
      </c>
      <c r="GU151">
        <f ca="1"/>
      </c>
      <c r="GV151">
        <f ca="1"/>
      </c>
      <c r="GW151">
        <f ca="1"/>
      </c>
      <c r="GX151">
        <f ca="1"/>
      </c>
      <c r="GY151">
        <f ca="1"/>
      </c>
      <c r="GZ151">
        <f ca="1"/>
      </c>
      <c r="HA151">
        <f ca="1"/>
      </c>
      <c r="HB151">
        <f ca="1"/>
      </c>
      <c r="HC151">
        <f ca="1"/>
      </c>
      <c r="HD151">
        <f ca="1"/>
      </c>
      <c r="HE151">
        <f ca="1"/>
      </c>
      <c r="HF151">
        <f ca="1"/>
      </c>
      <c r="HG151">
        <f ca="1"/>
      </c>
      <c r="HH151">
        <f ca="1"/>
      </c>
      <c r="HI151">
        <f ca="1"/>
      </c>
      <c r="HJ151">
        <f ca="1"/>
      </c>
      <c r="HK151">
        <f ca="1"/>
      </c>
      <c r="HL151">
        <f ca="1"/>
      </c>
      <c r="HM151">
        <f ca="1"/>
      </c>
      <c r="HN151">
        <f ca="1"/>
      </c>
      <c r="HO151">
        <f ca="1"/>
      </c>
      <c r="HP151">
        <f ca="1"/>
      </c>
      <c r="HQ151">
        <f ca="1"/>
      </c>
      <c r="HR151">
        <f ca="1"/>
      </c>
      <c r="HS151">
        <f ca="1"/>
      </c>
      <c r="HT151">
        <f ca="1"/>
      </c>
      <c r="HU151">
        <f ca="1"/>
      </c>
      <c r="HV151">
        <f ca="1"/>
      </c>
      <c r="HW151">
        <f ca="1"/>
      </c>
      <c r="HX151">
        <f ca="1"/>
      </c>
      <c r="HY151">
        <f ca="1"/>
      </c>
      <c r="HZ151">
        <f ca="1"/>
      </c>
      <c r="IA151">
        <f ca="1"/>
      </c>
      <c r="IB151">
        <f ca="1"/>
      </c>
      <c r="IC151">
        <f ca="1"/>
      </c>
      <c r="ID151">
        <f ca="1"/>
      </c>
      <c r="IE151">
        <f ca="1"/>
      </c>
      <c r="IF151">
        <f ca="1"/>
      </c>
      <c r="IG151">
        <f ca="1"/>
      </c>
      <c r="IH151">
        <f ca="1"/>
      </c>
      <c r="II151">
        <f ca="1"/>
      </c>
      <c r="IJ151">
        <f ca="1"/>
      </c>
      <c r="IK151">
        <f ca="1"/>
      </c>
      <c r="IL151">
        <f ca="1"/>
      </c>
      <c r="IM151">
        <f ca="1"/>
      </c>
      <c r="IN151">
        <f ca="1"/>
      </c>
      <c r="IO151">
        <f ca="1"/>
      </c>
      <c r="IP151">
        <f ca="1"/>
      </c>
      <c r="IQ151">
        <f ca="1"/>
      </c>
      <c r="IR151">
        <f ca="1"/>
      </c>
      <c r="IS151">
        <f ca="1"/>
      </c>
      <c r="IT151">
        <f ca="1"/>
      </c>
      <c r="IU151">
        <f ca="1"/>
      </c>
      <c r="IV151">
        <f ca="1"/>
      </c>
      <c r="IW151">
        <f ca="1"/>
      </c>
      <c r="IX151">
        <f ca="1"/>
      </c>
      <c r="IY151">
        <f ca="1"/>
      </c>
      <c r="IZ151">
        <f ca="1"/>
      </c>
      <c r="JA151">
        <f ca="1"/>
      </c>
      <c r="JB151">
        <f ca="1"/>
      </c>
      <c r="LA151">
        <f ca="1"/>
      </c>
      <c r="LB151">
        <f ca="1"/>
      </c>
      <c r="LC151">
        <f ca="1"/>
      </c>
    </row>
    <row r="152" spans="58:315" x14ac:dyDescent="0.55000000000000004">
      <c r="BF152">
        <f ca="1"/>
      </c>
      <c r="BG152">
        <f ca="1"/>
      </c>
      <c r="BI152">
        <f ca="1"/>
      </c>
      <c r="BJ152" s="11">
        <f ca="1"/>
      </c>
      <c r="BK152" s="11">
        <f ca="1"/>
      </c>
      <c r="BL152" s="11">
        <f ca="1"/>
      </c>
      <c r="BM152" s="11">
        <f ca="1"/>
      </c>
      <c r="BN152" s="11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J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F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B152">
        <f ca="1"/>
      </c>
      <c r="GC152">
        <f ca="1"/>
      </c>
      <c r="GD152">
        <f ca="1"/>
      </c>
      <c r="GE152">
        <f ca="1"/>
      </c>
      <c r="GF152">
        <f ca="1"/>
      </c>
      <c r="GG152">
        <f ca="1"/>
      </c>
      <c r="GH152">
        <f ca="1"/>
      </c>
      <c r="GI152">
        <f ca="1"/>
      </c>
      <c r="GJ152">
        <f ca="1"/>
      </c>
      <c r="GK152">
        <f ca="1"/>
      </c>
      <c r="GL152">
        <f ca="1"/>
      </c>
      <c r="GM152">
        <f ca="1"/>
      </c>
      <c r="GN152">
        <f ca="1"/>
      </c>
      <c r="GO152">
        <f ca="1"/>
      </c>
      <c r="GP152">
        <f ca="1"/>
      </c>
      <c r="GQ152">
        <f ca="1"/>
      </c>
      <c r="GR152">
        <f ca="1"/>
      </c>
      <c r="GS152">
        <f ca="1"/>
      </c>
      <c r="GT152">
        <f ca="1"/>
      </c>
      <c r="GU152">
        <f ca="1"/>
      </c>
      <c r="GV152">
        <f ca="1"/>
      </c>
      <c r="GW152">
        <f ca="1"/>
      </c>
      <c r="GX152">
        <f ca="1"/>
      </c>
      <c r="GY152">
        <f ca="1"/>
      </c>
      <c r="GZ152">
        <f ca="1"/>
      </c>
      <c r="HA152">
        <f ca="1"/>
      </c>
      <c r="HB152">
        <f ca="1"/>
      </c>
      <c r="HC152">
        <f ca="1"/>
      </c>
      <c r="HD152">
        <f ca="1"/>
      </c>
      <c r="HE152">
        <f ca="1"/>
      </c>
      <c r="HF152">
        <f ca="1"/>
      </c>
      <c r="HG152">
        <f ca="1"/>
      </c>
      <c r="HH152">
        <f ca="1"/>
      </c>
      <c r="HI152">
        <f ca="1"/>
      </c>
      <c r="HJ152">
        <f ca="1"/>
      </c>
      <c r="HK152">
        <f ca="1"/>
      </c>
      <c r="HL152">
        <f ca="1"/>
      </c>
      <c r="HM152">
        <f ca="1"/>
      </c>
      <c r="HN152">
        <f ca="1"/>
      </c>
      <c r="HO152">
        <f ca="1"/>
      </c>
      <c r="HP152">
        <f ca="1"/>
      </c>
      <c r="HQ152">
        <f ca="1"/>
      </c>
      <c r="HR152">
        <f ca="1"/>
      </c>
      <c r="HS152">
        <f ca="1"/>
      </c>
      <c r="HT152">
        <f ca="1"/>
      </c>
      <c r="HU152">
        <f ca="1"/>
      </c>
      <c r="HV152">
        <f ca="1"/>
      </c>
      <c r="HW152">
        <f ca="1"/>
      </c>
      <c r="HX152">
        <f ca="1"/>
      </c>
      <c r="HY152">
        <f ca="1"/>
      </c>
      <c r="HZ152">
        <f ca="1"/>
      </c>
      <c r="IA152">
        <f ca="1"/>
      </c>
      <c r="IB152">
        <f ca="1"/>
      </c>
      <c r="IC152">
        <f ca="1"/>
      </c>
      <c r="ID152">
        <f ca="1"/>
      </c>
      <c r="IE152">
        <f ca="1"/>
      </c>
      <c r="IF152">
        <f ca="1"/>
      </c>
      <c r="IG152">
        <f ca="1"/>
      </c>
      <c r="IH152">
        <f ca="1"/>
      </c>
      <c r="II152">
        <f ca="1"/>
      </c>
      <c r="IJ152">
        <f ca="1"/>
      </c>
      <c r="IK152">
        <f ca="1"/>
      </c>
      <c r="IL152">
        <f ca="1"/>
      </c>
      <c r="IM152">
        <f ca="1"/>
      </c>
      <c r="IN152">
        <f ca="1"/>
      </c>
      <c r="IO152">
        <f ca="1"/>
      </c>
      <c r="IP152">
        <f ca="1"/>
      </c>
      <c r="IQ152">
        <f ca="1"/>
      </c>
      <c r="IR152">
        <f ca="1"/>
      </c>
      <c r="IS152">
        <f ca="1"/>
      </c>
      <c r="IT152">
        <f ca="1"/>
      </c>
      <c r="IU152">
        <f ca="1"/>
      </c>
      <c r="IV152">
        <f ca="1"/>
      </c>
      <c r="IW152">
        <f ca="1"/>
      </c>
      <c r="IX152">
        <f ca="1"/>
      </c>
      <c r="IY152">
        <f ca="1"/>
      </c>
      <c r="IZ152">
        <f ca="1"/>
      </c>
      <c r="JA152">
        <f ca="1"/>
      </c>
      <c r="JB152">
        <f ca="1"/>
      </c>
      <c r="LA152">
        <f ca="1"/>
      </c>
      <c r="LB152">
        <f ca="1"/>
      </c>
      <c r="LC152">
        <f ca="1"/>
      </c>
    </row>
    <row r="153" spans="58:315" x14ac:dyDescent="0.55000000000000004">
      <c r="BF153">
        <f ca="1"/>
      </c>
      <c r="BG153">
        <f ca="1"/>
      </c>
      <c r="BI153">
        <f ca="1"/>
      </c>
      <c r="BJ153" s="11">
        <f ca="1"/>
      </c>
      <c r="BK153" s="11">
        <f ca="1"/>
      </c>
      <c r="BL153" s="11">
        <f ca="1"/>
      </c>
      <c r="BM153" s="11">
        <f ca="1"/>
      </c>
      <c r="BN153" s="11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J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F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B153">
        <f ca="1"/>
      </c>
      <c r="GC153">
        <f ca="1"/>
      </c>
      <c r="GD153">
        <f ca="1"/>
      </c>
      <c r="GE153">
        <f ca="1"/>
      </c>
      <c r="GF153">
        <f ca="1"/>
      </c>
      <c r="GG153">
        <f ca="1"/>
      </c>
      <c r="GH153">
        <f ca="1"/>
      </c>
      <c r="GI153">
        <f ca="1"/>
      </c>
      <c r="GJ153">
        <f ca="1"/>
      </c>
      <c r="GK153">
        <f ca="1"/>
      </c>
      <c r="GL153">
        <f ca="1"/>
      </c>
      <c r="GM153">
        <f ca="1"/>
      </c>
      <c r="GN153">
        <f ca="1"/>
      </c>
      <c r="GO153">
        <f ca="1"/>
      </c>
      <c r="GP153">
        <f ca="1"/>
      </c>
      <c r="GQ153">
        <f ca="1"/>
      </c>
      <c r="GR153">
        <f ca="1"/>
      </c>
      <c r="GS153">
        <f ca="1"/>
      </c>
      <c r="GT153">
        <f ca="1"/>
      </c>
      <c r="GU153">
        <f ca="1"/>
      </c>
      <c r="GV153">
        <f ca="1"/>
      </c>
      <c r="GW153">
        <f ca="1"/>
      </c>
      <c r="GX153">
        <f ca="1"/>
      </c>
      <c r="GY153">
        <f ca="1"/>
      </c>
      <c r="GZ153">
        <f ca="1"/>
      </c>
      <c r="HA153">
        <f ca="1"/>
      </c>
      <c r="HB153">
        <f ca="1"/>
      </c>
      <c r="HC153">
        <f ca="1"/>
      </c>
      <c r="HD153">
        <f ca="1"/>
      </c>
      <c r="HE153">
        <f ca="1"/>
      </c>
      <c r="HF153">
        <f ca="1"/>
      </c>
      <c r="HG153">
        <f ca="1"/>
      </c>
      <c r="HH153">
        <f ca="1"/>
      </c>
      <c r="HI153">
        <f ca="1"/>
      </c>
      <c r="HJ153">
        <f ca="1"/>
      </c>
      <c r="HK153">
        <f ca="1"/>
      </c>
      <c r="HL153">
        <f ca="1"/>
      </c>
      <c r="HM153">
        <f ca="1"/>
      </c>
      <c r="HN153">
        <f ca="1"/>
      </c>
      <c r="HO153">
        <f ca="1"/>
      </c>
      <c r="HP153">
        <f ca="1"/>
      </c>
      <c r="HQ153">
        <f ca="1"/>
      </c>
      <c r="HR153">
        <f ca="1"/>
      </c>
      <c r="HS153">
        <f ca="1"/>
      </c>
      <c r="HT153">
        <f ca="1"/>
      </c>
      <c r="HU153">
        <f ca="1"/>
      </c>
      <c r="HV153">
        <f ca="1"/>
      </c>
      <c r="HW153">
        <f ca="1"/>
      </c>
      <c r="HX153">
        <f ca="1"/>
      </c>
      <c r="HY153">
        <f ca="1"/>
      </c>
      <c r="HZ153">
        <f ca="1"/>
      </c>
      <c r="IA153">
        <f ca="1"/>
      </c>
      <c r="IB153">
        <f ca="1"/>
      </c>
      <c r="IC153">
        <f ca="1"/>
      </c>
      <c r="ID153">
        <f ca="1"/>
      </c>
      <c r="IE153">
        <f ca="1"/>
      </c>
      <c r="IF153">
        <f ca="1"/>
      </c>
      <c r="IG153">
        <f ca="1"/>
      </c>
      <c r="IH153">
        <f ca="1"/>
      </c>
      <c r="II153">
        <f ca="1"/>
      </c>
      <c r="IJ153">
        <f ca="1"/>
      </c>
      <c r="IK153">
        <f ca="1"/>
      </c>
      <c r="IL153">
        <f ca="1"/>
      </c>
      <c r="IM153">
        <f ca="1"/>
      </c>
      <c r="IN153">
        <f ca="1"/>
      </c>
      <c r="IO153">
        <f ca="1"/>
      </c>
      <c r="IP153">
        <f ca="1"/>
      </c>
      <c r="IQ153">
        <f ca="1"/>
      </c>
      <c r="IR153">
        <f ca="1"/>
      </c>
      <c r="IS153">
        <f ca="1"/>
      </c>
      <c r="IT153">
        <f ca="1"/>
      </c>
      <c r="IU153">
        <f ca="1"/>
      </c>
      <c r="IV153">
        <f ca="1"/>
      </c>
      <c r="IW153">
        <f ca="1"/>
      </c>
      <c r="IX153">
        <f ca="1"/>
      </c>
      <c r="IY153">
        <f ca="1"/>
      </c>
      <c r="IZ153">
        <f ca="1"/>
      </c>
      <c r="JA153">
        <f ca="1"/>
      </c>
      <c r="JB153">
        <f ca="1"/>
      </c>
      <c r="LA153">
        <f ca="1"/>
      </c>
      <c r="LB153">
        <f ca="1"/>
      </c>
      <c r="LC153">
        <f ca="1"/>
      </c>
    </row>
    <row r="154" spans="58:315" x14ac:dyDescent="0.55000000000000004">
      <c r="BF154">
        <f ca="1"/>
      </c>
      <c r="BG154">
        <f ca="1"/>
      </c>
      <c r="BI154">
        <f ca="1"/>
      </c>
      <c r="BJ154" s="11">
        <f ca="1"/>
      </c>
      <c r="BK154" s="11">
        <f ca="1"/>
      </c>
      <c r="BL154" s="11">
        <f ca="1"/>
      </c>
      <c r="BM154" s="11">
        <f ca="1"/>
      </c>
      <c r="BN154" s="11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J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F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B154">
        <f ca="1"/>
      </c>
      <c r="GC154">
        <f ca="1"/>
      </c>
      <c r="GD154">
        <f ca="1"/>
      </c>
      <c r="GE154">
        <f ca="1"/>
      </c>
      <c r="GF154">
        <f ca="1"/>
      </c>
      <c r="GG154">
        <f ca="1"/>
      </c>
      <c r="GH154">
        <f ca="1"/>
      </c>
      <c r="GI154">
        <f ca="1"/>
      </c>
      <c r="GJ154">
        <f ca="1"/>
      </c>
      <c r="GK154">
        <f ca="1"/>
      </c>
      <c r="GL154">
        <f ca="1"/>
      </c>
      <c r="GM154">
        <f ca="1"/>
      </c>
      <c r="GN154">
        <f ca="1"/>
      </c>
      <c r="GO154">
        <f ca="1"/>
      </c>
      <c r="GP154">
        <f ca="1"/>
      </c>
      <c r="GQ154">
        <f ca="1"/>
      </c>
      <c r="GR154">
        <f ca="1"/>
      </c>
      <c r="GS154">
        <f ca="1"/>
      </c>
      <c r="GT154">
        <f ca="1"/>
      </c>
      <c r="GU154">
        <f ca="1"/>
      </c>
      <c r="GV154">
        <f ca="1"/>
      </c>
      <c r="GW154">
        <f ca="1"/>
      </c>
      <c r="GX154">
        <f ca="1"/>
      </c>
      <c r="GY154">
        <f ca="1"/>
      </c>
      <c r="GZ154">
        <f ca="1"/>
      </c>
      <c r="HA154">
        <f ca="1"/>
      </c>
      <c r="HB154">
        <f ca="1"/>
      </c>
      <c r="HC154">
        <f ca="1"/>
      </c>
      <c r="HD154">
        <f ca="1"/>
      </c>
      <c r="HE154">
        <f ca="1"/>
      </c>
      <c r="HF154">
        <f ca="1"/>
      </c>
      <c r="HG154">
        <f ca="1"/>
      </c>
      <c r="HH154">
        <f ca="1"/>
      </c>
      <c r="HI154">
        <f ca="1"/>
      </c>
      <c r="HJ154">
        <f ca="1"/>
      </c>
      <c r="HK154">
        <f ca="1"/>
      </c>
      <c r="HL154">
        <f ca="1"/>
      </c>
      <c r="HM154">
        <f ca="1"/>
      </c>
      <c r="HN154">
        <f ca="1"/>
      </c>
      <c r="HO154">
        <f ca="1"/>
      </c>
      <c r="HP154">
        <f ca="1"/>
      </c>
      <c r="HQ154">
        <f ca="1"/>
      </c>
      <c r="HR154">
        <f ca="1"/>
      </c>
      <c r="HS154">
        <f ca="1"/>
      </c>
      <c r="HT154">
        <f ca="1"/>
      </c>
      <c r="HU154">
        <f ca="1"/>
      </c>
      <c r="HV154">
        <f ca="1"/>
      </c>
      <c r="HW154">
        <f ca="1"/>
      </c>
      <c r="HX154">
        <f ca="1"/>
      </c>
      <c r="HY154">
        <f ca="1"/>
      </c>
      <c r="HZ154">
        <f ca="1"/>
      </c>
      <c r="IA154">
        <f ca="1"/>
      </c>
      <c r="IB154">
        <f ca="1"/>
      </c>
      <c r="IC154">
        <f ca="1"/>
      </c>
      <c r="ID154">
        <f ca="1"/>
      </c>
      <c r="IE154">
        <f ca="1"/>
      </c>
      <c r="IF154">
        <f ca="1"/>
      </c>
      <c r="IG154">
        <f ca="1"/>
      </c>
      <c r="IH154">
        <f ca="1"/>
      </c>
      <c r="II154">
        <f ca="1"/>
      </c>
      <c r="IJ154">
        <f ca="1"/>
      </c>
      <c r="IK154">
        <f ca="1"/>
      </c>
      <c r="IL154">
        <f ca="1"/>
      </c>
      <c r="IM154">
        <f ca="1"/>
      </c>
      <c r="IN154">
        <f ca="1"/>
      </c>
      <c r="IO154">
        <f ca="1"/>
      </c>
      <c r="IP154">
        <f ca="1"/>
      </c>
      <c r="IQ154">
        <f ca="1"/>
      </c>
      <c r="IR154">
        <f ca="1"/>
      </c>
      <c r="IS154">
        <f ca="1"/>
      </c>
      <c r="IT154">
        <f ca="1"/>
      </c>
      <c r="IU154">
        <f ca="1"/>
      </c>
      <c r="IV154">
        <f ca="1"/>
      </c>
      <c r="IW154">
        <f ca="1"/>
      </c>
      <c r="IX154">
        <f ca="1"/>
      </c>
      <c r="IY154">
        <f ca="1"/>
      </c>
      <c r="IZ154">
        <f ca="1"/>
      </c>
      <c r="JA154">
        <f ca="1"/>
      </c>
      <c r="JB154">
        <f ca="1"/>
      </c>
      <c r="LA154">
        <f ca="1"/>
      </c>
      <c r="LB154">
        <f ca="1"/>
      </c>
      <c r="LC154">
        <f ca="1"/>
      </c>
    </row>
    <row r="155" spans="58:315" x14ac:dyDescent="0.55000000000000004">
      <c r="BF155">
        <f ca="1"/>
      </c>
      <c r="BG155">
        <f ca="1"/>
      </c>
      <c r="BI155">
        <f ca="1"/>
      </c>
      <c r="BJ155" s="11">
        <f ca="1"/>
      </c>
      <c r="BK155" s="11">
        <f ca="1"/>
      </c>
      <c r="BL155" s="11">
        <f ca="1"/>
      </c>
      <c r="BM155" s="11">
        <f ca="1"/>
      </c>
      <c r="BN155" s="11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J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F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B155">
        <f ca="1"/>
      </c>
      <c r="GC155">
        <f ca="1"/>
      </c>
      <c r="GD155">
        <f ca="1"/>
      </c>
      <c r="GE155">
        <f ca="1"/>
      </c>
      <c r="GF155">
        <f ca="1"/>
      </c>
      <c r="GG155">
        <f ca="1"/>
      </c>
      <c r="GH155">
        <f ca="1"/>
      </c>
      <c r="GI155">
        <f ca="1"/>
      </c>
      <c r="GJ155">
        <f ca="1"/>
      </c>
      <c r="GK155">
        <f ca="1"/>
      </c>
      <c r="GL155">
        <f ca="1"/>
      </c>
      <c r="GM155">
        <f ca="1"/>
      </c>
      <c r="GN155">
        <f ca="1"/>
      </c>
      <c r="GO155">
        <f ca="1"/>
      </c>
      <c r="GP155">
        <f ca="1"/>
      </c>
      <c r="GQ155">
        <f ca="1"/>
      </c>
      <c r="GR155">
        <f ca="1"/>
      </c>
      <c r="GS155">
        <f ca="1"/>
      </c>
      <c r="GT155">
        <f ca="1"/>
      </c>
      <c r="GU155">
        <f ca="1"/>
      </c>
      <c r="GV155">
        <f ca="1"/>
      </c>
      <c r="GW155">
        <f ca="1"/>
      </c>
      <c r="GX155">
        <f ca="1"/>
      </c>
      <c r="GY155">
        <f ca="1"/>
      </c>
      <c r="GZ155">
        <f ca="1"/>
      </c>
      <c r="HA155">
        <f ca="1"/>
      </c>
      <c r="HB155">
        <f ca="1"/>
      </c>
      <c r="HC155">
        <f ca="1"/>
      </c>
      <c r="HD155">
        <f ca="1"/>
      </c>
      <c r="HE155">
        <f ca="1"/>
      </c>
      <c r="HF155">
        <f ca="1"/>
      </c>
      <c r="HG155">
        <f ca="1"/>
      </c>
      <c r="HH155">
        <f ca="1"/>
      </c>
      <c r="HI155">
        <f ca="1"/>
      </c>
      <c r="HJ155">
        <f ca="1"/>
      </c>
      <c r="HK155">
        <f ca="1"/>
      </c>
      <c r="HL155">
        <f ca="1"/>
      </c>
      <c r="HM155">
        <f ca="1"/>
      </c>
      <c r="HN155">
        <f ca="1"/>
      </c>
      <c r="HO155">
        <f ca="1"/>
      </c>
      <c r="HP155">
        <f ca="1"/>
      </c>
      <c r="HQ155">
        <f ca="1"/>
      </c>
      <c r="HR155">
        <f ca="1"/>
      </c>
      <c r="HS155">
        <f ca="1"/>
      </c>
      <c r="HT155">
        <f ca="1"/>
      </c>
      <c r="HU155">
        <f ca="1"/>
      </c>
      <c r="HV155">
        <f ca="1"/>
      </c>
      <c r="HW155">
        <f ca="1"/>
      </c>
      <c r="HX155">
        <f ca="1"/>
      </c>
      <c r="HY155">
        <f ca="1"/>
      </c>
      <c r="HZ155">
        <f ca="1"/>
      </c>
      <c r="IA155">
        <f ca="1"/>
      </c>
      <c r="IB155">
        <f ca="1"/>
      </c>
      <c r="IC155">
        <f ca="1"/>
      </c>
      <c r="ID155">
        <f ca="1"/>
      </c>
      <c r="IE155">
        <f ca="1"/>
      </c>
      <c r="IF155">
        <f ca="1"/>
      </c>
      <c r="IG155">
        <f ca="1"/>
      </c>
      <c r="IH155">
        <f ca="1"/>
      </c>
      <c r="II155">
        <f ca="1"/>
      </c>
      <c r="IJ155">
        <f ca="1"/>
      </c>
      <c r="IK155">
        <f ca="1"/>
      </c>
      <c r="IL155">
        <f ca="1"/>
      </c>
      <c r="IM155">
        <f ca="1"/>
      </c>
      <c r="IN155">
        <f ca="1"/>
      </c>
      <c r="IO155">
        <f ca="1"/>
      </c>
      <c r="IP155">
        <f ca="1"/>
      </c>
      <c r="IQ155">
        <f ca="1"/>
      </c>
      <c r="IR155">
        <f ca="1"/>
      </c>
      <c r="IS155">
        <f ca="1"/>
      </c>
      <c r="IT155">
        <f ca="1"/>
      </c>
      <c r="IU155">
        <f ca="1"/>
      </c>
      <c r="IV155">
        <f ca="1"/>
      </c>
      <c r="IW155">
        <f ca="1"/>
      </c>
      <c r="IX155">
        <f ca="1"/>
      </c>
      <c r="IY155">
        <f ca="1"/>
      </c>
      <c r="IZ155">
        <f ca="1"/>
      </c>
      <c r="JA155">
        <f ca="1"/>
      </c>
      <c r="JB155">
        <f ca="1"/>
      </c>
      <c r="LA155">
        <f ca="1"/>
      </c>
      <c r="LB155">
        <f ca="1"/>
      </c>
      <c r="LC155">
        <f ca="1"/>
      </c>
    </row>
    <row r="156" spans="58:315" x14ac:dyDescent="0.55000000000000004">
      <c r="BF156">
        <f ca="1"/>
      </c>
      <c r="BG156">
        <f ca="1"/>
      </c>
      <c r="BI156">
        <f ca="1"/>
      </c>
      <c r="BJ156" s="11">
        <f ca="1"/>
      </c>
      <c r="BK156" s="11">
        <f ca="1"/>
      </c>
      <c r="BL156" s="11">
        <f ca="1"/>
      </c>
      <c r="BM156" s="11">
        <f ca="1"/>
      </c>
      <c r="BN156" s="11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J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F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B156">
        <f ca="1"/>
      </c>
      <c r="GC156">
        <f ca="1"/>
      </c>
      <c r="GD156">
        <f ca="1"/>
      </c>
      <c r="GE156">
        <f ca="1"/>
      </c>
      <c r="GF156">
        <f ca="1"/>
      </c>
      <c r="GG156">
        <f ca="1"/>
      </c>
      <c r="GH156">
        <f ca="1"/>
      </c>
      <c r="GI156">
        <f ca="1"/>
      </c>
      <c r="GJ156">
        <f ca="1"/>
      </c>
      <c r="GK156">
        <f ca="1"/>
      </c>
      <c r="GL156">
        <f ca="1"/>
      </c>
      <c r="GM156">
        <f ca="1"/>
      </c>
      <c r="GN156">
        <f ca="1"/>
      </c>
      <c r="GO156">
        <f ca="1"/>
      </c>
      <c r="GP156">
        <f ca="1"/>
      </c>
      <c r="GQ156">
        <f ca="1"/>
      </c>
      <c r="GR156">
        <f ca="1"/>
      </c>
      <c r="GS156">
        <f ca="1"/>
      </c>
      <c r="GT156">
        <f ca="1"/>
      </c>
      <c r="GU156">
        <f ca="1"/>
      </c>
      <c r="GV156">
        <f ca="1"/>
      </c>
      <c r="GW156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C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R156">
        <f ca="1"/>
      </c>
      <c r="HS156">
        <f ca="1"/>
      </c>
      <c r="HT156">
        <f ca="1"/>
      </c>
      <c r="HU156">
        <f ca="1"/>
      </c>
      <c r="HV156">
        <f ca="1"/>
      </c>
      <c r="HW156">
        <f ca="1"/>
      </c>
      <c r="HX156">
        <f ca="1"/>
      </c>
      <c r="HY156">
        <f ca="1"/>
      </c>
      <c r="HZ156">
        <f ca="1"/>
      </c>
      <c r="IA156">
        <f ca="1"/>
      </c>
      <c r="IB156">
        <f ca="1"/>
      </c>
      <c r="IC156">
        <f ca="1"/>
      </c>
      <c r="ID156">
        <f ca="1"/>
      </c>
      <c r="IE156">
        <f ca="1"/>
      </c>
      <c r="IF156">
        <f ca="1"/>
      </c>
      <c r="IG156">
        <f ca="1"/>
      </c>
      <c r="IH156">
        <f ca="1"/>
      </c>
      <c r="II156">
        <f ca="1"/>
      </c>
      <c r="IJ156">
        <f ca="1"/>
      </c>
      <c r="IK156">
        <f ca="1"/>
      </c>
      <c r="IL156">
        <f ca="1"/>
      </c>
      <c r="IM156">
        <f ca="1"/>
      </c>
      <c r="IN156">
        <f ca="1"/>
      </c>
      <c r="IO156">
        <f ca="1"/>
      </c>
      <c r="IP156">
        <f ca="1"/>
      </c>
      <c r="IQ156">
        <f ca="1"/>
      </c>
      <c r="IR156">
        <f ca="1"/>
      </c>
      <c r="IS156">
        <f ca="1"/>
      </c>
      <c r="IT156">
        <f ca="1"/>
      </c>
      <c r="IU156">
        <f ca="1"/>
      </c>
      <c r="IV156">
        <f ca="1"/>
      </c>
      <c r="IW156">
        <f ca="1"/>
      </c>
      <c r="IX156">
        <f ca="1"/>
      </c>
      <c r="IY156">
        <f ca="1"/>
      </c>
      <c r="IZ156">
        <f ca="1"/>
      </c>
      <c r="JA156">
        <f ca="1"/>
      </c>
      <c r="JB156">
        <f ca="1"/>
      </c>
      <c r="LA156">
        <f ca="1"/>
      </c>
      <c r="LB156">
        <f ca="1"/>
      </c>
      <c r="LC156">
        <f ca="1"/>
      </c>
    </row>
    <row r="157" spans="58:315" x14ac:dyDescent="0.55000000000000004">
      <c r="BF157">
        <f ca="1"/>
      </c>
      <c r="BG157">
        <f ca="1"/>
      </c>
      <c r="BI157">
        <f ca="1"/>
      </c>
      <c r="BJ157" s="11">
        <f ca="1"/>
      </c>
      <c r="BK157" s="11">
        <f ca="1"/>
      </c>
      <c r="BL157" s="11">
        <f ca="1"/>
      </c>
      <c r="BM157" s="11">
        <f ca="1"/>
      </c>
      <c r="BN157" s="11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J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F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B157">
        <f ca="1"/>
      </c>
      <c r="GC157">
        <f ca="1"/>
      </c>
      <c r="GD157">
        <f ca="1"/>
      </c>
      <c r="GE157">
        <f ca="1"/>
      </c>
      <c r="GF157">
        <f ca="1"/>
      </c>
      <c r="GG157">
        <f ca="1"/>
      </c>
      <c r="GH157">
        <f ca="1"/>
      </c>
      <c r="GI157">
        <f ca="1"/>
      </c>
      <c r="GJ157">
        <f ca="1"/>
      </c>
      <c r="GK157">
        <f ca="1"/>
      </c>
      <c r="GL157">
        <f ca="1"/>
      </c>
      <c r="GM157">
        <f ca="1"/>
      </c>
      <c r="GN157">
        <f ca="1"/>
      </c>
      <c r="GO157">
        <f ca="1"/>
      </c>
      <c r="GP157">
        <f ca="1"/>
      </c>
      <c r="GQ157">
        <f ca="1"/>
      </c>
      <c r="GR157">
        <f ca="1"/>
      </c>
      <c r="GS157">
        <f ca="1"/>
      </c>
      <c r="GT157">
        <f ca="1"/>
      </c>
      <c r="GU157">
        <f ca="1"/>
      </c>
      <c r="GV157">
        <f ca="1"/>
      </c>
      <c r="GW157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C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R157">
        <f ca="1"/>
      </c>
      <c r="HS157">
        <f ca="1"/>
      </c>
      <c r="HT157">
        <f ca="1"/>
      </c>
      <c r="HU157">
        <f ca="1"/>
      </c>
      <c r="HV157">
        <f ca="1"/>
      </c>
      <c r="HW157">
        <f ca="1"/>
      </c>
      <c r="HX157">
        <f ca="1"/>
      </c>
      <c r="HY157">
        <f ca="1"/>
      </c>
      <c r="HZ157">
        <f ca="1"/>
      </c>
      <c r="IA157">
        <f ca="1"/>
      </c>
      <c r="IB157">
        <f ca="1"/>
      </c>
      <c r="IC157">
        <f ca="1"/>
      </c>
      <c r="ID157">
        <f ca="1"/>
      </c>
      <c r="IE157">
        <f ca="1"/>
      </c>
      <c r="IF157">
        <f ca="1"/>
      </c>
      <c r="IG157">
        <f ca="1"/>
      </c>
      <c r="IH157">
        <f ca="1"/>
      </c>
      <c r="II157">
        <f ca="1"/>
      </c>
      <c r="IJ157">
        <f ca="1"/>
      </c>
      <c r="IK157">
        <f ca="1"/>
      </c>
      <c r="IL157">
        <f ca="1"/>
      </c>
      <c r="IM157">
        <f ca="1"/>
      </c>
      <c r="IN157">
        <f ca="1"/>
      </c>
      <c r="IO157">
        <f ca="1"/>
      </c>
      <c r="IP157">
        <f ca="1"/>
      </c>
      <c r="IQ157">
        <f ca="1"/>
      </c>
      <c r="IR157">
        <f ca="1"/>
      </c>
      <c r="IS157">
        <f ca="1"/>
      </c>
      <c r="IT157">
        <f ca="1"/>
      </c>
      <c r="IU157">
        <f ca="1"/>
      </c>
      <c r="IV157">
        <f ca="1"/>
      </c>
      <c r="IW157">
        <f ca="1"/>
      </c>
      <c r="IX157">
        <f ca="1"/>
      </c>
      <c r="IY157">
        <f ca="1"/>
      </c>
      <c r="IZ157">
        <f ca="1"/>
      </c>
      <c r="JA157">
        <f ca="1"/>
      </c>
      <c r="JB157">
        <f ca="1"/>
      </c>
      <c r="LA157">
        <f ca="1"/>
      </c>
      <c r="LB157">
        <f ca="1"/>
      </c>
      <c r="LC157">
        <f ca="1"/>
      </c>
    </row>
    <row r="158" spans="58:315" x14ac:dyDescent="0.55000000000000004">
      <c r="BF158">
        <f ca="1"/>
      </c>
      <c r="BG158">
        <f ca="1"/>
      </c>
      <c r="BI158">
        <f ca="1"/>
      </c>
      <c r="BJ158" s="11">
        <f ca="1"/>
      </c>
      <c r="BK158" s="11">
        <f ca="1"/>
      </c>
      <c r="BL158" s="11">
        <f ca="1"/>
      </c>
      <c r="BM158" s="11">
        <f ca="1"/>
      </c>
      <c r="BN158" s="11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J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F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B158">
        <f ca="1"/>
      </c>
      <c r="GC158">
        <f ca="1"/>
      </c>
      <c r="GD158">
        <f ca="1"/>
      </c>
      <c r="GE158">
        <f ca="1"/>
      </c>
      <c r="GF158">
        <f ca="1"/>
      </c>
      <c r="GG158">
        <f ca="1"/>
      </c>
      <c r="GH158">
        <f ca="1"/>
      </c>
      <c r="GI158">
        <f ca="1"/>
      </c>
      <c r="GJ158">
        <f ca="1"/>
      </c>
      <c r="GK158">
        <f ca="1"/>
      </c>
      <c r="GL158">
        <f ca="1"/>
      </c>
      <c r="GM158">
        <f ca="1"/>
      </c>
      <c r="GN158">
        <f ca="1"/>
      </c>
      <c r="GO158">
        <f ca="1"/>
      </c>
      <c r="GP158">
        <f ca="1"/>
      </c>
      <c r="GQ158">
        <f ca="1"/>
      </c>
      <c r="GR158">
        <f ca="1"/>
      </c>
      <c r="GS158">
        <f ca="1"/>
      </c>
      <c r="GT158">
        <f ca="1"/>
      </c>
      <c r="GU158">
        <f ca="1"/>
      </c>
      <c r="GV158">
        <f ca="1"/>
      </c>
      <c r="GW158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C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R158">
        <f ca="1"/>
      </c>
      <c r="HS158">
        <f ca="1"/>
      </c>
      <c r="HT158">
        <f ca="1"/>
      </c>
      <c r="HU158">
        <f ca="1"/>
      </c>
      <c r="HV158">
        <f ca="1"/>
      </c>
      <c r="HW158">
        <f ca="1"/>
      </c>
      <c r="HX158">
        <f ca="1"/>
      </c>
      <c r="HY158">
        <f ca="1"/>
      </c>
      <c r="HZ158">
        <f ca="1"/>
      </c>
      <c r="IA158">
        <f ca="1"/>
      </c>
      <c r="IB158">
        <f ca="1"/>
      </c>
      <c r="IC158">
        <f ca="1"/>
      </c>
      <c r="ID158">
        <f ca="1"/>
      </c>
      <c r="IE158">
        <f ca="1"/>
      </c>
      <c r="IF158">
        <f ca="1"/>
      </c>
      <c r="IG158">
        <f ca="1"/>
      </c>
      <c r="IH158">
        <f ca="1"/>
      </c>
      <c r="II158">
        <f ca="1"/>
      </c>
      <c r="IJ158">
        <f ca="1"/>
      </c>
      <c r="IK158">
        <f ca="1"/>
      </c>
      <c r="IL158">
        <f ca="1"/>
      </c>
      <c r="IM158">
        <f ca="1"/>
      </c>
      <c r="IN158">
        <f ca="1"/>
      </c>
      <c r="IO158">
        <f ca="1"/>
      </c>
      <c r="IP158">
        <f ca="1"/>
      </c>
      <c r="IQ158">
        <f ca="1"/>
      </c>
      <c r="IR158">
        <f ca="1"/>
      </c>
      <c r="IS158">
        <f ca="1"/>
      </c>
      <c r="IT158">
        <f ca="1"/>
      </c>
      <c r="IU158">
        <f ca="1"/>
      </c>
      <c r="IV158">
        <f ca="1"/>
      </c>
      <c r="IW158">
        <f ca="1"/>
      </c>
      <c r="IX158">
        <f ca="1"/>
      </c>
      <c r="IY158">
        <f ca="1"/>
      </c>
      <c r="IZ158">
        <f ca="1"/>
      </c>
      <c r="JA158">
        <f ca="1"/>
      </c>
      <c r="JB158">
        <f ca="1"/>
      </c>
      <c r="LA158">
        <f ca="1"/>
      </c>
      <c r="LB158">
        <f ca="1"/>
      </c>
      <c r="LC158">
        <f ca="1"/>
      </c>
    </row>
    <row r="159" spans="58:315" x14ac:dyDescent="0.55000000000000004">
      <c r="BF159">
        <f ca="1"/>
      </c>
      <c r="BG159">
        <f ca="1"/>
      </c>
      <c r="BI159">
        <f ca="1"/>
      </c>
      <c r="BJ159" s="11">
        <f ca="1"/>
      </c>
      <c r="BK159" s="11">
        <f ca="1"/>
      </c>
      <c r="BL159" s="11">
        <f ca="1"/>
      </c>
      <c r="BM159" s="11">
        <f ca="1"/>
      </c>
      <c r="BN159" s="11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J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F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B159">
        <f ca="1"/>
      </c>
      <c r="GC159">
        <f ca="1"/>
      </c>
      <c r="GD159">
        <f ca="1"/>
      </c>
      <c r="GE159">
        <f ca="1"/>
      </c>
      <c r="GF159">
        <f ca="1"/>
      </c>
      <c r="GG159">
        <f ca="1"/>
      </c>
      <c r="GH159">
        <f ca="1"/>
      </c>
      <c r="GI159">
        <f ca="1"/>
      </c>
      <c r="GJ159">
        <f ca="1"/>
      </c>
      <c r="GK159">
        <f ca="1"/>
      </c>
      <c r="GL159">
        <f ca="1"/>
      </c>
      <c r="GM159">
        <f ca="1"/>
      </c>
      <c r="GN159">
        <f ca="1"/>
      </c>
      <c r="GO159">
        <f ca="1"/>
      </c>
      <c r="GP159">
        <f ca="1"/>
      </c>
      <c r="GQ159">
        <f ca="1"/>
      </c>
      <c r="GR159">
        <f ca="1"/>
      </c>
      <c r="GS159">
        <f ca="1"/>
      </c>
      <c r="GT159">
        <f ca="1"/>
      </c>
      <c r="GU159">
        <f ca="1"/>
      </c>
      <c r="GV159">
        <f ca="1"/>
      </c>
      <c r="GW159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C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R159">
        <f ca="1"/>
      </c>
      <c r="HS159">
        <f ca="1"/>
      </c>
      <c r="HT159">
        <f ca="1"/>
      </c>
      <c r="HU159">
        <f ca="1"/>
      </c>
      <c r="HV159">
        <f ca="1"/>
      </c>
      <c r="HW159">
        <f ca="1"/>
      </c>
      <c r="HX159">
        <f ca="1"/>
      </c>
      <c r="HY159">
        <f ca="1"/>
      </c>
      <c r="HZ159">
        <f ca="1"/>
      </c>
      <c r="IA159">
        <f ca="1"/>
      </c>
      <c r="IB159">
        <f ca="1"/>
      </c>
      <c r="IC159">
        <f ca="1"/>
      </c>
      <c r="ID159">
        <f ca="1"/>
      </c>
      <c r="IE159">
        <f ca="1"/>
      </c>
      <c r="IF159">
        <f ca="1"/>
      </c>
      <c r="IG159">
        <f ca="1"/>
      </c>
      <c r="IH159">
        <f ca="1"/>
      </c>
      <c r="II159">
        <f ca="1"/>
      </c>
      <c r="IJ159">
        <f ca="1"/>
      </c>
      <c r="IK159">
        <f ca="1"/>
      </c>
      <c r="IL159">
        <f ca="1"/>
      </c>
      <c r="IM159">
        <f ca="1"/>
      </c>
      <c r="IN159">
        <f ca="1"/>
      </c>
      <c r="IO159">
        <f ca="1"/>
      </c>
      <c r="IP159">
        <f ca="1"/>
      </c>
      <c r="IQ159">
        <f ca="1"/>
      </c>
      <c r="IR159">
        <f ca="1"/>
      </c>
      <c r="IS159">
        <f ca="1"/>
      </c>
      <c r="IT159">
        <f ca="1"/>
      </c>
      <c r="IU159">
        <f ca="1"/>
      </c>
      <c r="IV159">
        <f ca="1"/>
      </c>
      <c r="IW159">
        <f ca="1"/>
      </c>
      <c r="IX159">
        <f ca="1"/>
      </c>
      <c r="IY159">
        <f ca="1"/>
      </c>
      <c r="IZ159">
        <f ca="1"/>
      </c>
      <c r="JA159">
        <f ca="1"/>
      </c>
      <c r="JB159">
        <f ca="1"/>
      </c>
      <c r="LA159">
        <f ca="1"/>
      </c>
      <c r="LB159">
        <f ca="1"/>
      </c>
      <c r="LC159">
        <f ca="1"/>
      </c>
    </row>
    <row r="160" spans="58:315" x14ac:dyDescent="0.55000000000000004">
      <c r="BF160">
        <f ca="1"/>
      </c>
      <c r="BG160">
        <f ca="1"/>
      </c>
      <c r="BI160">
        <f ca="1"/>
      </c>
      <c r="BJ160" s="11">
        <f ca="1"/>
      </c>
      <c r="BK160" s="11">
        <f ca="1"/>
      </c>
      <c r="BL160" s="11">
        <f ca="1"/>
      </c>
      <c r="BM160" s="11">
        <f ca="1"/>
      </c>
      <c r="BN160" s="11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J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F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B160">
        <f ca="1"/>
      </c>
      <c r="GC160">
        <f ca="1"/>
      </c>
      <c r="GD160">
        <f ca="1"/>
      </c>
      <c r="GE160">
        <f ca="1"/>
      </c>
      <c r="GF160">
        <f ca="1"/>
      </c>
      <c r="GG160">
        <f ca="1"/>
      </c>
      <c r="GH160">
        <f ca="1"/>
      </c>
      <c r="GI160">
        <f ca="1"/>
      </c>
      <c r="GJ160">
        <f ca="1"/>
      </c>
      <c r="GK160">
        <f ca="1"/>
      </c>
      <c r="GL160">
        <f ca="1"/>
      </c>
      <c r="GM160">
        <f ca="1"/>
      </c>
      <c r="GN160">
        <f ca="1"/>
      </c>
      <c r="GO160">
        <f ca="1"/>
      </c>
      <c r="GP160">
        <f ca="1"/>
      </c>
      <c r="GQ160">
        <f ca="1"/>
      </c>
      <c r="GR160">
        <f ca="1"/>
      </c>
      <c r="GS160">
        <f ca="1"/>
      </c>
      <c r="GT160">
        <f ca="1"/>
      </c>
      <c r="GU160">
        <f ca="1"/>
      </c>
      <c r="GV160">
        <f ca="1"/>
      </c>
      <c r="GW160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C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R160">
        <f ca="1"/>
      </c>
      <c r="HS160">
        <f ca="1"/>
      </c>
      <c r="HT160">
        <f ca="1"/>
      </c>
      <c r="HU160">
        <f ca="1"/>
      </c>
      <c r="HV160">
        <f ca="1"/>
      </c>
      <c r="HW160">
        <f ca="1"/>
      </c>
      <c r="HX160">
        <f ca="1"/>
      </c>
      <c r="HY160">
        <f ca="1"/>
      </c>
      <c r="HZ160">
        <f ca="1"/>
      </c>
      <c r="IA160">
        <f ca="1"/>
      </c>
      <c r="IB160">
        <f ca="1"/>
      </c>
      <c r="IC160">
        <f ca="1"/>
      </c>
      <c r="ID160">
        <f ca="1"/>
      </c>
      <c r="IE160">
        <f ca="1"/>
      </c>
      <c r="IF160">
        <f ca="1"/>
      </c>
      <c r="IG160">
        <f ca="1"/>
      </c>
      <c r="IH160">
        <f ca="1"/>
      </c>
      <c r="II160">
        <f ca="1"/>
      </c>
      <c r="IJ160">
        <f ca="1"/>
      </c>
      <c r="IK160">
        <f ca="1"/>
      </c>
      <c r="IL160">
        <f ca="1"/>
      </c>
      <c r="IM160">
        <f ca="1"/>
      </c>
      <c r="IN160">
        <f ca="1"/>
      </c>
      <c r="IO160">
        <f ca="1"/>
      </c>
      <c r="IP160">
        <f ca="1"/>
      </c>
      <c r="IQ160">
        <f ca="1"/>
      </c>
      <c r="IR160">
        <f ca="1"/>
      </c>
      <c r="IS160">
        <f ca="1"/>
      </c>
      <c r="IT160">
        <f ca="1"/>
      </c>
      <c r="IU160">
        <f ca="1"/>
      </c>
      <c r="IV160">
        <f ca="1"/>
      </c>
      <c r="IW160">
        <f ca="1"/>
      </c>
      <c r="IX160">
        <f ca="1"/>
      </c>
      <c r="IY160">
        <f ca="1"/>
      </c>
      <c r="IZ160">
        <f ca="1"/>
      </c>
      <c r="JA160">
        <f ca="1"/>
      </c>
      <c r="JB160">
        <f ca="1"/>
      </c>
      <c r="LA160">
        <f ca="1"/>
      </c>
      <c r="LB160">
        <f ca="1"/>
      </c>
      <c r="LC160">
        <f ca="1"/>
      </c>
    </row>
    <row r="161" spans="58:315" x14ac:dyDescent="0.55000000000000004">
      <c r="BF161">
        <f ca="1"/>
      </c>
      <c r="BG161">
        <f ca="1"/>
      </c>
      <c r="BI161">
        <f ca="1"/>
      </c>
      <c r="BJ161" s="11">
        <f ca="1"/>
      </c>
      <c r="BK161" s="11">
        <f ca="1"/>
      </c>
      <c r="BL161" s="11">
        <f ca="1"/>
      </c>
      <c r="BM161" s="11">
        <f ca="1"/>
      </c>
      <c r="BN161" s="1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  <c r="BV161">
        <f ca="1"/>
      </c>
      <c r="BW161">
        <f ca="1"/>
      </c>
      <c r="BX161">
        <f ca="1"/>
      </c>
      <c r="BY161">
        <f ca="1"/>
      </c>
      <c r="BZ161">
        <f ca="1"/>
      </c>
      <c r="CA161">
        <f ca="1"/>
      </c>
      <c r="CB161">
        <f ca="1"/>
      </c>
      <c r="CC161">
        <f ca="1"/>
      </c>
      <c r="CD161">
        <f ca="1"/>
      </c>
      <c r="CE161">
        <f ca="1"/>
      </c>
      <c r="CF161">
        <f ca="1"/>
      </c>
      <c r="CG161">
        <f ca="1"/>
      </c>
      <c r="CH161">
        <f ca="1"/>
      </c>
      <c r="CI161">
        <f ca="1"/>
      </c>
      <c r="CJ161">
        <f ca="1"/>
      </c>
      <c r="CK161">
        <f ca="1"/>
      </c>
      <c r="CL161">
        <f ca="1"/>
      </c>
      <c r="CM161">
        <f ca="1"/>
      </c>
      <c r="CN161">
        <f ca="1"/>
      </c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DQ161">
        <f ca="1"/>
      </c>
      <c r="DR161">
        <f ca="1"/>
      </c>
      <c r="DS161">
        <f ca="1"/>
      </c>
      <c r="DT161">
        <f ca="1"/>
      </c>
      <c r="DU161">
        <f ca="1"/>
      </c>
      <c r="DV161">
        <f ca="1"/>
      </c>
      <c r="DW161">
        <f ca="1"/>
      </c>
      <c r="DX161">
        <f ca="1"/>
      </c>
      <c r="DY161">
        <f ca="1"/>
      </c>
      <c r="DZ161">
        <f ca="1"/>
      </c>
      <c r="EA161">
        <f ca="1"/>
      </c>
      <c r="EB161">
        <f ca="1"/>
      </c>
      <c r="EC161">
        <f ca="1"/>
      </c>
      <c r="ED161">
        <f ca="1"/>
      </c>
      <c r="EE161">
        <f ca="1"/>
      </c>
      <c r="EF161">
        <f ca="1"/>
      </c>
      <c r="EG161">
        <f ca="1"/>
      </c>
      <c r="EH161">
        <f ca="1"/>
      </c>
      <c r="EI161">
        <f ca="1"/>
      </c>
      <c r="EJ161">
        <f ca="1"/>
      </c>
      <c r="EK161">
        <f ca="1"/>
      </c>
      <c r="EL161">
        <f ca="1"/>
      </c>
      <c r="EM161">
        <f ca="1"/>
      </c>
      <c r="EN161">
        <f ca="1"/>
      </c>
      <c r="EO161">
        <f ca="1"/>
      </c>
      <c r="E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FS161">
        <f ca="1"/>
      </c>
      <c r="FT161">
        <f ca="1"/>
      </c>
      <c r="FU161">
        <f ca="1"/>
      </c>
      <c r="FV161">
        <f ca="1"/>
      </c>
      <c r="FW161">
        <f ca="1"/>
      </c>
      <c r="FX161">
        <f ca="1"/>
      </c>
      <c r="FY161">
        <f ca="1"/>
      </c>
      <c r="FZ161">
        <f ca="1"/>
      </c>
      <c r="GA161">
        <f ca="1"/>
      </c>
      <c r="GB161">
        <f ca="1"/>
      </c>
      <c r="GC161">
        <f ca="1"/>
      </c>
      <c r="GD161">
        <f ca="1"/>
      </c>
      <c r="GE161">
        <f ca="1"/>
      </c>
      <c r="GF161">
        <f ca="1"/>
      </c>
      <c r="GG161">
        <f ca="1"/>
      </c>
      <c r="GH161">
        <f ca="1"/>
      </c>
      <c r="GI161">
        <f ca="1"/>
      </c>
      <c r="GJ161">
        <f ca="1"/>
      </c>
      <c r="GK161">
        <f ca="1"/>
      </c>
      <c r="GL161">
        <f ca="1"/>
      </c>
      <c r="GM161">
        <f ca="1"/>
      </c>
      <c r="GN161">
        <f ca="1"/>
      </c>
      <c r="GO161">
        <f ca="1"/>
      </c>
      <c r="GP161">
        <f ca="1"/>
      </c>
      <c r="GQ161">
        <f ca="1"/>
      </c>
      <c r="GR161">
        <f ca="1"/>
      </c>
      <c r="GS161">
        <f ca="1"/>
      </c>
      <c r="GT161">
        <f ca="1"/>
      </c>
      <c r="GU161">
        <f ca="1"/>
      </c>
      <c r="GV161">
        <f ca="1"/>
      </c>
      <c r="GW161">
        <f ca="1"/>
      </c>
      <c r="GX161">
        <f ca="1"/>
      </c>
      <c r="GY161">
        <f ca="1"/>
      </c>
      <c r="GZ161">
        <f ca="1"/>
      </c>
      <c r="HA161">
        <f ca="1"/>
      </c>
      <c r="HB161">
        <f ca="1"/>
      </c>
      <c r="HC161">
        <f ca="1"/>
      </c>
      <c r="HD161">
        <f ca="1"/>
      </c>
      <c r="HE161">
        <f ca="1"/>
      </c>
      <c r="HF161">
        <f ca="1"/>
      </c>
      <c r="HG161">
        <f ca="1"/>
      </c>
      <c r="HH161">
        <f ca="1"/>
      </c>
      <c r="HI161">
        <f ca="1"/>
      </c>
      <c r="HJ161">
        <f ca="1"/>
      </c>
      <c r="HK161">
        <f ca="1"/>
      </c>
      <c r="HL161">
        <f ca="1"/>
      </c>
      <c r="HM161">
        <f ca="1"/>
      </c>
      <c r="HN161">
        <f ca="1"/>
      </c>
      <c r="HO161">
        <f ca="1"/>
      </c>
      <c r="HP161">
        <f ca="1"/>
      </c>
      <c r="HQ161">
        <f ca="1"/>
      </c>
      <c r="HR161">
        <f ca="1"/>
      </c>
      <c r="HS161">
        <f ca="1"/>
      </c>
      <c r="HT161">
        <f ca="1"/>
      </c>
      <c r="HU161">
        <f ca="1"/>
      </c>
      <c r="HV161">
        <f ca="1"/>
      </c>
      <c r="HW161">
        <f ca="1"/>
      </c>
      <c r="HX161">
        <f ca="1"/>
      </c>
      <c r="HY161">
        <f ca="1"/>
      </c>
      <c r="HZ161">
        <f ca="1"/>
      </c>
      <c r="IA161">
        <f ca="1"/>
      </c>
      <c r="IB161">
        <f ca="1"/>
      </c>
      <c r="IC161">
        <f ca="1"/>
      </c>
      <c r="ID161">
        <f ca="1"/>
      </c>
      <c r="IE161">
        <f ca="1"/>
      </c>
      <c r="IF161">
        <f ca="1"/>
      </c>
      <c r="IG161">
        <f ca="1"/>
      </c>
      <c r="IH161">
        <f ca="1"/>
      </c>
      <c r="II161">
        <f ca="1"/>
      </c>
      <c r="IJ161">
        <f ca="1"/>
      </c>
      <c r="IK161">
        <f ca="1"/>
      </c>
      <c r="IL161">
        <f ca="1"/>
      </c>
      <c r="IM161">
        <f ca="1"/>
      </c>
      <c r="IN161">
        <f ca="1"/>
      </c>
      <c r="IO161">
        <f ca="1"/>
      </c>
      <c r="IP161">
        <f ca="1"/>
      </c>
      <c r="IQ161">
        <f ca="1"/>
      </c>
      <c r="IR161">
        <f ca="1"/>
      </c>
      <c r="IS161">
        <f ca="1"/>
      </c>
      <c r="IT161">
        <f ca="1"/>
      </c>
      <c r="IU161">
        <f ca="1"/>
      </c>
      <c r="IV161">
        <f ca="1"/>
      </c>
      <c r="IW161">
        <f ca="1"/>
      </c>
      <c r="IX161">
        <f ca="1"/>
      </c>
      <c r="IY161">
        <f ca="1"/>
      </c>
      <c r="IZ161">
        <f ca="1"/>
      </c>
      <c r="JA161">
        <f ca="1"/>
      </c>
      <c r="JB161">
        <f ca="1"/>
      </c>
      <c r="LA161">
        <f ca="1"/>
      </c>
      <c r="LB161">
        <f ca="1"/>
      </c>
      <c r="LC161">
        <f ca="1"/>
      </c>
    </row>
    <row r="162" spans="58:315" x14ac:dyDescent="0.55000000000000004">
      <c r="BF162">
        <f ca="1"/>
      </c>
      <c r="BG162">
        <f ca="1"/>
      </c>
      <c r="BI162">
        <f ca="1"/>
      </c>
      <c r="BJ162" s="11">
        <f ca="1"/>
      </c>
      <c r="BK162" s="11">
        <f ca="1"/>
      </c>
      <c r="BL162" s="11">
        <f ca="1"/>
      </c>
      <c r="BM162" s="11">
        <f ca="1"/>
      </c>
      <c r="BN162" s="11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  <c r="BV162">
        <f ca="1"/>
      </c>
      <c r="BW162">
        <f ca="1"/>
      </c>
      <c r="BX162">
        <f ca="1"/>
      </c>
      <c r="BY162">
        <f ca="1"/>
      </c>
      <c r="BZ162">
        <f ca="1"/>
      </c>
      <c r="CA162">
        <f ca="1"/>
      </c>
      <c r="CB162">
        <f ca="1"/>
      </c>
      <c r="CC162">
        <f ca="1"/>
      </c>
      <c r="CD162">
        <f ca="1"/>
      </c>
      <c r="CE162">
        <f ca="1"/>
      </c>
      <c r="CF162">
        <f ca="1"/>
      </c>
      <c r="CG162">
        <f ca="1"/>
      </c>
      <c r="CH162">
        <f ca="1"/>
      </c>
      <c r="CI162">
        <f ca="1"/>
      </c>
      <c r="CJ162">
        <f ca="1"/>
      </c>
      <c r="CK162">
        <f ca="1"/>
      </c>
      <c r="CL162">
        <f ca="1"/>
      </c>
      <c r="CM162">
        <f ca="1"/>
      </c>
      <c r="CN162">
        <f ca="1"/>
      </c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DQ162">
        <f ca="1"/>
      </c>
      <c r="DR162">
        <f ca="1"/>
      </c>
      <c r="DS162">
        <f ca="1"/>
      </c>
      <c r="DT162">
        <f ca="1"/>
      </c>
      <c r="DU162">
        <f ca="1"/>
      </c>
      <c r="DV162">
        <f ca="1"/>
      </c>
      <c r="DW162">
        <f ca="1"/>
      </c>
      <c r="DX162">
        <f ca="1"/>
      </c>
      <c r="DY162">
        <f ca="1"/>
      </c>
      <c r="DZ162">
        <f ca="1"/>
      </c>
      <c r="EA162">
        <f ca="1"/>
      </c>
      <c r="EB162">
        <f ca="1"/>
      </c>
      <c r="EC162">
        <f ca="1"/>
      </c>
      <c r="ED162">
        <f ca="1"/>
      </c>
      <c r="EE162">
        <f ca="1"/>
      </c>
      <c r="EF162">
        <f ca="1"/>
      </c>
      <c r="EG162">
        <f ca="1"/>
      </c>
      <c r="EH162">
        <f ca="1"/>
      </c>
      <c r="EI162">
        <f ca="1"/>
      </c>
      <c r="EJ162">
        <f ca="1"/>
      </c>
      <c r="EK162">
        <f ca="1"/>
      </c>
      <c r="EL162">
        <f ca="1"/>
      </c>
      <c r="EM162">
        <f ca="1"/>
      </c>
      <c r="EN162">
        <f ca="1"/>
      </c>
      <c r="EO162">
        <f ca="1"/>
      </c>
      <c r="E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FS162">
        <f ca="1"/>
      </c>
      <c r="FT162">
        <f ca="1"/>
      </c>
      <c r="FU162">
        <f ca="1"/>
      </c>
      <c r="FV162">
        <f ca="1"/>
      </c>
      <c r="FW162">
        <f ca="1"/>
      </c>
      <c r="FX162">
        <f ca="1"/>
      </c>
      <c r="FY162">
        <f ca="1"/>
      </c>
      <c r="FZ162">
        <f ca="1"/>
      </c>
      <c r="GA162">
        <f ca="1"/>
      </c>
      <c r="GB162">
        <f ca="1"/>
      </c>
      <c r="GC162">
        <f ca="1"/>
      </c>
      <c r="GD162">
        <f ca="1"/>
      </c>
      <c r="GE162">
        <f ca="1"/>
      </c>
      <c r="GF162">
        <f ca="1"/>
      </c>
      <c r="GG162">
        <f ca="1"/>
      </c>
      <c r="GH162">
        <f ca="1"/>
      </c>
      <c r="GI162">
        <f ca="1"/>
      </c>
      <c r="GJ162">
        <f ca="1"/>
      </c>
      <c r="GK162">
        <f ca="1"/>
      </c>
      <c r="GL162">
        <f ca="1"/>
      </c>
      <c r="GM162">
        <f ca="1"/>
      </c>
      <c r="GN162">
        <f ca="1"/>
      </c>
      <c r="GO162">
        <f ca="1"/>
      </c>
      <c r="GP162">
        <f ca="1"/>
      </c>
      <c r="GQ162">
        <f ca="1"/>
      </c>
      <c r="GR162">
        <f ca="1"/>
      </c>
      <c r="GS162">
        <f ca="1"/>
      </c>
      <c r="GT162">
        <f ca="1"/>
      </c>
      <c r="GU162">
        <f ca="1"/>
      </c>
      <c r="GV162">
        <f ca="1"/>
      </c>
      <c r="GW162">
        <f ca="1"/>
      </c>
      <c r="GX162">
        <f ca="1"/>
      </c>
      <c r="GY162">
        <f ca="1"/>
      </c>
      <c r="GZ162">
        <f ca="1"/>
      </c>
      <c r="HA162">
        <f ca="1"/>
      </c>
      <c r="HB162">
        <f ca="1"/>
      </c>
      <c r="HC162">
        <f ca="1"/>
      </c>
      <c r="HD162">
        <f ca="1"/>
      </c>
      <c r="HE162">
        <f ca="1"/>
      </c>
      <c r="HF162">
        <f ca="1"/>
      </c>
      <c r="HG162">
        <f ca="1"/>
      </c>
      <c r="HH162">
        <f ca="1"/>
      </c>
      <c r="HI162">
        <f ca="1"/>
      </c>
      <c r="HJ162">
        <f ca="1"/>
      </c>
      <c r="HK162">
        <f ca="1"/>
      </c>
      <c r="HL162">
        <f ca="1"/>
      </c>
      <c r="HM162">
        <f ca="1"/>
      </c>
      <c r="HN162">
        <f ca="1"/>
      </c>
      <c r="HO162">
        <f ca="1"/>
      </c>
      <c r="HP162">
        <f ca="1"/>
      </c>
      <c r="HQ162">
        <f ca="1"/>
      </c>
      <c r="HR162">
        <f ca="1"/>
      </c>
      <c r="HS162">
        <f ca="1"/>
      </c>
      <c r="HT162">
        <f ca="1"/>
      </c>
      <c r="HU162">
        <f ca="1"/>
      </c>
      <c r="HV162">
        <f ca="1"/>
      </c>
      <c r="HW162">
        <f ca="1"/>
      </c>
      <c r="HX162">
        <f ca="1"/>
      </c>
      <c r="HY162">
        <f ca="1"/>
      </c>
      <c r="HZ162">
        <f ca="1"/>
      </c>
      <c r="IA162">
        <f ca="1"/>
      </c>
      <c r="IB162">
        <f ca="1"/>
      </c>
      <c r="IC162">
        <f ca="1"/>
      </c>
      <c r="ID162">
        <f ca="1"/>
      </c>
      <c r="IE162">
        <f ca="1"/>
      </c>
      <c r="IF162">
        <f ca="1"/>
      </c>
      <c r="IG162">
        <f ca="1"/>
      </c>
      <c r="IH162">
        <f ca="1"/>
      </c>
      <c r="II162">
        <f ca="1"/>
      </c>
      <c r="IJ162">
        <f ca="1"/>
      </c>
      <c r="IK162">
        <f ca="1"/>
      </c>
      <c r="IL162">
        <f ca="1"/>
      </c>
      <c r="IM162">
        <f ca="1"/>
      </c>
      <c r="IN162">
        <f ca="1"/>
      </c>
      <c r="IO162">
        <f ca="1"/>
      </c>
      <c r="IP162">
        <f ca="1"/>
      </c>
      <c r="IQ162">
        <f ca="1"/>
      </c>
      <c r="IR162">
        <f ca="1"/>
      </c>
      <c r="IS162">
        <f ca="1"/>
      </c>
      <c r="IT162">
        <f ca="1"/>
      </c>
      <c r="IU162">
        <f ca="1"/>
      </c>
      <c r="IV162">
        <f ca="1"/>
      </c>
      <c r="IW162">
        <f ca="1"/>
      </c>
      <c r="IX162">
        <f ca="1"/>
      </c>
      <c r="IY162">
        <f ca="1"/>
      </c>
      <c r="IZ162">
        <f ca="1"/>
      </c>
      <c r="JA162">
        <f ca="1"/>
      </c>
      <c r="JB162">
        <f ca="1"/>
      </c>
      <c r="LA162">
        <f ca="1"/>
      </c>
      <c r="LB162">
        <f ca="1"/>
      </c>
      <c r="LC162">
        <f ca="1"/>
      </c>
    </row>
    <row r="163" spans="58:315" x14ac:dyDescent="0.55000000000000004">
      <c r="BF163">
        <f ca="1"/>
      </c>
      <c r="BG163">
        <f ca="1"/>
      </c>
      <c r="BI163">
        <f ca="1"/>
      </c>
      <c r="BJ163" s="11">
        <f ca="1"/>
      </c>
      <c r="BK163" s="11">
        <f ca="1"/>
      </c>
      <c r="BL163" s="11">
        <f ca="1"/>
      </c>
      <c r="BM163" s="11">
        <f ca="1"/>
      </c>
      <c r="BN163" s="11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  <c r="BV163">
        <f ca="1"/>
      </c>
      <c r="BW163">
        <f ca="1"/>
      </c>
      <c r="BX163">
        <f ca="1"/>
      </c>
      <c r="BY163">
        <f ca="1"/>
      </c>
      <c r="BZ163">
        <f ca="1"/>
      </c>
      <c r="CA163">
        <f ca="1"/>
      </c>
      <c r="CB163">
        <f ca="1"/>
      </c>
      <c r="CC163">
        <f ca="1"/>
      </c>
      <c r="CD163">
        <f ca="1"/>
      </c>
      <c r="CE163">
        <f ca="1"/>
      </c>
      <c r="CF163">
        <f ca="1"/>
      </c>
      <c r="CG163">
        <f ca="1"/>
      </c>
      <c r="CH163">
        <f ca="1"/>
      </c>
      <c r="CI163">
        <f ca="1"/>
      </c>
      <c r="CJ163">
        <f ca="1"/>
      </c>
      <c r="CK163">
        <f ca="1"/>
      </c>
      <c r="CL163">
        <f ca="1"/>
      </c>
      <c r="CM163">
        <f ca="1"/>
      </c>
      <c r="CN163">
        <f ca="1"/>
      </c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DQ163">
        <f ca="1"/>
      </c>
      <c r="DR163">
        <f ca="1"/>
      </c>
      <c r="DS163">
        <f ca="1"/>
      </c>
      <c r="DT163">
        <f ca="1"/>
      </c>
      <c r="DU163">
        <f ca="1"/>
      </c>
      <c r="DV163">
        <f ca="1"/>
      </c>
      <c r="DW163">
        <f ca="1"/>
      </c>
      <c r="DX163">
        <f ca="1"/>
      </c>
      <c r="DY163">
        <f ca="1"/>
      </c>
      <c r="DZ163">
        <f ca="1"/>
      </c>
      <c r="EA163">
        <f ca="1"/>
      </c>
      <c r="EB163">
        <f ca="1"/>
      </c>
      <c r="EC163">
        <f ca="1"/>
      </c>
      <c r="ED163">
        <f ca="1"/>
      </c>
      <c r="EE163">
        <f ca="1"/>
      </c>
      <c r="EF163">
        <f ca="1"/>
      </c>
      <c r="EG163">
        <f ca="1"/>
      </c>
      <c r="EH163">
        <f ca="1"/>
      </c>
      <c r="EI163">
        <f ca="1"/>
      </c>
      <c r="EJ163">
        <f ca="1"/>
      </c>
      <c r="EK163">
        <f ca="1"/>
      </c>
      <c r="EL163">
        <f ca="1"/>
      </c>
      <c r="EM163">
        <f ca="1"/>
      </c>
      <c r="EN163">
        <f ca="1"/>
      </c>
      <c r="EO163">
        <f ca="1"/>
      </c>
      <c r="E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FS163">
        <f ca="1"/>
      </c>
      <c r="FT163">
        <f ca="1"/>
      </c>
      <c r="FU163">
        <f ca="1"/>
      </c>
      <c r="FV163">
        <f ca="1"/>
      </c>
      <c r="FW163">
        <f ca="1"/>
      </c>
      <c r="FX163">
        <f ca="1"/>
      </c>
      <c r="FY163">
        <f ca="1"/>
      </c>
      <c r="FZ163">
        <f ca="1"/>
      </c>
      <c r="GA163">
        <f ca="1"/>
      </c>
      <c r="GB163">
        <f ca="1"/>
      </c>
      <c r="GC163">
        <f ca="1"/>
      </c>
      <c r="GD163">
        <f ca="1"/>
      </c>
      <c r="GE163">
        <f ca="1"/>
      </c>
      <c r="GF163">
        <f ca="1"/>
      </c>
      <c r="GG163">
        <f ca="1"/>
      </c>
      <c r="GH163">
        <f ca="1"/>
      </c>
      <c r="GI163">
        <f ca="1"/>
      </c>
      <c r="GJ163">
        <f ca="1"/>
      </c>
      <c r="GK163">
        <f ca="1"/>
      </c>
      <c r="GL163">
        <f ca="1"/>
      </c>
      <c r="GM163">
        <f ca="1"/>
      </c>
      <c r="GN163">
        <f ca="1"/>
      </c>
      <c r="GO163">
        <f ca="1"/>
      </c>
      <c r="GP163">
        <f ca="1"/>
      </c>
      <c r="GQ163">
        <f ca="1"/>
      </c>
      <c r="GR163">
        <f ca="1"/>
      </c>
      <c r="GS163">
        <f ca="1"/>
      </c>
      <c r="GT163">
        <f ca="1"/>
      </c>
      <c r="GU163">
        <f ca="1"/>
      </c>
      <c r="GV163">
        <f ca="1"/>
      </c>
      <c r="GW163">
        <f ca="1"/>
      </c>
      <c r="GX163">
        <f ca="1"/>
      </c>
      <c r="GY163">
        <f ca="1"/>
      </c>
      <c r="GZ163">
        <f ca="1"/>
      </c>
      <c r="HA163">
        <f ca="1"/>
      </c>
      <c r="HB163">
        <f ca="1"/>
      </c>
      <c r="HC163">
        <f ca="1"/>
      </c>
      <c r="HD163">
        <f ca="1"/>
      </c>
      <c r="HE163">
        <f ca="1"/>
      </c>
      <c r="HF163">
        <f ca="1"/>
      </c>
      <c r="HG163">
        <f ca="1"/>
      </c>
      <c r="HH163">
        <f ca="1"/>
      </c>
      <c r="HI163">
        <f ca="1"/>
      </c>
      <c r="HJ163">
        <f ca="1"/>
      </c>
      <c r="HK163">
        <f ca="1"/>
      </c>
      <c r="HL163">
        <f ca="1"/>
      </c>
      <c r="HM163">
        <f ca="1"/>
      </c>
      <c r="HN163">
        <f ca="1"/>
      </c>
      <c r="HO163">
        <f ca="1"/>
      </c>
      <c r="HP163">
        <f ca="1"/>
      </c>
      <c r="HQ163">
        <f ca="1"/>
      </c>
      <c r="HR163">
        <f ca="1"/>
      </c>
      <c r="HS163">
        <f ca="1"/>
      </c>
      <c r="HT163">
        <f ca="1"/>
      </c>
      <c r="HU163">
        <f ca="1"/>
      </c>
      <c r="HV163">
        <f ca="1"/>
      </c>
      <c r="HW163">
        <f ca="1"/>
      </c>
      <c r="HX163">
        <f ca="1"/>
      </c>
      <c r="HY163">
        <f ca="1"/>
      </c>
      <c r="HZ163">
        <f ca="1"/>
      </c>
      <c r="IA163">
        <f ca="1"/>
      </c>
      <c r="IB163">
        <f ca="1"/>
      </c>
      <c r="IC163">
        <f ca="1"/>
      </c>
      <c r="ID163">
        <f ca="1"/>
      </c>
      <c r="IE163">
        <f ca="1"/>
      </c>
      <c r="IF163">
        <f ca="1"/>
      </c>
      <c r="IG163">
        <f ca="1"/>
      </c>
      <c r="IH163">
        <f ca="1"/>
      </c>
      <c r="II163">
        <f ca="1"/>
      </c>
      <c r="IJ163">
        <f ca="1"/>
      </c>
      <c r="IK163">
        <f ca="1"/>
      </c>
      <c r="IL163">
        <f ca="1"/>
      </c>
      <c r="IM163">
        <f ca="1"/>
      </c>
      <c r="IN163">
        <f ca="1"/>
      </c>
      <c r="IO163">
        <f ca="1"/>
      </c>
      <c r="IP163">
        <f ca="1"/>
      </c>
      <c r="IQ163">
        <f ca="1"/>
      </c>
      <c r="IR163">
        <f ca="1"/>
      </c>
      <c r="IS163">
        <f ca="1"/>
      </c>
      <c r="IT163">
        <f ca="1"/>
      </c>
      <c r="IU163">
        <f ca="1"/>
      </c>
      <c r="IV163">
        <f ca="1"/>
      </c>
      <c r="IW163">
        <f ca="1"/>
      </c>
      <c r="IX163">
        <f ca="1"/>
      </c>
      <c r="IY163">
        <f ca="1"/>
      </c>
      <c r="IZ163">
        <f ca="1"/>
      </c>
      <c r="JA163">
        <f ca="1"/>
      </c>
      <c r="JB163">
        <f ca="1"/>
      </c>
      <c r="LA163">
        <f ca="1"/>
      </c>
      <c r="LB163">
        <f ca="1"/>
      </c>
      <c r="LC163">
        <f ca="1"/>
      </c>
    </row>
    <row r="164" spans="58:315" x14ac:dyDescent="0.55000000000000004">
      <c r="BF164">
        <f ca="1"/>
      </c>
      <c r="BG164">
        <f ca="1"/>
      </c>
      <c r="BI164">
        <f ca="1"/>
      </c>
      <c r="BJ164" s="11">
        <f ca="1"/>
      </c>
      <c r="BK164" s="11">
        <f ca="1"/>
      </c>
      <c r="BL164" s="11">
        <f ca="1"/>
      </c>
      <c r="BM164" s="11">
        <f ca="1"/>
      </c>
      <c r="BN164" s="11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  <c r="BV164">
        <f ca="1"/>
      </c>
      <c r="BW164">
        <f ca="1"/>
      </c>
      <c r="BX164">
        <f ca="1"/>
      </c>
      <c r="BY164">
        <f ca="1"/>
      </c>
      <c r="BZ164">
        <f ca="1"/>
      </c>
      <c r="CA164">
        <f ca="1"/>
      </c>
      <c r="CB164">
        <f ca="1"/>
      </c>
      <c r="CC164">
        <f ca="1"/>
      </c>
      <c r="CD164">
        <f ca="1"/>
      </c>
      <c r="CE164">
        <f ca="1"/>
      </c>
      <c r="CF164">
        <f ca="1"/>
      </c>
      <c r="CG164">
        <f ca="1"/>
      </c>
      <c r="CH164">
        <f ca="1"/>
      </c>
      <c r="CI164">
        <f ca="1"/>
      </c>
      <c r="CJ164">
        <f ca="1"/>
      </c>
      <c r="CK164">
        <f ca="1"/>
      </c>
      <c r="CL164">
        <f ca="1"/>
      </c>
      <c r="CM164">
        <f ca="1"/>
      </c>
      <c r="CN164">
        <f ca="1"/>
      </c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DQ164">
        <f ca="1"/>
      </c>
      <c r="DR164">
        <f ca="1"/>
      </c>
      <c r="DS164">
        <f ca="1"/>
      </c>
      <c r="DT164">
        <f ca="1"/>
      </c>
      <c r="DU164">
        <f ca="1"/>
      </c>
      <c r="DV164">
        <f ca="1"/>
      </c>
      <c r="DW164">
        <f ca="1"/>
      </c>
      <c r="DX164">
        <f ca="1"/>
      </c>
      <c r="DY164">
        <f ca="1"/>
      </c>
      <c r="DZ164">
        <f ca="1"/>
      </c>
      <c r="EA164">
        <f ca="1"/>
      </c>
      <c r="EB164">
        <f ca="1"/>
      </c>
      <c r="EC164">
        <f ca="1"/>
      </c>
      <c r="ED164">
        <f ca="1"/>
      </c>
      <c r="EE164">
        <f ca="1"/>
      </c>
      <c r="EF164">
        <f ca="1"/>
      </c>
      <c r="EG164">
        <f ca="1"/>
      </c>
      <c r="EH164">
        <f ca="1"/>
      </c>
      <c r="EI164">
        <f ca="1"/>
      </c>
      <c r="EJ164">
        <f ca="1"/>
      </c>
      <c r="EK164">
        <f ca="1"/>
      </c>
      <c r="EL164">
        <f ca="1"/>
      </c>
      <c r="EM164">
        <f ca="1"/>
      </c>
      <c r="EN164">
        <f ca="1"/>
      </c>
      <c r="EO164">
        <f ca="1"/>
      </c>
      <c r="E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FS164">
        <f ca="1"/>
      </c>
      <c r="FT164">
        <f ca="1"/>
      </c>
      <c r="FU164">
        <f ca="1"/>
      </c>
      <c r="FV164">
        <f ca="1"/>
      </c>
      <c r="FW164">
        <f ca="1"/>
      </c>
      <c r="FX164">
        <f ca="1"/>
      </c>
      <c r="FY164">
        <f ca="1"/>
      </c>
      <c r="FZ164">
        <f ca="1"/>
      </c>
      <c r="GA164">
        <f ca="1"/>
      </c>
      <c r="GB164">
        <f ca="1"/>
      </c>
      <c r="GC164">
        <f ca="1"/>
      </c>
      <c r="GD164">
        <f ca="1"/>
      </c>
      <c r="GE164">
        <f ca="1"/>
      </c>
      <c r="GF164">
        <f ca="1"/>
      </c>
      <c r="GG164">
        <f ca="1"/>
      </c>
      <c r="GH164">
        <f ca="1"/>
      </c>
      <c r="GI164">
        <f ca="1"/>
      </c>
      <c r="GJ164">
        <f ca="1"/>
      </c>
      <c r="GK164">
        <f ca="1"/>
      </c>
      <c r="GL164">
        <f ca="1"/>
      </c>
      <c r="GM164">
        <f ca="1"/>
      </c>
      <c r="GN164">
        <f ca="1"/>
      </c>
      <c r="GO164">
        <f ca="1"/>
      </c>
      <c r="GP164">
        <f ca="1"/>
      </c>
      <c r="GQ164">
        <f ca="1"/>
      </c>
      <c r="GR164">
        <f ca="1"/>
      </c>
      <c r="GS164">
        <f ca="1"/>
      </c>
      <c r="GT164">
        <f ca="1"/>
      </c>
      <c r="GU164">
        <f ca="1"/>
      </c>
      <c r="GV164">
        <f ca="1"/>
      </c>
      <c r="GW164">
        <f ca="1"/>
      </c>
      <c r="GX164">
        <f ca="1"/>
      </c>
      <c r="GY164">
        <f ca="1"/>
      </c>
      <c r="GZ164">
        <f ca="1"/>
      </c>
      <c r="HA164">
        <f ca="1"/>
      </c>
      <c r="HB164">
        <f ca="1"/>
      </c>
      <c r="HC164">
        <f ca="1"/>
      </c>
      <c r="HD164">
        <f ca="1"/>
      </c>
      <c r="HE164">
        <f ca="1"/>
      </c>
      <c r="HF164">
        <f ca="1"/>
      </c>
      <c r="HG164">
        <f ca="1"/>
      </c>
      <c r="HH164">
        <f ca="1"/>
      </c>
      <c r="HI164">
        <f ca="1"/>
      </c>
      <c r="HJ164">
        <f ca="1"/>
      </c>
      <c r="HK164">
        <f ca="1"/>
      </c>
      <c r="HL164">
        <f ca="1"/>
      </c>
      <c r="HM164">
        <f ca="1"/>
      </c>
      <c r="HN164">
        <f ca="1"/>
      </c>
      <c r="HO164">
        <f ca="1"/>
      </c>
      <c r="HP164">
        <f ca="1"/>
      </c>
      <c r="HQ164">
        <f ca="1"/>
      </c>
      <c r="HR164">
        <f ca="1"/>
      </c>
      <c r="HS164">
        <f ca="1"/>
      </c>
      <c r="HT164">
        <f ca="1"/>
      </c>
      <c r="HU164">
        <f ca="1"/>
      </c>
      <c r="HV164">
        <f ca="1"/>
      </c>
      <c r="HW164">
        <f ca="1"/>
      </c>
      <c r="HX164">
        <f ca="1"/>
      </c>
      <c r="HY164">
        <f ca="1"/>
      </c>
      <c r="HZ164">
        <f ca="1"/>
      </c>
      <c r="IA164">
        <f ca="1"/>
      </c>
      <c r="IB164">
        <f ca="1"/>
      </c>
      <c r="IC164">
        <f ca="1"/>
      </c>
      <c r="ID164">
        <f ca="1"/>
      </c>
      <c r="IE164">
        <f ca="1"/>
      </c>
      <c r="IF164">
        <f ca="1"/>
      </c>
      <c r="IG164">
        <f ca="1"/>
      </c>
      <c r="IH164">
        <f ca="1"/>
      </c>
      <c r="II164">
        <f ca="1"/>
      </c>
      <c r="IJ164">
        <f ca="1"/>
      </c>
      <c r="IK164">
        <f ca="1"/>
      </c>
      <c r="IL164">
        <f ca="1"/>
      </c>
      <c r="IM164">
        <f ca="1"/>
      </c>
      <c r="IN164">
        <f ca="1"/>
      </c>
      <c r="IO164">
        <f ca="1"/>
      </c>
      <c r="IP164">
        <f ca="1"/>
      </c>
      <c r="IQ164">
        <f ca="1"/>
      </c>
      <c r="IR164">
        <f ca="1"/>
      </c>
      <c r="IS164">
        <f ca="1"/>
      </c>
      <c r="IT164">
        <f ca="1"/>
      </c>
      <c r="IU164">
        <f ca="1"/>
      </c>
      <c r="IV164">
        <f ca="1"/>
      </c>
      <c r="IW164">
        <f ca="1"/>
      </c>
      <c r="IX164">
        <f ca="1"/>
      </c>
      <c r="IY164">
        <f ca="1"/>
      </c>
      <c r="IZ164">
        <f ca="1"/>
      </c>
      <c r="JA164">
        <f ca="1"/>
      </c>
      <c r="JB164">
        <f ca="1"/>
      </c>
      <c r="LA164">
        <f ca="1"/>
      </c>
      <c r="LB164">
        <f ca="1"/>
      </c>
      <c r="LC164">
        <f ca="1"/>
      </c>
    </row>
    <row r="165" spans="58:315" x14ac:dyDescent="0.55000000000000004">
      <c r="BF165">
        <f ca="1"/>
      </c>
      <c r="BG165">
        <f ca="1"/>
      </c>
      <c r="BI165">
        <f ca="1"/>
      </c>
      <c r="BJ165" s="11">
        <f ca="1"/>
      </c>
      <c r="BK165" s="11">
        <f ca="1"/>
      </c>
      <c r="BL165" s="11">
        <f ca="1"/>
      </c>
      <c r="BM165" s="11">
        <f ca="1"/>
      </c>
      <c r="BN165" s="11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  <c r="BV165">
        <f ca="1"/>
      </c>
      <c r="BW165">
        <f ca="1"/>
      </c>
      <c r="BX165">
        <f ca="1"/>
      </c>
      <c r="BY165">
        <f ca="1"/>
      </c>
      <c r="BZ165">
        <f ca="1"/>
      </c>
      <c r="CA165">
        <f ca="1"/>
      </c>
      <c r="CB165">
        <f ca="1"/>
      </c>
      <c r="CC165">
        <f ca="1"/>
      </c>
      <c r="CD165">
        <f ca="1"/>
      </c>
      <c r="CE165">
        <f ca="1"/>
      </c>
      <c r="CF165">
        <f ca="1"/>
      </c>
      <c r="CG165">
        <f ca="1"/>
      </c>
      <c r="CH165">
        <f ca="1"/>
      </c>
      <c r="CI165">
        <f ca="1"/>
      </c>
      <c r="CJ165">
        <f ca="1"/>
      </c>
      <c r="CK165">
        <f ca="1"/>
      </c>
      <c r="CL165">
        <f ca="1"/>
      </c>
      <c r="CM165">
        <f ca="1"/>
      </c>
      <c r="CN165">
        <f ca="1"/>
      </c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DQ165">
        <f ca="1"/>
      </c>
      <c r="DR165">
        <f ca="1"/>
      </c>
      <c r="DS165">
        <f ca="1"/>
      </c>
      <c r="DT165">
        <f ca="1"/>
      </c>
      <c r="DU165">
        <f ca="1"/>
      </c>
      <c r="DV165">
        <f ca="1"/>
      </c>
      <c r="DW165">
        <f ca="1"/>
      </c>
      <c r="DX165">
        <f ca="1"/>
      </c>
      <c r="DY165">
        <f ca="1"/>
      </c>
      <c r="DZ165">
        <f ca="1"/>
      </c>
      <c r="EA165">
        <f ca="1"/>
      </c>
      <c r="EB165">
        <f ca="1"/>
      </c>
      <c r="EC165">
        <f ca="1"/>
      </c>
      <c r="ED165">
        <f ca="1"/>
      </c>
      <c r="EE165">
        <f ca="1"/>
      </c>
      <c r="EF165">
        <f ca="1"/>
      </c>
      <c r="EG165">
        <f ca="1"/>
      </c>
      <c r="EH165">
        <f ca="1"/>
      </c>
      <c r="EI165">
        <f ca="1"/>
      </c>
      <c r="EJ165">
        <f ca="1"/>
      </c>
      <c r="EK165">
        <f ca="1"/>
      </c>
      <c r="EL165">
        <f ca="1"/>
      </c>
      <c r="EM165">
        <f ca="1"/>
      </c>
      <c r="EN165">
        <f ca="1"/>
      </c>
      <c r="EO165">
        <f ca="1"/>
      </c>
      <c r="E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FS165">
        <f ca="1"/>
      </c>
      <c r="FT165">
        <f ca="1"/>
      </c>
      <c r="FU165">
        <f ca="1"/>
      </c>
      <c r="FV165">
        <f ca="1"/>
      </c>
      <c r="FW165">
        <f ca="1"/>
      </c>
      <c r="FX165">
        <f ca="1"/>
      </c>
      <c r="FY165">
        <f ca="1"/>
      </c>
      <c r="FZ165">
        <f ca="1"/>
      </c>
      <c r="GA165">
        <f ca="1"/>
      </c>
      <c r="GB165">
        <f ca="1"/>
      </c>
      <c r="GC165">
        <f ca="1"/>
      </c>
      <c r="GD165">
        <f ca="1"/>
      </c>
      <c r="GE165">
        <f ca="1"/>
      </c>
      <c r="GF165">
        <f ca="1"/>
      </c>
      <c r="GG165">
        <f ca="1"/>
      </c>
      <c r="GH165">
        <f ca="1"/>
      </c>
      <c r="GI165">
        <f ca="1"/>
      </c>
      <c r="GJ165">
        <f ca="1"/>
      </c>
      <c r="GK165">
        <f ca="1"/>
      </c>
      <c r="GL165">
        <f ca="1"/>
      </c>
      <c r="GM165">
        <f ca="1"/>
      </c>
      <c r="GN165">
        <f ca="1"/>
      </c>
      <c r="GO165">
        <f ca="1"/>
      </c>
      <c r="GP165">
        <f ca="1"/>
      </c>
      <c r="GQ165">
        <f ca="1"/>
      </c>
      <c r="GR165">
        <f ca="1"/>
      </c>
      <c r="GS165">
        <f ca="1"/>
      </c>
      <c r="GT165">
        <f ca="1"/>
      </c>
      <c r="GU165">
        <f ca="1"/>
      </c>
      <c r="GV165">
        <f ca="1"/>
      </c>
      <c r="GW165">
        <f ca="1"/>
      </c>
      <c r="GX165">
        <f ca="1"/>
      </c>
      <c r="GY165">
        <f ca="1"/>
      </c>
      <c r="GZ165">
        <f ca="1"/>
      </c>
      <c r="HA165">
        <f ca="1"/>
      </c>
      <c r="HB165">
        <f ca="1"/>
      </c>
      <c r="HC165">
        <f ca="1"/>
      </c>
      <c r="HD165">
        <f ca="1"/>
      </c>
      <c r="HE165">
        <f ca="1"/>
      </c>
      <c r="HF165">
        <f ca="1"/>
      </c>
      <c r="HG165">
        <f ca="1"/>
      </c>
      <c r="HH165">
        <f ca="1"/>
      </c>
      <c r="HI165">
        <f ca="1"/>
      </c>
      <c r="HJ165">
        <f ca="1"/>
      </c>
      <c r="HK165">
        <f ca="1"/>
      </c>
      <c r="HL165">
        <f ca="1"/>
      </c>
      <c r="HM165">
        <f ca="1"/>
      </c>
      <c r="HN165">
        <f ca="1"/>
      </c>
      <c r="HO165">
        <f ca="1"/>
      </c>
      <c r="HP165">
        <f ca="1"/>
      </c>
      <c r="HQ165">
        <f ca="1"/>
      </c>
      <c r="HR165">
        <f ca="1"/>
      </c>
      <c r="HS165">
        <f ca="1"/>
      </c>
      <c r="HT165">
        <f ca="1"/>
      </c>
      <c r="HU165">
        <f ca="1"/>
      </c>
      <c r="HV165">
        <f ca="1"/>
      </c>
      <c r="HW165">
        <f ca="1"/>
      </c>
      <c r="HX165">
        <f ca="1"/>
      </c>
      <c r="HY165">
        <f ca="1"/>
      </c>
      <c r="HZ165">
        <f ca="1"/>
      </c>
      <c r="IA165">
        <f ca="1"/>
      </c>
      <c r="IB165">
        <f ca="1"/>
      </c>
      <c r="IC165">
        <f ca="1"/>
      </c>
      <c r="ID165">
        <f ca="1"/>
      </c>
      <c r="IE165">
        <f ca="1"/>
      </c>
      <c r="IF165">
        <f ca="1"/>
      </c>
      <c r="IG165">
        <f ca="1"/>
      </c>
      <c r="IH165">
        <f ca="1"/>
      </c>
      <c r="II165">
        <f ca="1"/>
      </c>
      <c r="IJ165">
        <f ca="1"/>
      </c>
      <c r="IK165">
        <f ca="1"/>
      </c>
      <c r="IL165">
        <f ca="1"/>
      </c>
      <c r="IM165">
        <f ca="1"/>
      </c>
      <c r="IN165">
        <f ca="1"/>
      </c>
      <c r="IO165">
        <f ca="1"/>
      </c>
      <c r="IP165">
        <f ca="1"/>
      </c>
      <c r="IQ165">
        <f ca="1"/>
      </c>
      <c r="IR165">
        <f ca="1"/>
      </c>
      <c r="IS165">
        <f ca="1"/>
      </c>
      <c r="IT165">
        <f ca="1"/>
      </c>
      <c r="IU165">
        <f ca="1"/>
      </c>
      <c r="IV165">
        <f ca="1"/>
      </c>
      <c r="IW165">
        <f ca="1"/>
      </c>
      <c r="IX165">
        <f ca="1"/>
      </c>
      <c r="IY165">
        <f ca="1"/>
      </c>
      <c r="IZ165">
        <f ca="1"/>
      </c>
      <c r="JA165">
        <f ca="1"/>
      </c>
      <c r="JB165">
        <f ca="1"/>
      </c>
      <c r="LA165">
        <f ca="1"/>
      </c>
      <c r="LB165">
        <f ca="1"/>
      </c>
      <c r="LC165">
        <f ca="1"/>
      </c>
    </row>
    <row r="166" spans="58:315" x14ac:dyDescent="0.55000000000000004">
      <c r="BF166">
        <f ca="1"/>
      </c>
      <c r="BG166">
        <f ca="1"/>
      </c>
      <c r="BI166">
        <f ca="1"/>
      </c>
      <c r="BJ166" s="11">
        <f ca="1"/>
      </c>
      <c r="BK166" s="11">
        <f ca="1"/>
      </c>
      <c r="BL166" s="11">
        <f ca="1"/>
      </c>
      <c r="BM166" s="11">
        <f ca="1"/>
      </c>
      <c r="BN166" s="11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  <c r="BV166">
        <f ca="1"/>
      </c>
      <c r="BW166">
        <f ca="1"/>
      </c>
      <c r="BX166">
        <f ca="1"/>
      </c>
      <c r="BY166">
        <f ca="1"/>
      </c>
      <c r="BZ166">
        <f ca="1"/>
      </c>
      <c r="CA166">
        <f ca="1"/>
      </c>
      <c r="CB166">
        <f ca="1"/>
      </c>
      <c r="CC166">
        <f ca="1"/>
      </c>
      <c r="CD166">
        <f ca="1"/>
      </c>
      <c r="CE166">
        <f ca="1"/>
      </c>
      <c r="CF166">
        <f ca="1"/>
      </c>
      <c r="CG166">
        <f ca="1"/>
      </c>
      <c r="CH166">
        <f ca="1"/>
      </c>
      <c r="CI166">
        <f ca="1"/>
      </c>
      <c r="CJ166">
        <f ca="1"/>
      </c>
      <c r="CK166">
        <f ca="1"/>
      </c>
      <c r="CL166">
        <f ca="1"/>
      </c>
      <c r="CM166">
        <f ca="1"/>
      </c>
      <c r="CN166">
        <f ca="1"/>
      </c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DQ166">
        <f ca="1"/>
      </c>
      <c r="DR166">
        <f ca="1"/>
      </c>
      <c r="DS166">
        <f ca="1"/>
      </c>
      <c r="DT166">
        <f ca="1"/>
      </c>
      <c r="DU166">
        <f ca="1"/>
      </c>
      <c r="DV166">
        <f ca="1"/>
      </c>
      <c r="DW166">
        <f ca="1"/>
      </c>
      <c r="DX166">
        <f ca="1"/>
      </c>
      <c r="DY166">
        <f ca="1"/>
      </c>
      <c r="DZ166">
        <f ca="1"/>
      </c>
      <c r="EA166">
        <f ca="1"/>
      </c>
      <c r="EB166">
        <f ca="1"/>
      </c>
      <c r="EC166">
        <f ca="1"/>
      </c>
      <c r="ED166">
        <f ca="1"/>
      </c>
      <c r="EE166">
        <f ca="1"/>
      </c>
      <c r="EF166">
        <f ca="1"/>
      </c>
      <c r="EG166">
        <f ca="1"/>
      </c>
      <c r="EH166">
        <f ca="1"/>
      </c>
      <c r="EI166">
        <f ca="1"/>
      </c>
      <c r="EJ166">
        <f ca="1"/>
      </c>
      <c r="EK166">
        <f ca="1"/>
      </c>
      <c r="EL166">
        <f ca="1"/>
      </c>
      <c r="EM166">
        <f ca="1"/>
      </c>
      <c r="EN166">
        <f ca="1"/>
      </c>
      <c r="EO166">
        <f ca="1"/>
      </c>
      <c r="E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FS166">
        <f ca="1"/>
      </c>
      <c r="FT166">
        <f ca="1"/>
      </c>
      <c r="FU166">
        <f ca="1"/>
      </c>
      <c r="FV166">
        <f ca="1"/>
      </c>
      <c r="FW166">
        <f ca="1"/>
      </c>
      <c r="FX166">
        <f ca="1"/>
      </c>
      <c r="FY166">
        <f ca="1"/>
      </c>
      <c r="FZ166">
        <f ca="1"/>
      </c>
      <c r="GA166">
        <f ca="1"/>
      </c>
      <c r="GB166">
        <f ca="1"/>
      </c>
      <c r="GC166">
        <f ca="1"/>
      </c>
      <c r="GD166">
        <f ca="1"/>
      </c>
      <c r="GE166">
        <f ca="1"/>
      </c>
      <c r="GF166">
        <f ca="1"/>
      </c>
      <c r="GG166">
        <f ca="1"/>
      </c>
      <c r="GH166">
        <f ca="1"/>
      </c>
      <c r="GI166">
        <f ca="1"/>
      </c>
      <c r="GJ166">
        <f ca="1"/>
      </c>
      <c r="GK166">
        <f ca="1"/>
      </c>
      <c r="GL166">
        <f ca="1"/>
      </c>
      <c r="GM166">
        <f ca="1"/>
      </c>
      <c r="GN166">
        <f ca="1"/>
      </c>
      <c r="GO166">
        <f ca="1"/>
      </c>
      <c r="GP166">
        <f ca="1"/>
      </c>
      <c r="GQ166">
        <f ca="1"/>
      </c>
      <c r="GR166">
        <f ca="1"/>
      </c>
      <c r="GS166">
        <f ca="1"/>
      </c>
      <c r="GT166">
        <f ca="1"/>
      </c>
      <c r="GU166">
        <f ca="1"/>
      </c>
      <c r="GV166">
        <f ca="1"/>
      </c>
      <c r="GW166">
        <f ca="1"/>
      </c>
      <c r="GX166">
        <f ca="1"/>
      </c>
      <c r="GY166">
        <f ca="1"/>
      </c>
      <c r="GZ166">
        <f ca="1"/>
      </c>
      <c r="HA166">
        <f ca="1"/>
      </c>
      <c r="HB166">
        <f ca="1"/>
      </c>
      <c r="HC166">
        <f ca="1"/>
      </c>
      <c r="HD166">
        <f ca="1"/>
      </c>
      <c r="HE166">
        <f ca="1"/>
      </c>
      <c r="HF166">
        <f ca="1"/>
      </c>
      <c r="HG166">
        <f ca="1"/>
      </c>
      <c r="HH166">
        <f ca="1"/>
      </c>
      <c r="HI166">
        <f ca="1"/>
      </c>
      <c r="HJ166">
        <f ca="1"/>
      </c>
      <c r="HK166">
        <f ca="1"/>
      </c>
      <c r="HL166">
        <f ca="1"/>
      </c>
      <c r="HM166">
        <f ca="1"/>
      </c>
      <c r="HN166">
        <f ca="1"/>
      </c>
      <c r="HO166">
        <f ca="1"/>
      </c>
      <c r="HP166">
        <f ca="1"/>
      </c>
      <c r="HQ166">
        <f ca="1"/>
      </c>
      <c r="HR166">
        <f ca="1"/>
      </c>
      <c r="HS166">
        <f ca="1"/>
      </c>
      <c r="HT166">
        <f ca="1"/>
      </c>
      <c r="HU166">
        <f ca="1"/>
      </c>
      <c r="HV166">
        <f ca="1"/>
      </c>
      <c r="HW166">
        <f ca="1"/>
      </c>
      <c r="HX166">
        <f ca="1"/>
      </c>
      <c r="HY166">
        <f ca="1"/>
      </c>
      <c r="HZ166">
        <f ca="1"/>
      </c>
      <c r="IA166">
        <f ca="1"/>
      </c>
      <c r="IB166">
        <f ca="1"/>
      </c>
      <c r="IC166">
        <f ca="1"/>
      </c>
      <c r="ID166">
        <f ca="1"/>
      </c>
      <c r="IE166">
        <f ca="1"/>
      </c>
      <c r="IF166">
        <f ca="1"/>
      </c>
      <c r="IG166">
        <f ca="1"/>
      </c>
      <c r="IH166">
        <f ca="1"/>
      </c>
      <c r="II166">
        <f ca="1"/>
      </c>
      <c r="IJ166">
        <f ca="1"/>
      </c>
      <c r="IK166">
        <f ca="1"/>
      </c>
      <c r="IL166">
        <f ca="1"/>
      </c>
      <c r="IM166">
        <f ca="1"/>
      </c>
      <c r="IN166">
        <f ca="1"/>
      </c>
      <c r="IO166">
        <f ca="1"/>
      </c>
      <c r="IP166">
        <f ca="1"/>
      </c>
      <c r="IQ166">
        <f ca="1"/>
      </c>
      <c r="IR166">
        <f ca="1"/>
      </c>
      <c r="IS166">
        <f ca="1"/>
      </c>
      <c r="IT166">
        <f ca="1"/>
      </c>
      <c r="IU166">
        <f ca="1"/>
      </c>
      <c r="IV166">
        <f ca="1"/>
      </c>
      <c r="IW166">
        <f ca="1"/>
      </c>
      <c r="IX166">
        <f ca="1"/>
      </c>
      <c r="IY166">
        <f ca="1"/>
      </c>
      <c r="IZ166">
        <f ca="1"/>
      </c>
      <c r="JA166">
        <f ca="1"/>
      </c>
      <c r="JB166">
        <f ca="1"/>
      </c>
      <c r="LA166">
        <f ca="1"/>
      </c>
      <c r="LB166">
        <f ca="1"/>
      </c>
      <c r="LC166">
        <f ca="1"/>
      </c>
    </row>
    <row r="167" spans="58:315" x14ac:dyDescent="0.55000000000000004">
      <c r="BF167">
        <f ca="1"/>
      </c>
      <c r="BG167">
        <f ca="1"/>
      </c>
      <c r="BI167">
        <f ca="1"/>
      </c>
      <c r="BJ167" s="11">
        <f ca="1"/>
      </c>
      <c r="BK167" s="11">
        <f ca="1"/>
      </c>
      <c r="BL167" s="11">
        <f ca="1"/>
      </c>
      <c r="BM167" s="11">
        <f ca="1"/>
      </c>
      <c r="BN167" s="11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  <c r="BV167">
        <f ca="1"/>
      </c>
      <c r="BW167">
        <f ca="1"/>
      </c>
      <c r="BX167">
        <f ca="1"/>
      </c>
      <c r="BY167">
        <f ca="1"/>
      </c>
      <c r="BZ167">
        <f ca="1"/>
      </c>
      <c r="CA167">
        <f ca="1"/>
      </c>
      <c r="CB167">
        <f ca="1"/>
      </c>
      <c r="CC167">
        <f ca="1"/>
      </c>
      <c r="CD167">
        <f ca="1"/>
      </c>
      <c r="CE167">
        <f ca="1"/>
      </c>
      <c r="CF167">
        <f ca="1"/>
      </c>
      <c r="CG167">
        <f ca="1"/>
      </c>
      <c r="CH167">
        <f ca="1"/>
      </c>
      <c r="CI167">
        <f ca="1"/>
      </c>
      <c r="CJ167">
        <f ca="1"/>
      </c>
      <c r="CK167">
        <f ca="1"/>
      </c>
      <c r="CL167">
        <f ca="1"/>
      </c>
      <c r="CM167">
        <f ca="1"/>
      </c>
      <c r="CN167">
        <f ca="1"/>
      </c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DQ167">
        <f ca="1"/>
      </c>
      <c r="DR167">
        <f ca="1"/>
      </c>
      <c r="DS167">
        <f ca="1"/>
      </c>
      <c r="DT167">
        <f ca="1"/>
      </c>
      <c r="DU167">
        <f ca="1"/>
      </c>
      <c r="DV167">
        <f ca="1"/>
      </c>
      <c r="DW167">
        <f ca="1"/>
      </c>
      <c r="DX167">
        <f ca="1"/>
      </c>
      <c r="DY167">
        <f ca="1"/>
      </c>
      <c r="DZ167">
        <f ca="1"/>
      </c>
      <c r="EA167">
        <f ca="1"/>
      </c>
      <c r="EB167">
        <f ca="1"/>
      </c>
      <c r="EC167">
        <f ca="1"/>
      </c>
      <c r="ED167">
        <f ca="1"/>
      </c>
      <c r="EE167">
        <f ca="1"/>
      </c>
      <c r="EF167">
        <f ca="1"/>
      </c>
      <c r="EG167">
        <f ca="1"/>
      </c>
      <c r="EH167">
        <f ca="1"/>
      </c>
      <c r="EI167">
        <f ca="1"/>
      </c>
      <c r="EJ167">
        <f ca="1"/>
      </c>
      <c r="EK167">
        <f ca="1"/>
      </c>
      <c r="EL167">
        <f ca="1"/>
      </c>
      <c r="EM167">
        <f ca="1"/>
      </c>
      <c r="EN167">
        <f ca="1"/>
      </c>
      <c r="EO167">
        <f ca="1"/>
      </c>
      <c r="E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FS167">
        <f ca="1"/>
      </c>
      <c r="FT167">
        <f ca="1"/>
      </c>
      <c r="FU167">
        <f ca="1"/>
      </c>
      <c r="FV167">
        <f ca="1"/>
      </c>
      <c r="FW167">
        <f ca="1"/>
      </c>
      <c r="FX167">
        <f ca="1"/>
      </c>
      <c r="FY167">
        <f ca="1"/>
      </c>
      <c r="FZ167">
        <f ca="1"/>
      </c>
      <c r="GA167">
        <f ca="1"/>
      </c>
      <c r="GB167">
        <f ca="1"/>
      </c>
      <c r="GC167">
        <f ca="1"/>
      </c>
      <c r="GD167">
        <f ca="1"/>
      </c>
      <c r="GE167">
        <f ca="1"/>
      </c>
      <c r="GF167">
        <f ca="1"/>
      </c>
      <c r="GG167">
        <f ca="1"/>
      </c>
      <c r="GH167">
        <f ca="1"/>
      </c>
      <c r="GI167">
        <f ca="1"/>
      </c>
      <c r="GJ167">
        <f ca="1"/>
      </c>
      <c r="GK167">
        <f ca="1"/>
      </c>
      <c r="GL167">
        <f ca="1"/>
      </c>
      <c r="GM167">
        <f ca="1"/>
      </c>
      <c r="GN167">
        <f ca="1"/>
      </c>
      <c r="GO167">
        <f ca="1"/>
      </c>
      <c r="GP167">
        <f ca="1"/>
      </c>
      <c r="GQ167">
        <f ca="1"/>
      </c>
      <c r="GR167">
        <f ca="1"/>
      </c>
      <c r="GS167">
        <f ca="1"/>
      </c>
      <c r="GT167">
        <f ca="1"/>
      </c>
      <c r="GU167">
        <f ca="1"/>
      </c>
      <c r="GV167">
        <f ca="1"/>
      </c>
      <c r="GW167">
        <f ca="1"/>
      </c>
      <c r="GX167">
        <f ca="1"/>
      </c>
      <c r="GY167">
        <f ca="1"/>
      </c>
      <c r="GZ167">
        <f ca="1"/>
      </c>
      <c r="HA167">
        <f ca="1"/>
      </c>
      <c r="HB167">
        <f ca="1"/>
      </c>
      <c r="HC167">
        <f ca="1"/>
      </c>
      <c r="HD167">
        <f ca="1"/>
      </c>
      <c r="HE167">
        <f ca="1"/>
      </c>
      <c r="HF167">
        <f ca="1"/>
      </c>
      <c r="HG167">
        <f ca="1"/>
      </c>
      <c r="HH167">
        <f ca="1"/>
      </c>
      <c r="HI167">
        <f ca="1"/>
      </c>
      <c r="HJ167">
        <f ca="1"/>
      </c>
      <c r="HK167">
        <f ca="1"/>
      </c>
      <c r="HL167">
        <f ca="1"/>
      </c>
      <c r="HM167">
        <f ca="1"/>
      </c>
      <c r="HN167">
        <f ca="1"/>
      </c>
      <c r="HO167">
        <f ca="1"/>
      </c>
      <c r="HP167">
        <f ca="1"/>
      </c>
      <c r="HQ167">
        <f ca="1"/>
      </c>
      <c r="HR167">
        <f ca="1"/>
      </c>
      <c r="HS167">
        <f ca="1"/>
      </c>
      <c r="HT167">
        <f ca="1"/>
      </c>
      <c r="HU167">
        <f ca="1"/>
      </c>
      <c r="HV167">
        <f ca="1"/>
      </c>
      <c r="HW167">
        <f ca="1"/>
      </c>
      <c r="HX167">
        <f ca="1"/>
      </c>
      <c r="HY167">
        <f ca="1"/>
      </c>
      <c r="HZ167">
        <f ca="1"/>
      </c>
      <c r="IA167">
        <f ca="1"/>
      </c>
      <c r="IB167">
        <f ca="1"/>
      </c>
      <c r="IC167">
        <f ca="1"/>
      </c>
      <c r="ID167">
        <f ca="1"/>
      </c>
      <c r="IE167">
        <f ca="1"/>
      </c>
      <c r="IF167">
        <f ca="1"/>
      </c>
      <c r="IG167">
        <f ca="1"/>
      </c>
      <c r="IH167">
        <f ca="1"/>
      </c>
      <c r="II167">
        <f ca="1"/>
      </c>
      <c r="IJ167">
        <f ca="1"/>
      </c>
      <c r="IK167">
        <f ca="1"/>
      </c>
      <c r="IL167">
        <f ca="1"/>
      </c>
      <c r="IM167">
        <f ca="1"/>
      </c>
      <c r="IN167">
        <f ca="1"/>
      </c>
      <c r="IO167">
        <f ca="1"/>
      </c>
      <c r="IP167">
        <f ca="1"/>
      </c>
      <c r="IQ167">
        <f ca="1"/>
      </c>
      <c r="IR167">
        <f ca="1"/>
      </c>
      <c r="IS167">
        <f ca="1"/>
      </c>
      <c r="IT167">
        <f ca="1"/>
      </c>
      <c r="IU167">
        <f ca="1"/>
      </c>
      <c r="IV167">
        <f ca="1"/>
      </c>
      <c r="IW167">
        <f ca="1"/>
      </c>
      <c r="IX167">
        <f ca="1"/>
      </c>
      <c r="IY167">
        <f ca="1"/>
      </c>
      <c r="IZ167">
        <f ca="1"/>
      </c>
      <c r="JA167">
        <f ca="1"/>
      </c>
      <c r="JB167">
        <f ca="1"/>
      </c>
      <c r="LA167">
        <f ca="1"/>
      </c>
      <c r="LB167">
        <f ca="1"/>
      </c>
      <c r="LC167">
        <f ca="1"/>
      </c>
    </row>
    <row r="168" spans="58:315" x14ac:dyDescent="0.55000000000000004">
      <c r="BF168">
        <f ca="1"/>
      </c>
      <c r="BG168">
        <f ca="1"/>
      </c>
      <c r="BI168">
        <f ca="1"/>
      </c>
      <c r="BJ168" s="11">
        <f ca="1"/>
      </c>
      <c r="BK168" s="11">
        <f ca="1"/>
      </c>
      <c r="BL168" s="11">
        <f ca="1"/>
      </c>
      <c r="BM168" s="11">
        <f ca="1"/>
      </c>
      <c r="BN168" s="11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  <c r="BV168">
        <f ca="1"/>
      </c>
      <c r="BW168">
        <f ca="1"/>
      </c>
      <c r="BX168">
        <f ca="1"/>
      </c>
      <c r="BY168">
        <f ca="1"/>
      </c>
      <c r="BZ168">
        <f ca="1"/>
      </c>
      <c r="CA168">
        <f ca="1"/>
      </c>
      <c r="CB168">
        <f ca="1"/>
      </c>
      <c r="CC168">
        <f ca="1"/>
      </c>
      <c r="CD168">
        <f ca="1"/>
      </c>
      <c r="CE168">
        <f ca="1"/>
      </c>
      <c r="CF168">
        <f ca="1"/>
      </c>
      <c r="CG168">
        <f ca="1"/>
      </c>
      <c r="CH168">
        <f ca="1"/>
      </c>
      <c r="CI168">
        <f ca="1"/>
      </c>
      <c r="CJ168">
        <f ca="1"/>
      </c>
      <c r="CK168">
        <f ca="1"/>
      </c>
      <c r="CL168">
        <f ca="1"/>
      </c>
      <c r="CM168">
        <f ca="1"/>
      </c>
      <c r="CN168">
        <f ca="1"/>
      </c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DQ168">
        <f ca="1"/>
      </c>
      <c r="DR168">
        <f ca="1"/>
      </c>
      <c r="DS168">
        <f ca="1"/>
      </c>
      <c r="DT168">
        <f ca="1"/>
      </c>
      <c r="DU168">
        <f ca="1"/>
      </c>
      <c r="DV168">
        <f ca="1"/>
      </c>
      <c r="DW168">
        <f ca="1"/>
      </c>
      <c r="DX168">
        <f ca="1"/>
      </c>
      <c r="DY168">
        <f ca="1"/>
      </c>
      <c r="DZ168">
        <f ca="1"/>
      </c>
      <c r="EA168">
        <f ca="1"/>
      </c>
      <c r="EB168">
        <f ca="1"/>
      </c>
      <c r="EC168">
        <f ca="1"/>
      </c>
      <c r="ED168">
        <f ca="1"/>
      </c>
      <c r="EE168">
        <f ca="1"/>
      </c>
      <c r="EF168">
        <f ca="1"/>
      </c>
      <c r="EG168">
        <f ca="1"/>
      </c>
      <c r="EH168">
        <f ca="1"/>
      </c>
      <c r="EI168">
        <f ca="1"/>
      </c>
      <c r="EJ168">
        <f ca="1"/>
      </c>
      <c r="EK168">
        <f ca="1"/>
      </c>
      <c r="EL168">
        <f ca="1"/>
      </c>
      <c r="EM168">
        <f ca="1"/>
      </c>
      <c r="EN168">
        <f ca="1"/>
      </c>
      <c r="EO168">
        <f ca="1"/>
      </c>
      <c r="E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FS168">
        <f ca="1"/>
      </c>
      <c r="FT168">
        <f ca="1"/>
      </c>
      <c r="FU168">
        <f ca="1"/>
      </c>
      <c r="FV168">
        <f ca="1"/>
      </c>
      <c r="FW168">
        <f ca="1"/>
      </c>
      <c r="FX168">
        <f ca="1"/>
      </c>
      <c r="FY168">
        <f ca="1"/>
      </c>
      <c r="FZ168">
        <f ca="1"/>
      </c>
      <c r="GA168">
        <f ca="1"/>
      </c>
      <c r="GB168">
        <f ca="1"/>
      </c>
      <c r="GC168">
        <f ca="1"/>
      </c>
      <c r="GD168">
        <f ca="1"/>
      </c>
      <c r="GE168">
        <f ca="1"/>
      </c>
      <c r="GF168">
        <f ca="1"/>
      </c>
      <c r="GG168">
        <f ca="1"/>
      </c>
      <c r="GH168">
        <f ca="1"/>
      </c>
      <c r="GI168">
        <f ca="1"/>
      </c>
      <c r="GJ168">
        <f ca="1"/>
      </c>
      <c r="GK168">
        <f ca="1"/>
      </c>
      <c r="GL168">
        <f ca="1"/>
      </c>
      <c r="GM168">
        <f ca="1"/>
      </c>
      <c r="GN168">
        <f ca="1"/>
      </c>
      <c r="GO168">
        <f ca="1"/>
      </c>
      <c r="GP168">
        <f ca="1"/>
      </c>
      <c r="GQ168">
        <f ca="1"/>
      </c>
      <c r="GR168">
        <f ca="1"/>
      </c>
      <c r="GS168">
        <f ca="1"/>
      </c>
      <c r="GT168">
        <f ca="1"/>
      </c>
      <c r="GU168">
        <f ca="1"/>
      </c>
      <c r="GV168">
        <f ca="1"/>
      </c>
      <c r="GW168">
        <f ca="1"/>
      </c>
      <c r="GX168">
        <f ca="1"/>
      </c>
      <c r="GY168">
        <f ca="1"/>
      </c>
      <c r="GZ168">
        <f ca="1"/>
      </c>
      <c r="HA168">
        <f ca="1"/>
      </c>
      <c r="HB168">
        <f ca="1"/>
      </c>
      <c r="HC168">
        <f ca="1"/>
      </c>
      <c r="HD168">
        <f ca="1"/>
      </c>
      <c r="HE168">
        <f ca="1"/>
      </c>
      <c r="HF168">
        <f ca="1"/>
      </c>
      <c r="HG168">
        <f ca="1"/>
      </c>
      <c r="HH168">
        <f ca="1"/>
      </c>
      <c r="HI168">
        <f ca="1"/>
      </c>
      <c r="HJ168">
        <f ca="1"/>
      </c>
      <c r="HK168">
        <f ca="1"/>
      </c>
      <c r="HL168">
        <f ca="1"/>
      </c>
      <c r="HM168">
        <f ca="1"/>
      </c>
      <c r="HN168">
        <f ca="1"/>
      </c>
      <c r="HO168">
        <f ca="1"/>
      </c>
      <c r="HP168">
        <f ca="1"/>
      </c>
      <c r="HQ168">
        <f ca="1"/>
      </c>
      <c r="HR168">
        <f ca="1"/>
      </c>
      <c r="HS168">
        <f ca="1"/>
      </c>
      <c r="HT168">
        <f ca="1"/>
      </c>
      <c r="HU168">
        <f ca="1"/>
      </c>
      <c r="HV168">
        <f ca="1"/>
      </c>
      <c r="HW168">
        <f ca="1"/>
      </c>
      <c r="HX168">
        <f ca="1"/>
      </c>
      <c r="HY168">
        <f ca="1"/>
      </c>
      <c r="HZ168">
        <f ca="1"/>
      </c>
      <c r="IA168">
        <f ca="1"/>
      </c>
      <c r="IB168">
        <f ca="1"/>
      </c>
      <c r="IC168">
        <f ca="1"/>
      </c>
      <c r="ID168">
        <f ca="1"/>
      </c>
      <c r="IE168">
        <f ca="1"/>
      </c>
      <c r="IF168">
        <f ca="1"/>
      </c>
      <c r="IG168">
        <f ca="1"/>
      </c>
      <c r="IH168">
        <f ca="1"/>
      </c>
      <c r="II168">
        <f ca="1"/>
      </c>
      <c r="IJ168">
        <f ca="1"/>
      </c>
      <c r="IK168">
        <f ca="1"/>
      </c>
      <c r="IL168">
        <f ca="1"/>
      </c>
      <c r="IM168">
        <f ca="1"/>
      </c>
      <c r="IN168">
        <f ca="1"/>
      </c>
      <c r="IO168">
        <f ca="1"/>
      </c>
      <c r="IP168">
        <f ca="1"/>
      </c>
      <c r="IQ168">
        <f ca="1"/>
      </c>
      <c r="IR168">
        <f ca="1"/>
      </c>
      <c r="IS168">
        <f ca="1"/>
      </c>
      <c r="IT168">
        <f ca="1"/>
      </c>
      <c r="IU168">
        <f ca="1"/>
      </c>
      <c r="IV168">
        <f ca="1"/>
      </c>
      <c r="IW168">
        <f ca="1"/>
      </c>
      <c r="IX168">
        <f ca="1"/>
      </c>
      <c r="IY168">
        <f ca="1"/>
      </c>
      <c r="IZ168">
        <f ca="1"/>
      </c>
      <c r="JA168">
        <f ca="1"/>
      </c>
      <c r="JB168">
        <f ca="1"/>
      </c>
      <c r="LA168">
        <f ca="1"/>
      </c>
      <c r="LB168">
        <f ca="1"/>
      </c>
      <c r="LC168">
        <f ca="1"/>
      </c>
    </row>
    <row r="169" spans="58:315" x14ac:dyDescent="0.55000000000000004">
      <c r="BF169">
        <f ca="1"/>
      </c>
      <c r="BG169">
        <f ca="1"/>
      </c>
      <c r="BI169">
        <f ca="1"/>
      </c>
      <c r="BJ169" s="11">
        <f ca="1"/>
      </c>
      <c r="BK169" s="11">
        <f ca="1"/>
      </c>
      <c r="BL169" s="11">
        <f ca="1"/>
      </c>
      <c r="BM169" s="11">
        <f ca="1"/>
      </c>
      <c r="BN169" s="11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  <c r="BV169">
        <f ca="1"/>
      </c>
      <c r="BW169">
        <f ca="1"/>
      </c>
      <c r="BX169">
        <f ca="1"/>
      </c>
      <c r="BY169">
        <f ca="1"/>
      </c>
      <c r="BZ169">
        <f ca="1"/>
      </c>
      <c r="CA169">
        <f ca="1"/>
      </c>
      <c r="CB169">
        <f ca="1"/>
      </c>
      <c r="CC169">
        <f ca="1"/>
      </c>
      <c r="CD169">
        <f ca="1"/>
      </c>
      <c r="CE169">
        <f ca="1"/>
      </c>
      <c r="CF169">
        <f ca="1"/>
      </c>
      <c r="CG169">
        <f ca="1"/>
      </c>
      <c r="CH169">
        <f ca="1"/>
      </c>
      <c r="CI169">
        <f ca="1"/>
      </c>
      <c r="CJ169">
        <f ca="1"/>
      </c>
      <c r="CK169">
        <f ca="1"/>
      </c>
      <c r="CL169">
        <f ca="1"/>
      </c>
      <c r="CM169">
        <f ca="1"/>
      </c>
      <c r="CN169">
        <f ca="1"/>
      </c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DQ169">
        <f ca="1"/>
      </c>
      <c r="DR169">
        <f ca="1"/>
      </c>
      <c r="DS169">
        <f ca="1"/>
      </c>
      <c r="DT169">
        <f ca="1"/>
      </c>
      <c r="DU169">
        <f ca="1"/>
      </c>
      <c r="DV169">
        <f ca="1"/>
      </c>
      <c r="DW169">
        <f ca="1"/>
      </c>
      <c r="DX169">
        <f ca="1"/>
      </c>
      <c r="DY169">
        <f ca="1"/>
      </c>
      <c r="DZ169">
        <f ca="1"/>
      </c>
      <c r="EA169">
        <f ca="1"/>
      </c>
      <c r="EB169">
        <f ca="1"/>
      </c>
      <c r="EC169">
        <f ca="1"/>
      </c>
      <c r="ED169">
        <f ca="1"/>
      </c>
      <c r="EE169">
        <f ca="1"/>
      </c>
      <c r="EF169">
        <f ca="1"/>
      </c>
      <c r="EG169">
        <f ca="1"/>
      </c>
      <c r="EH169">
        <f ca="1"/>
      </c>
      <c r="EI169">
        <f ca="1"/>
      </c>
      <c r="EJ169">
        <f ca="1"/>
      </c>
      <c r="EK169">
        <f ca="1"/>
      </c>
      <c r="EL169">
        <f ca="1"/>
      </c>
      <c r="EM169">
        <f ca="1"/>
      </c>
      <c r="EN169">
        <f ca="1"/>
      </c>
      <c r="EO169">
        <f ca="1"/>
      </c>
      <c r="E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FS169">
        <f ca="1"/>
      </c>
      <c r="FT169">
        <f ca="1"/>
      </c>
      <c r="FU169">
        <f ca="1"/>
      </c>
      <c r="FV169">
        <f ca="1"/>
      </c>
      <c r="FW169">
        <f ca="1"/>
      </c>
      <c r="FX169">
        <f ca="1"/>
      </c>
      <c r="FY169">
        <f ca="1"/>
      </c>
      <c r="FZ169">
        <f ca="1"/>
      </c>
      <c r="GA169">
        <f ca="1"/>
      </c>
      <c r="GB169">
        <f ca="1"/>
      </c>
      <c r="GC169">
        <f ca="1"/>
      </c>
      <c r="GD169">
        <f ca="1"/>
      </c>
      <c r="GE169">
        <f ca="1"/>
      </c>
      <c r="GF169">
        <f ca="1"/>
      </c>
      <c r="GG169">
        <f ca="1"/>
      </c>
      <c r="GH169">
        <f ca="1"/>
      </c>
      <c r="GI169">
        <f ca="1"/>
      </c>
      <c r="GJ169">
        <f ca="1"/>
      </c>
      <c r="GK169">
        <f ca="1"/>
      </c>
      <c r="GL169">
        <f ca="1"/>
      </c>
      <c r="GM169">
        <f ca="1"/>
      </c>
      <c r="GN169">
        <f ca="1"/>
      </c>
      <c r="GO169">
        <f ca="1"/>
      </c>
      <c r="GP169">
        <f ca="1"/>
      </c>
      <c r="GQ169">
        <f ca="1"/>
      </c>
      <c r="GR169">
        <f ca="1"/>
      </c>
      <c r="GS169">
        <f ca="1"/>
      </c>
      <c r="GT169">
        <f ca="1"/>
      </c>
      <c r="GU169">
        <f ca="1"/>
      </c>
      <c r="GV169">
        <f ca="1"/>
      </c>
      <c r="GW169">
        <f ca="1"/>
      </c>
      <c r="GX169">
        <f ca="1"/>
      </c>
      <c r="GY169">
        <f ca="1"/>
      </c>
      <c r="GZ169">
        <f ca="1"/>
      </c>
      <c r="HA169">
        <f ca="1"/>
      </c>
      <c r="HB169">
        <f ca="1"/>
      </c>
      <c r="HC169">
        <f ca="1"/>
      </c>
      <c r="HD169">
        <f ca="1"/>
      </c>
      <c r="HE169">
        <f ca="1"/>
      </c>
      <c r="HF169">
        <f ca="1"/>
      </c>
      <c r="HG169">
        <f ca="1"/>
      </c>
      <c r="HH169">
        <f ca="1"/>
      </c>
      <c r="HI169">
        <f ca="1"/>
      </c>
      <c r="HJ169">
        <f ca="1"/>
      </c>
      <c r="HK169">
        <f ca="1"/>
      </c>
      <c r="HL169">
        <f ca="1"/>
      </c>
      <c r="HM169">
        <f ca="1"/>
      </c>
      <c r="HN169">
        <f ca="1"/>
      </c>
      <c r="HO169">
        <f ca="1"/>
      </c>
      <c r="HP169">
        <f ca="1"/>
      </c>
      <c r="HQ169">
        <f ca="1"/>
      </c>
      <c r="HR169">
        <f ca="1"/>
      </c>
      <c r="HS169">
        <f ca="1"/>
      </c>
      <c r="HT169">
        <f ca="1"/>
      </c>
      <c r="HU169">
        <f ca="1"/>
      </c>
      <c r="HV169">
        <f ca="1"/>
      </c>
      <c r="HW169">
        <f ca="1"/>
      </c>
      <c r="HX169">
        <f ca="1"/>
      </c>
      <c r="HY169">
        <f ca="1"/>
      </c>
      <c r="HZ169">
        <f ca="1"/>
      </c>
      <c r="IA169">
        <f ca="1"/>
      </c>
      <c r="IB169">
        <f ca="1"/>
      </c>
      <c r="IC169">
        <f ca="1"/>
      </c>
      <c r="ID169">
        <f ca="1"/>
      </c>
      <c r="IE169">
        <f ca="1"/>
      </c>
      <c r="IF169">
        <f ca="1"/>
      </c>
      <c r="IG169">
        <f ca="1"/>
      </c>
      <c r="IH169">
        <f ca="1"/>
      </c>
      <c r="II169">
        <f ca="1"/>
      </c>
      <c r="IJ169">
        <f ca="1"/>
      </c>
      <c r="IK169">
        <f ca="1"/>
      </c>
      <c r="IL169">
        <f ca="1"/>
      </c>
      <c r="IM169">
        <f ca="1"/>
      </c>
      <c r="IN169">
        <f ca="1"/>
      </c>
      <c r="IO169">
        <f ca="1"/>
      </c>
      <c r="IP169">
        <f ca="1"/>
      </c>
      <c r="IQ169">
        <f ca="1"/>
      </c>
      <c r="IR169">
        <f ca="1"/>
      </c>
      <c r="IS169">
        <f ca="1"/>
      </c>
      <c r="IT169">
        <f ca="1"/>
      </c>
      <c r="IU169">
        <f ca="1"/>
      </c>
      <c r="IV169">
        <f ca="1"/>
      </c>
      <c r="IW169">
        <f ca="1"/>
      </c>
      <c r="IX169">
        <f ca="1"/>
      </c>
      <c r="IY169">
        <f ca="1"/>
      </c>
      <c r="IZ169">
        <f ca="1"/>
      </c>
      <c r="JA169">
        <f ca="1"/>
      </c>
      <c r="JB169">
        <f ca="1"/>
      </c>
      <c r="LA169">
        <f ca="1"/>
      </c>
      <c r="LB169">
        <f ca="1"/>
      </c>
      <c r="LC169">
        <f ca="1"/>
      </c>
    </row>
    <row r="170" spans="58:315" x14ac:dyDescent="0.55000000000000004">
      <c r="BF170">
        <f ca="1"/>
      </c>
      <c r="BG170">
        <f ca="1"/>
      </c>
      <c r="BI170">
        <f ca="1"/>
      </c>
      <c r="BJ170" s="11">
        <f ca="1"/>
      </c>
      <c r="BK170" s="11">
        <f ca="1"/>
      </c>
      <c r="BL170" s="11">
        <f ca="1"/>
      </c>
      <c r="BM170" s="11">
        <f ca="1"/>
      </c>
      <c r="BN170" s="11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  <c r="BV170">
        <f ca="1"/>
      </c>
      <c r="BW170">
        <f ca="1"/>
      </c>
      <c r="BX170">
        <f ca="1"/>
      </c>
      <c r="BY170">
        <f ca="1"/>
      </c>
      <c r="BZ170">
        <f ca="1"/>
      </c>
      <c r="CA170">
        <f ca="1"/>
      </c>
      <c r="CB170">
        <f ca="1"/>
      </c>
      <c r="CC170">
        <f ca="1"/>
      </c>
      <c r="CD170">
        <f ca="1"/>
      </c>
      <c r="CE170">
        <f ca="1"/>
      </c>
      <c r="CF170">
        <f ca="1"/>
      </c>
      <c r="CG170">
        <f ca="1"/>
      </c>
      <c r="CH170">
        <f ca="1"/>
      </c>
      <c r="CI170">
        <f ca="1"/>
      </c>
      <c r="CJ170">
        <f ca="1"/>
      </c>
      <c r="CK170">
        <f ca="1"/>
      </c>
      <c r="CL170">
        <f ca="1"/>
      </c>
      <c r="CM170">
        <f ca="1"/>
      </c>
      <c r="CN170">
        <f ca="1"/>
      </c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DQ170">
        <f ca="1"/>
      </c>
      <c r="DR170">
        <f ca="1"/>
      </c>
      <c r="DS170">
        <f ca="1"/>
      </c>
      <c r="DT170">
        <f ca="1"/>
      </c>
      <c r="DU170">
        <f ca="1"/>
      </c>
      <c r="DV170">
        <f ca="1"/>
      </c>
      <c r="DW170">
        <f ca="1"/>
      </c>
      <c r="DX170">
        <f ca="1"/>
      </c>
      <c r="DY170">
        <f ca="1"/>
      </c>
      <c r="DZ170">
        <f ca="1"/>
      </c>
      <c r="EA170">
        <f ca="1"/>
      </c>
      <c r="EB170">
        <f ca="1"/>
      </c>
      <c r="EC170">
        <f ca="1"/>
      </c>
      <c r="ED170">
        <f ca="1"/>
      </c>
      <c r="EE170">
        <f ca="1"/>
      </c>
      <c r="EF170">
        <f ca="1"/>
      </c>
      <c r="EG170">
        <f ca="1"/>
      </c>
      <c r="EH170">
        <f ca="1"/>
      </c>
      <c r="EI170">
        <f ca="1"/>
      </c>
      <c r="EJ170">
        <f ca="1"/>
      </c>
      <c r="EK170">
        <f ca="1"/>
      </c>
      <c r="EL170">
        <f ca="1"/>
      </c>
      <c r="EM170">
        <f ca="1"/>
      </c>
      <c r="EN170">
        <f ca="1"/>
      </c>
      <c r="EO170">
        <f ca="1"/>
      </c>
      <c r="E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FS170">
        <f ca="1"/>
      </c>
      <c r="FT170">
        <f ca="1"/>
      </c>
      <c r="FU170">
        <f ca="1"/>
      </c>
      <c r="FV170">
        <f ca="1"/>
      </c>
      <c r="FW170">
        <f ca="1"/>
      </c>
      <c r="FX170">
        <f ca="1"/>
      </c>
      <c r="FY170">
        <f ca="1"/>
      </c>
      <c r="FZ170">
        <f ca="1"/>
      </c>
      <c r="GA170">
        <f ca="1"/>
      </c>
      <c r="GB170">
        <f ca="1"/>
      </c>
      <c r="GC170">
        <f ca="1"/>
      </c>
      <c r="GD170">
        <f ca="1"/>
      </c>
      <c r="GE170">
        <f ca="1"/>
      </c>
      <c r="GF170">
        <f ca="1"/>
      </c>
      <c r="GG170">
        <f ca="1"/>
      </c>
      <c r="GH170">
        <f ca="1"/>
      </c>
      <c r="GI170">
        <f ca="1"/>
      </c>
      <c r="GJ170">
        <f ca="1"/>
      </c>
      <c r="GK170">
        <f ca="1"/>
      </c>
      <c r="GL170">
        <f ca="1"/>
      </c>
      <c r="GM170">
        <f ca="1"/>
      </c>
      <c r="GN170">
        <f ca="1"/>
      </c>
      <c r="GO170">
        <f ca="1"/>
      </c>
      <c r="GP170">
        <f ca="1"/>
      </c>
      <c r="GQ170">
        <f ca="1"/>
      </c>
      <c r="GR170">
        <f ca="1"/>
      </c>
      <c r="GS170">
        <f ca="1"/>
      </c>
      <c r="GT170">
        <f ca="1"/>
      </c>
      <c r="GU170">
        <f ca="1"/>
      </c>
      <c r="GV170">
        <f ca="1"/>
      </c>
      <c r="GW170">
        <f ca="1"/>
      </c>
      <c r="GX170">
        <f ca="1"/>
      </c>
      <c r="GY170">
        <f ca="1"/>
      </c>
      <c r="GZ170">
        <f ca="1"/>
      </c>
      <c r="HA170">
        <f ca="1"/>
      </c>
      <c r="HB170">
        <f ca="1"/>
      </c>
      <c r="HC170">
        <f ca="1"/>
      </c>
      <c r="HD170">
        <f ca="1"/>
      </c>
      <c r="HE170">
        <f ca="1"/>
      </c>
      <c r="HF170">
        <f ca="1"/>
      </c>
      <c r="HG170">
        <f ca="1"/>
      </c>
      <c r="HH170">
        <f ca="1"/>
      </c>
      <c r="HI170">
        <f ca="1"/>
      </c>
      <c r="HJ170">
        <f ca="1"/>
      </c>
      <c r="HK170">
        <f ca="1"/>
      </c>
      <c r="HL170">
        <f ca="1"/>
      </c>
      <c r="HM170">
        <f ca="1"/>
      </c>
      <c r="HN170">
        <f ca="1"/>
      </c>
      <c r="HO170">
        <f ca="1"/>
      </c>
      <c r="HP170">
        <f ca="1"/>
      </c>
      <c r="HQ170">
        <f ca="1"/>
      </c>
      <c r="HR170">
        <f ca="1"/>
      </c>
      <c r="HS170">
        <f ca="1"/>
      </c>
      <c r="HT170">
        <f ca="1"/>
      </c>
      <c r="HU170">
        <f ca="1"/>
      </c>
      <c r="HV170">
        <f ca="1"/>
      </c>
      <c r="HW170">
        <f ca="1"/>
      </c>
      <c r="HX170">
        <f ca="1"/>
      </c>
      <c r="HY170">
        <f ca="1"/>
      </c>
      <c r="HZ170">
        <f ca="1"/>
      </c>
      <c r="IA170">
        <f ca="1"/>
      </c>
      <c r="IB170">
        <f ca="1"/>
      </c>
      <c r="IC170">
        <f ca="1"/>
      </c>
      <c r="ID170">
        <f ca="1"/>
      </c>
      <c r="IE170">
        <f ca="1"/>
      </c>
      <c r="IF170">
        <f ca="1"/>
      </c>
      <c r="IG170">
        <f ca="1"/>
      </c>
      <c r="IH170">
        <f ca="1"/>
      </c>
      <c r="II170">
        <f ca="1"/>
      </c>
      <c r="IJ170">
        <f ca="1"/>
      </c>
      <c r="IK170">
        <f ca="1"/>
      </c>
      <c r="IL170">
        <f ca="1"/>
      </c>
      <c r="IM170">
        <f ca="1"/>
      </c>
      <c r="IN170">
        <f ca="1"/>
      </c>
      <c r="IO170">
        <f ca="1"/>
      </c>
      <c r="IP170">
        <f ca="1"/>
      </c>
      <c r="IQ170">
        <f ca="1"/>
      </c>
      <c r="IR170">
        <f ca="1"/>
      </c>
      <c r="IS170">
        <f ca="1"/>
      </c>
      <c r="IT170">
        <f ca="1"/>
      </c>
      <c r="IU170">
        <f ca="1"/>
      </c>
      <c r="IV170">
        <f ca="1"/>
      </c>
      <c r="IW170">
        <f ca="1"/>
      </c>
      <c r="IX170">
        <f ca="1"/>
      </c>
      <c r="IY170">
        <f ca="1"/>
      </c>
      <c r="IZ170">
        <f ca="1"/>
      </c>
      <c r="JA170">
        <f ca="1"/>
      </c>
      <c r="JB170">
        <f ca="1"/>
      </c>
      <c r="LA170">
        <f ca="1"/>
      </c>
      <c r="LB170">
        <f ca="1"/>
      </c>
      <c r="LC170">
        <f ca="1"/>
      </c>
    </row>
    <row r="171" spans="58:315" x14ac:dyDescent="0.55000000000000004">
      <c r="BF171">
        <f ca="1"/>
      </c>
      <c r="BG171">
        <f ca="1"/>
      </c>
      <c r="BI171">
        <f ca="1"/>
      </c>
      <c r="BJ171" s="11">
        <f ca="1"/>
      </c>
      <c r="BK171" s="11">
        <f ca="1"/>
      </c>
      <c r="BL171" s="11">
        <f ca="1"/>
      </c>
      <c r="BM171" s="11">
        <f ca="1"/>
      </c>
      <c r="BN171" s="1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  <c r="BV171">
        <f ca="1"/>
      </c>
      <c r="BW171">
        <f ca="1"/>
      </c>
      <c r="BX171">
        <f ca="1"/>
      </c>
      <c r="BY171">
        <f ca="1"/>
      </c>
      <c r="BZ171">
        <f ca="1"/>
      </c>
      <c r="CA171">
        <f ca="1"/>
      </c>
      <c r="CB171">
        <f ca="1"/>
      </c>
      <c r="CC171">
        <f ca="1"/>
      </c>
      <c r="CD171">
        <f ca="1"/>
      </c>
      <c r="CE171">
        <f ca="1"/>
      </c>
      <c r="CF171">
        <f ca="1"/>
      </c>
      <c r="CG171">
        <f ca="1"/>
      </c>
      <c r="CH171">
        <f ca="1"/>
      </c>
      <c r="CI171">
        <f ca="1"/>
      </c>
      <c r="CJ171">
        <f ca="1"/>
      </c>
      <c r="CK171">
        <f ca="1"/>
      </c>
      <c r="CL171">
        <f ca="1"/>
      </c>
      <c r="CM171">
        <f ca="1"/>
      </c>
      <c r="CN171">
        <f ca="1"/>
      </c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DQ171">
        <f ca="1"/>
      </c>
      <c r="DR171">
        <f ca="1"/>
      </c>
      <c r="DS171">
        <f ca="1"/>
      </c>
      <c r="DT171">
        <f ca="1"/>
      </c>
      <c r="DU171">
        <f ca="1"/>
      </c>
      <c r="DV171">
        <f ca="1"/>
      </c>
      <c r="DW171">
        <f ca="1"/>
      </c>
      <c r="DX171">
        <f ca="1"/>
      </c>
      <c r="DY171">
        <f ca="1"/>
      </c>
      <c r="DZ171">
        <f ca="1"/>
      </c>
      <c r="EA171">
        <f ca="1"/>
      </c>
      <c r="EB171">
        <f ca="1"/>
      </c>
      <c r="EC171">
        <f ca="1"/>
      </c>
      <c r="ED171">
        <f ca="1"/>
      </c>
      <c r="EE171">
        <f ca="1"/>
      </c>
      <c r="EF171">
        <f ca="1"/>
      </c>
      <c r="EG171">
        <f ca="1"/>
      </c>
      <c r="EH171">
        <f ca="1"/>
      </c>
      <c r="EI171">
        <f ca="1"/>
      </c>
      <c r="EJ171">
        <f ca="1"/>
      </c>
      <c r="EK171">
        <f ca="1"/>
      </c>
      <c r="EL171">
        <f ca="1"/>
      </c>
      <c r="EM171">
        <f ca="1"/>
      </c>
      <c r="EN171">
        <f ca="1"/>
      </c>
      <c r="EO171">
        <f ca="1"/>
      </c>
      <c r="E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FS171">
        <f ca="1"/>
      </c>
      <c r="FT171">
        <f ca="1"/>
      </c>
      <c r="FU171">
        <f ca="1"/>
      </c>
      <c r="FV171">
        <f ca="1"/>
      </c>
      <c r="FW171">
        <f ca="1"/>
      </c>
      <c r="FX171">
        <f ca="1"/>
      </c>
      <c r="FY171">
        <f ca="1"/>
      </c>
      <c r="FZ171">
        <f ca="1"/>
      </c>
      <c r="GA171">
        <f ca="1"/>
      </c>
      <c r="GB171">
        <f ca="1"/>
      </c>
      <c r="GC171">
        <f ca="1"/>
      </c>
      <c r="GD171">
        <f ca="1"/>
      </c>
      <c r="GE171">
        <f ca="1"/>
      </c>
      <c r="GF171">
        <f ca="1"/>
      </c>
      <c r="GG171">
        <f ca="1"/>
      </c>
      <c r="GH171">
        <f ca="1"/>
      </c>
      <c r="GI171">
        <f ca="1"/>
      </c>
      <c r="GJ171">
        <f ca="1"/>
      </c>
      <c r="GK171">
        <f ca="1"/>
      </c>
      <c r="GL171">
        <f ca="1"/>
      </c>
      <c r="GM171">
        <f ca="1"/>
      </c>
      <c r="GN171">
        <f ca="1"/>
      </c>
      <c r="GO171">
        <f ca="1"/>
      </c>
      <c r="GP171">
        <f ca="1"/>
      </c>
      <c r="GQ171">
        <f ca="1"/>
      </c>
      <c r="GR171">
        <f ca="1"/>
      </c>
      <c r="GS171">
        <f ca="1"/>
      </c>
      <c r="GT171">
        <f ca="1"/>
      </c>
      <c r="GU171">
        <f ca="1"/>
      </c>
      <c r="GV171">
        <f ca="1"/>
      </c>
      <c r="GW171">
        <f ca="1"/>
      </c>
      <c r="GX171">
        <f ca="1"/>
      </c>
      <c r="GY171">
        <f ca="1"/>
      </c>
      <c r="GZ171">
        <f ca="1"/>
      </c>
      <c r="HA171">
        <f ca="1"/>
      </c>
      <c r="HB171">
        <f ca="1"/>
      </c>
      <c r="HC171">
        <f ca="1"/>
      </c>
      <c r="HD171">
        <f ca="1"/>
      </c>
      <c r="HE171">
        <f ca="1"/>
      </c>
      <c r="HF171">
        <f ca="1"/>
      </c>
      <c r="HG171">
        <f ca="1"/>
      </c>
      <c r="HH171">
        <f ca="1"/>
      </c>
      <c r="HI171">
        <f ca="1"/>
      </c>
      <c r="HJ171">
        <f ca="1"/>
      </c>
      <c r="HK171">
        <f ca="1"/>
      </c>
      <c r="HL171">
        <f ca="1"/>
      </c>
      <c r="HM171">
        <f ca="1"/>
      </c>
      <c r="HN171">
        <f ca="1"/>
      </c>
      <c r="HO171">
        <f ca="1"/>
      </c>
      <c r="HP171">
        <f ca="1"/>
      </c>
      <c r="HQ171">
        <f ca="1"/>
      </c>
      <c r="HR171">
        <f ca="1"/>
      </c>
      <c r="HS171">
        <f ca="1"/>
      </c>
      <c r="HT171">
        <f ca="1"/>
      </c>
      <c r="HU171">
        <f ca="1"/>
      </c>
      <c r="HV171">
        <f ca="1"/>
      </c>
      <c r="HW171">
        <f ca="1"/>
      </c>
      <c r="HX171">
        <f ca="1"/>
      </c>
      <c r="HY171">
        <f ca="1"/>
      </c>
      <c r="HZ171">
        <f ca="1"/>
      </c>
      <c r="IA171">
        <f ca="1"/>
      </c>
      <c r="IB171">
        <f ca="1"/>
      </c>
      <c r="IC171">
        <f ca="1"/>
      </c>
      <c r="ID171">
        <f ca="1"/>
      </c>
      <c r="IE171">
        <f ca="1"/>
      </c>
      <c r="IF171">
        <f ca="1"/>
      </c>
      <c r="IG171">
        <f ca="1"/>
      </c>
      <c r="IH171">
        <f ca="1"/>
      </c>
      <c r="II171">
        <f ca="1"/>
      </c>
      <c r="IJ171">
        <f ca="1"/>
      </c>
      <c r="IK171">
        <f ca="1"/>
      </c>
      <c r="IL171">
        <f ca="1"/>
      </c>
      <c r="IM171">
        <f ca="1"/>
      </c>
      <c r="IN171">
        <f ca="1"/>
      </c>
      <c r="IO171">
        <f ca="1"/>
      </c>
      <c r="IP171">
        <f ca="1"/>
      </c>
      <c r="IQ171">
        <f ca="1"/>
      </c>
      <c r="IR171">
        <f ca="1"/>
      </c>
      <c r="IS171">
        <f ca="1"/>
      </c>
      <c r="IT171">
        <f ca="1"/>
      </c>
      <c r="IU171">
        <f ca="1"/>
      </c>
      <c r="IV171">
        <f ca="1"/>
      </c>
      <c r="IW171">
        <f ca="1"/>
      </c>
      <c r="IX171">
        <f ca="1"/>
      </c>
      <c r="IY171">
        <f ca="1"/>
      </c>
      <c r="IZ171">
        <f ca="1"/>
      </c>
      <c r="JA171">
        <f ca="1"/>
      </c>
      <c r="JB171">
        <f ca="1"/>
      </c>
      <c r="LA171">
        <f ca="1"/>
      </c>
      <c r="LB171">
        <f ca="1"/>
      </c>
      <c r="LC171">
        <f ca="1"/>
      </c>
    </row>
    <row r="172" spans="58:315" x14ac:dyDescent="0.55000000000000004">
      <c r="BF172">
        <f ca="1"/>
      </c>
      <c r="BG172">
        <f ca="1"/>
      </c>
      <c r="BI172">
        <f ca="1"/>
      </c>
      <c r="BJ172" s="11">
        <f ca="1"/>
      </c>
      <c r="BK172" s="11">
        <f ca="1"/>
      </c>
      <c r="BL172" s="11">
        <f ca="1"/>
      </c>
      <c r="BM172" s="11">
        <f ca="1"/>
      </c>
      <c r="BN172" s="11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  <c r="BV172">
        <f ca="1"/>
      </c>
      <c r="BW172">
        <f ca="1"/>
      </c>
      <c r="BX172">
        <f ca="1"/>
      </c>
      <c r="BY172">
        <f ca="1"/>
      </c>
      <c r="BZ172">
        <f ca="1"/>
      </c>
      <c r="CA172">
        <f ca="1"/>
      </c>
      <c r="CB172">
        <f ca="1"/>
      </c>
      <c r="CC172">
        <f ca="1"/>
      </c>
      <c r="CD172">
        <f ca="1"/>
      </c>
      <c r="CE172">
        <f ca="1"/>
      </c>
      <c r="CF172">
        <f ca="1"/>
      </c>
      <c r="CG172">
        <f ca="1"/>
      </c>
      <c r="CH172">
        <f ca="1"/>
      </c>
      <c r="CI172">
        <f ca="1"/>
      </c>
      <c r="CJ172">
        <f ca="1"/>
      </c>
      <c r="CK172">
        <f ca="1"/>
      </c>
      <c r="CL172">
        <f ca="1"/>
      </c>
      <c r="CM172">
        <f ca="1"/>
      </c>
      <c r="CN172">
        <f ca="1"/>
      </c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DQ172">
        <f ca="1"/>
      </c>
      <c r="DR172">
        <f ca="1"/>
      </c>
      <c r="DS172">
        <f ca="1"/>
      </c>
      <c r="DT172">
        <f ca="1"/>
      </c>
      <c r="DU172">
        <f ca="1"/>
      </c>
      <c r="DV172">
        <f ca="1"/>
      </c>
      <c r="DW172">
        <f ca="1"/>
      </c>
      <c r="DX172">
        <f ca="1"/>
      </c>
      <c r="DY172">
        <f ca="1"/>
      </c>
      <c r="DZ172">
        <f ca="1"/>
      </c>
      <c r="EA172">
        <f ca="1"/>
      </c>
      <c r="EB172">
        <f ca="1"/>
      </c>
      <c r="EC172">
        <f ca="1"/>
      </c>
      <c r="ED172">
        <f ca="1"/>
      </c>
      <c r="EE172">
        <f ca="1"/>
      </c>
      <c r="EF172">
        <f ca="1"/>
      </c>
      <c r="EG172">
        <f ca="1"/>
      </c>
      <c r="EH172">
        <f ca="1"/>
      </c>
      <c r="EI172">
        <f ca="1"/>
      </c>
      <c r="EJ172">
        <f ca="1"/>
      </c>
      <c r="EK172">
        <f ca="1"/>
      </c>
      <c r="EL172">
        <f ca="1"/>
      </c>
      <c r="EM172">
        <f ca="1"/>
      </c>
      <c r="EN172">
        <f ca="1"/>
      </c>
      <c r="EO172">
        <f ca="1"/>
      </c>
      <c r="EP172">
        <f ca="1"/>
      </c>
      <c r="EQ172">
        <f ca="1"/>
      </c>
      <c r="ER172">
        <f ca="1"/>
      </c>
      <c r="ES172">
        <f ca="1"/>
      </c>
      <c r="ET172">
        <f ca="1"/>
      </c>
      <c r="EU172">
        <f ca="1"/>
      </c>
      <c r="EV172">
        <f ca="1"/>
      </c>
      <c r="EW172">
        <f ca="1"/>
      </c>
      <c r="EX172">
        <f ca="1"/>
      </c>
      <c r="EY172">
        <f ca="1"/>
      </c>
      <c r="EZ172">
        <f ca="1"/>
      </c>
      <c r="FA172">
        <f ca="1"/>
      </c>
      <c r="FB172">
        <f ca="1"/>
      </c>
      <c r="FC172">
        <f ca="1"/>
      </c>
      <c r="FD172">
        <f ca="1"/>
      </c>
      <c r="FE172">
        <f ca="1"/>
      </c>
      <c r="FF172">
        <f ca="1"/>
      </c>
      <c r="FG172">
        <f ca="1"/>
      </c>
      <c r="FH172">
        <f ca="1"/>
      </c>
      <c r="FI172">
        <f ca="1"/>
      </c>
      <c r="FJ172">
        <f ca="1"/>
      </c>
      <c r="FK172">
        <f ca="1"/>
      </c>
      <c r="FL172">
        <f ca="1"/>
      </c>
      <c r="FM172">
        <f ca="1"/>
      </c>
      <c r="FN172">
        <f ca="1"/>
      </c>
      <c r="FO172">
        <f ca="1"/>
      </c>
      <c r="FP172">
        <f ca="1"/>
      </c>
      <c r="FQ172">
        <f ca="1"/>
      </c>
      <c r="FR172">
        <f ca="1"/>
      </c>
      <c r="FS172">
        <f ca="1"/>
      </c>
      <c r="FT172">
        <f ca="1"/>
      </c>
      <c r="FU172">
        <f ca="1"/>
      </c>
      <c r="FV172">
        <f ca="1"/>
      </c>
      <c r="FW172">
        <f ca="1"/>
      </c>
      <c r="FX172">
        <f ca="1"/>
      </c>
      <c r="FY172">
        <f ca="1"/>
      </c>
      <c r="FZ172">
        <f ca="1"/>
      </c>
      <c r="GA172">
        <f ca="1"/>
      </c>
      <c r="GB172">
        <f ca="1"/>
      </c>
      <c r="GC172">
        <f ca="1"/>
      </c>
      <c r="GD172">
        <f ca="1"/>
      </c>
      <c r="GE172">
        <f ca="1"/>
      </c>
      <c r="GF172">
        <f ca="1"/>
      </c>
      <c r="GG172">
        <f ca="1"/>
      </c>
      <c r="GH172">
        <f ca="1"/>
      </c>
      <c r="GI172">
        <f ca="1"/>
      </c>
      <c r="GJ172">
        <f ca="1"/>
      </c>
      <c r="GK172">
        <f ca="1"/>
      </c>
      <c r="GL172">
        <f ca="1"/>
      </c>
      <c r="GM172">
        <f ca="1"/>
      </c>
      <c r="GN172">
        <f ca="1"/>
      </c>
      <c r="GO172">
        <f ca="1"/>
      </c>
      <c r="GP172">
        <f ca="1"/>
      </c>
      <c r="GQ172">
        <f ca="1"/>
      </c>
      <c r="GR172">
        <f ca="1"/>
      </c>
      <c r="GS172">
        <f ca="1"/>
      </c>
      <c r="GT172">
        <f ca="1"/>
      </c>
      <c r="GU172">
        <f ca="1"/>
      </c>
      <c r="GV172">
        <f ca="1"/>
      </c>
      <c r="GW172">
        <f ca="1"/>
      </c>
      <c r="GX172">
        <f ca="1"/>
      </c>
      <c r="GY172">
        <f ca="1"/>
      </c>
      <c r="GZ172">
        <f ca="1"/>
      </c>
      <c r="HA172">
        <f ca="1"/>
      </c>
      <c r="HB172">
        <f ca="1"/>
      </c>
      <c r="HC172">
        <f ca="1"/>
      </c>
      <c r="HD172">
        <f ca="1"/>
      </c>
      <c r="HE172">
        <f ca="1"/>
      </c>
      <c r="HF172">
        <f ca="1"/>
      </c>
      <c r="HG172">
        <f ca="1"/>
      </c>
      <c r="HH172">
        <f ca="1"/>
      </c>
      <c r="HI172">
        <f ca="1"/>
      </c>
      <c r="HJ172">
        <f ca="1"/>
      </c>
      <c r="HK172">
        <f ca="1"/>
      </c>
      <c r="HL172">
        <f ca="1"/>
      </c>
      <c r="HM172">
        <f ca="1"/>
      </c>
      <c r="HN172">
        <f ca="1"/>
      </c>
      <c r="HO172">
        <f ca="1"/>
      </c>
      <c r="HP172">
        <f ca="1"/>
      </c>
      <c r="HQ172">
        <f ca="1"/>
      </c>
      <c r="HR172">
        <f ca="1"/>
      </c>
      <c r="HS172">
        <f ca="1"/>
      </c>
      <c r="HT172">
        <f ca="1"/>
      </c>
      <c r="HU172">
        <f ca="1"/>
      </c>
      <c r="HV172">
        <f ca="1"/>
      </c>
      <c r="HW172">
        <f ca="1"/>
      </c>
      <c r="HX172">
        <f ca="1"/>
      </c>
      <c r="HY172">
        <f ca="1"/>
      </c>
      <c r="HZ172">
        <f ca="1"/>
      </c>
      <c r="IA172">
        <f ca="1"/>
      </c>
      <c r="IB172">
        <f ca="1"/>
      </c>
      <c r="IC172">
        <f ca="1"/>
      </c>
      <c r="ID172">
        <f ca="1"/>
      </c>
      <c r="IE172">
        <f ca="1"/>
      </c>
      <c r="IF172">
        <f ca="1"/>
      </c>
      <c r="IG172">
        <f ca="1"/>
      </c>
      <c r="IH172">
        <f ca="1"/>
      </c>
      <c r="II172">
        <f ca="1"/>
      </c>
      <c r="IJ172">
        <f ca="1"/>
      </c>
      <c r="IK172">
        <f ca="1"/>
      </c>
      <c r="IL172">
        <f ca="1"/>
      </c>
      <c r="IM172">
        <f ca="1"/>
      </c>
      <c r="IN172">
        <f ca="1"/>
      </c>
      <c r="IO172">
        <f ca="1"/>
      </c>
      <c r="IP172">
        <f ca="1"/>
      </c>
      <c r="IQ172">
        <f ca="1"/>
      </c>
      <c r="IR172">
        <f ca="1"/>
      </c>
      <c r="IS172">
        <f ca="1"/>
      </c>
      <c r="IT172">
        <f ca="1"/>
      </c>
      <c r="IU172">
        <f ca="1"/>
      </c>
      <c r="IV172">
        <f ca="1"/>
      </c>
      <c r="IW172">
        <f ca="1"/>
      </c>
      <c r="IX172">
        <f ca="1"/>
      </c>
      <c r="IY172">
        <f ca="1"/>
      </c>
      <c r="IZ172">
        <f ca="1"/>
      </c>
      <c r="JA172">
        <f ca="1"/>
      </c>
      <c r="JB172">
        <f ca="1"/>
      </c>
      <c r="LA172">
        <f ca="1"/>
      </c>
      <c r="LB172">
        <f ca="1"/>
      </c>
      <c r="LC172">
        <f ca="1"/>
      </c>
    </row>
    <row r="173" spans="58:315" x14ac:dyDescent="0.55000000000000004">
      <c r="BF173">
        <f ca="1"/>
      </c>
      <c r="BG173">
        <f ca="1"/>
      </c>
      <c r="BI173">
        <f ca="1"/>
      </c>
      <c r="BJ173" s="11">
        <f ca="1"/>
      </c>
      <c r="BK173" s="11">
        <f ca="1"/>
      </c>
      <c r="BL173" s="11">
        <f ca="1"/>
      </c>
      <c r="BM173" s="11">
        <f ca="1"/>
      </c>
      <c r="BN173" s="11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  <c r="BV173">
        <f ca="1"/>
      </c>
      <c r="BW173">
        <f ca="1"/>
      </c>
      <c r="BX173">
        <f ca="1"/>
      </c>
      <c r="BY173">
        <f ca="1"/>
      </c>
      <c r="BZ173">
        <f ca="1"/>
      </c>
      <c r="CA173">
        <f ca="1"/>
      </c>
      <c r="CB173">
        <f ca="1"/>
      </c>
      <c r="CC173">
        <f ca="1"/>
      </c>
      <c r="CD173">
        <f ca="1"/>
      </c>
      <c r="CE173">
        <f ca="1"/>
      </c>
      <c r="CF173">
        <f ca="1"/>
      </c>
      <c r="CG173">
        <f ca="1"/>
      </c>
      <c r="CH173">
        <f ca="1"/>
      </c>
      <c r="CI173">
        <f ca="1"/>
      </c>
      <c r="CJ173">
        <f ca="1"/>
      </c>
      <c r="CK173">
        <f ca="1"/>
      </c>
      <c r="CL173">
        <f ca="1"/>
      </c>
      <c r="CM173">
        <f ca="1"/>
      </c>
      <c r="CN173">
        <f ca="1"/>
      </c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DQ173">
        <f ca="1"/>
      </c>
      <c r="DR173">
        <f ca="1"/>
      </c>
      <c r="DS173">
        <f ca="1"/>
      </c>
      <c r="DT173">
        <f ca="1"/>
      </c>
      <c r="DU173">
        <f ca="1"/>
      </c>
      <c r="DV173">
        <f ca="1"/>
      </c>
      <c r="DW173">
        <f ca="1"/>
      </c>
      <c r="DX173">
        <f ca="1"/>
      </c>
      <c r="DY173">
        <f ca="1"/>
      </c>
      <c r="DZ173">
        <f ca="1"/>
      </c>
      <c r="EA173">
        <f ca="1"/>
      </c>
      <c r="EB173">
        <f ca="1"/>
      </c>
      <c r="EC173">
        <f ca="1"/>
      </c>
      <c r="ED173">
        <f ca="1"/>
      </c>
      <c r="EE173">
        <f ca="1"/>
      </c>
      <c r="EF173">
        <f ca="1"/>
      </c>
      <c r="EG173">
        <f ca="1"/>
      </c>
      <c r="EH173">
        <f ca="1"/>
      </c>
      <c r="EI173">
        <f ca="1"/>
      </c>
      <c r="EJ173">
        <f ca="1"/>
      </c>
      <c r="EK173">
        <f ca="1"/>
      </c>
      <c r="EL173">
        <f ca="1"/>
      </c>
      <c r="EM173">
        <f ca="1"/>
      </c>
      <c r="EN173">
        <f ca="1"/>
      </c>
      <c r="EO173">
        <f ca="1"/>
      </c>
      <c r="EP173">
        <f ca="1"/>
      </c>
      <c r="EQ173">
        <f ca="1"/>
      </c>
      <c r="ER173">
        <f ca="1"/>
      </c>
      <c r="ES173">
        <f ca="1"/>
      </c>
      <c r="ET173">
        <f ca="1"/>
      </c>
      <c r="EU173">
        <f ca="1"/>
      </c>
      <c r="EV173">
        <f ca="1"/>
      </c>
      <c r="EW173">
        <f ca="1"/>
      </c>
      <c r="EX173">
        <f ca="1"/>
      </c>
      <c r="EY173">
        <f ca="1"/>
      </c>
      <c r="EZ173">
        <f ca="1"/>
      </c>
      <c r="FA173">
        <f ca="1"/>
      </c>
      <c r="FB173">
        <f ca="1"/>
      </c>
      <c r="FC173">
        <f ca="1"/>
      </c>
      <c r="FD173">
        <f ca="1"/>
      </c>
      <c r="FE173">
        <f ca="1"/>
      </c>
      <c r="FF173">
        <f ca="1"/>
      </c>
      <c r="FG173">
        <f ca="1"/>
      </c>
      <c r="FH173">
        <f ca="1"/>
      </c>
      <c r="FI173">
        <f ca="1"/>
      </c>
      <c r="FJ173">
        <f ca="1"/>
      </c>
      <c r="FK173">
        <f ca="1"/>
      </c>
      <c r="FL173">
        <f ca="1"/>
      </c>
      <c r="FM173">
        <f ca="1"/>
      </c>
      <c r="FN173">
        <f ca="1"/>
      </c>
      <c r="FO173">
        <f ca="1"/>
      </c>
      <c r="FP173">
        <f ca="1"/>
      </c>
      <c r="FQ173">
        <f ca="1"/>
      </c>
      <c r="FR173">
        <f ca="1"/>
      </c>
      <c r="FS173">
        <f ca="1"/>
      </c>
      <c r="FT173">
        <f ca="1"/>
      </c>
      <c r="FU173">
        <f ca="1"/>
      </c>
      <c r="FV173">
        <f ca="1"/>
      </c>
      <c r="FW173">
        <f ca="1"/>
      </c>
      <c r="FX173">
        <f ca="1"/>
      </c>
      <c r="FY173">
        <f ca="1"/>
      </c>
      <c r="FZ173">
        <f ca="1"/>
      </c>
      <c r="GA173">
        <f ca="1"/>
      </c>
      <c r="GB173">
        <f ca="1"/>
      </c>
      <c r="GC173">
        <f ca="1"/>
      </c>
      <c r="GD173">
        <f ca="1"/>
      </c>
      <c r="GE173">
        <f ca="1"/>
      </c>
      <c r="GF173">
        <f ca="1"/>
      </c>
      <c r="GG173">
        <f ca="1"/>
      </c>
      <c r="GH173">
        <f ca="1"/>
      </c>
      <c r="GI173">
        <f ca="1"/>
      </c>
      <c r="GJ173">
        <f ca="1"/>
      </c>
      <c r="GK173">
        <f ca="1"/>
      </c>
      <c r="GL173">
        <f ca="1"/>
      </c>
      <c r="GM173">
        <f ca="1"/>
      </c>
      <c r="GN173">
        <f ca="1"/>
      </c>
      <c r="GO173">
        <f ca="1"/>
      </c>
      <c r="GP173">
        <f ca="1"/>
      </c>
      <c r="GQ173">
        <f ca="1"/>
      </c>
      <c r="GR173">
        <f ca="1"/>
      </c>
      <c r="GS173">
        <f ca="1"/>
      </c>
      <c r="GT173">
        <f ca="1"/>
      </c>
      <c r="GU173">
        <f ca="1"/>
      </c>
      <c r="GV173">
        <f ca="1"/>
      </c>
      <c r="GW173">
        <f ca="1"/>
      </c>
      <c r="GX173">
        <f ca="1"/>
      </c>
      <c r="GY173">
        <f ca="1"/>
      </c>
      <c r="GZ173">
        <f ca="1"/>
      </c>
      <c r="HA173">
        <f ca="1"/>
      </c>
      <c r="HB173">
        <f ca="1"/>
      </c>
      <c r="HC173">
        <f ca="1"/>
      </c>
      <c r="HD173">
        <f ca="1"/>
      </c>
      <c r="HE173">
        <f ca="1"/>
      </c>
      <c r="HF173">
        <f ca="1"/>
      </c>
      <c r="HG173">
        <f ca="1"/>
      </c>
      <c r="HH173">
        <f ca="1"/>
      </c>
      <c r="HI173">
        <f ca="1"/>
      </c>
      <c r="HJ173">
        <f ca="1"/>
      </c>
      <c r="HK173">
        <f ca="1"/>
      </c>
      <c r="HL173">
        <f ca="1"/>
      </c>
      <c r="HM173">
        <f ca="1"/>
      </c>
      <c r="HN173">
        <f ca="1"/>
      </c>
      <c r="HO173">
        <f ca="1"/>
      </c>
      <c r="HP173">
        <f ca="1"/>
      </c>
      <c r="HQ173">
        <f ca="1"/>
      </c>
      <c r="HR173">
        <f ca="1"/>
      </c>
      <c r="HS173">
        <f ca="1"/>
      </c>
      <c r="HT173">
        <f ca="1"/>
      </c>
      <c r="HU173">
        <f ca="1"/>
      </c>
      <c r="HV173">
        <f ca="1"/>
      </c>
      <c r="HW173">
        <f ca="1"/>
      </c>
      <c r="HX173">
        <f ca="1"/>
      </c>
      <c r="HY173">
        <f ca="1"/>
      </c>
      <c r="HZ173">
        <f ca="1"/>
      </c>
      <c r="IA173">
        <f ca="1"/>
      </c>
      <c r="IB173">
        <f ca="1"/>
      </c>
      <c r="IC173">
        <f ca="1"/>
      </c>
      <c r="ID173">
        <f ca="1"/>
      </c>
      <c r="IE173">
        <f ca="1"/>
      </c>
      <c r="IF173">
        <f ca="1"/>
      </c>
      <c r="IG173">
        <f ca="1"/>
      </c>
      <c r="IH173">
        <f ca="1"/>
      </c>
      <c r="II173">
        <f ca="1"/>
      </c>
      <c r="IJ173">
        <f ca="1"/>
      </c>
      <c r="IK173">
        <f ca="1"/>
      </c>
      <c r="IL173">
        <f ca="1"/>
      </c>
      <c r="IM173">
        <f ca="1"/>
      </c>
      <c r="IN173">
        <f ca="1"/>
      </c>
      <c r="IO173">
        <f ca="1"/>
      </c>
      <c r="IP173">
        <f ca="1"/>
      </c>
      <c r="IQ173">
        <f ca="1"/>
      </c>
      <c r="IR173">
        <f ca="1"/>
      </c>
      <c r="IS173">
        <f ca="1"/>
      </c>
      <c r="IT173">
        <f ca="1"/>
      </c>
      <c r="IU173">
        <f ca="1"/>
      </c>
      <c r="IV173">
        <f ca="1"/>
      </c>
      <c r="IW173">
        <f ca="1"/>
      </c>
      <c r="IX173">
        <f ca="1"/>
      </c>
      <c r="IY173">
        <f ca="1"/>
      </c>
      <c r="IZ173">
        <f ca="1"/>
      </c>
      <c r="JA173">
        <f ca="1"/>
      </c>
      <c r="JB173">
        <f ca="1"/>
      </c>
      <c r="LA173">
        <f ca="1"/>
      </c>
      <c r="LB173">
        <f ca="1"/>
      </c>
      <c r="LC173">
        <f ca="1"/>
      </c>
    </row>
    <row r="174" spans="58:315" x14ac:dyDescent="0.55000000000000004">
      <c r="BF174">
        <f ca="1"/>
      </c>
      <c r="BG174">
        <f ca="1"/>
      </c>
      <c r="BI174">
        <f ca="1"/>
      </c>
      <c r="BJ174" s="11">
        <f ca="1"/>
      </c>
      <c r="BK174" s="11">
        <f ca="1"/>
      </c>
      <c r="BL174" s="11">
        <f ca="1"/>
      </c>
      <c r="BM174" s="11">
        <f ca="1"/>
      </c>
      <c r="BN174" s="11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  <c r="BV174">
        <f ca="1"/>
      </c>
      <c r="BW174">
        <f ca="1"/>
      </c>
      <c r="BX174">
        <f ca="1"/>
      </c>
      <c r="BY174">
        <f ca="1"/>
      </c>
      <c r="BZ174">
        <f ca="1"/>
      </c>
      <c r="CA174">
        <f ca="1"/>
      </c>
      <c r="CB174">
        <f ca="1"/>
      </c>
      <c r="CC174">
        <f ca="1"/>
      </c>
      <c r="CD174">
        <f ca="1"/>
      </c>
      <c r="CE174">
        <f ca="1"/>
      </c>
      <c r="CF174">
        <f ca="1"/>
      </c>
      <c r="CG174">
        <f ca="1"/>
      </c>
      <c r="CH174">
        <f ca="1"/>
      </c>
      <c r="CI174">
        <f ca="1"/>
      </c>
      <c r="CJ174">
        <f ca="1"/>
      </c>
      <c r="CK174">
        <f ca="1"/>
      </c>
      <c r="CL174">
        <f ca="1"/>
      </c>
      <c r="CM174">
        <f ca="1"/>
      </c>
      <c r="CN174">
        <f ca="1"/>
      </c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DQ174">
        <f ca="1"/>
      </c>
      <c r="DR174">
        <f ca="1"/>
      </c>
      <c r="DS174">
        <f ca="1"/>
      </c>
      <c r="DT174">
        <f ca="1"/>
      </c>
      <c r="DU174">
        <f ca="1"/>
      </c>
      <c r="DV174">
        <f ca="1"/>
      </c>
      <c r="DW174">
        <f ca="1"/>
      </c>
      <c r="DX174">
        <f ca="1"/>
      </c>
      <c r="DY174">
        <f ca="1"/>
      </c>
      <c r="DZ174">
        <f ca="1"/>
      </c>
      <c r="EA174">
        <f ca="1"/>
      </c>
      <c r="EB174">
        <f ca="1"/>
      </c>
      <c r="EC174">
        <f ca="1"/>
      </c>
      <c r="ED174">
        <f ca="1"/>
      </c>
      <c r="EE174">
        <f ca="1"/>
      </c>
      <c r="EF174">
        <f ca="1"/>
      </c>
      <c r="EG174">
        <f ca="1"/>
      </c>
      <c r="EH174">
        <f ca="1"/>
      </c>
      <c r="EI174">
        <f ca="1"/>
      </c>
      <c r="EJ174">
        <f ca="1"/>
      </c>
      <c r="EK174">
        <f ca="1"/>
      </c>
      <c r="EL174">
        <f ca="1"/>
      </c>
      <c r="EM174">
        <f ca="1"/>
      </c>
      <c r="EN174">
        <f ca="1"/>
      </c>
      <c r="EO174">
        <f ca="1"/>
      </c>
      <c r="EP174">
        <f ca="1"/>
      </c>
      <c r="EQ174">
        <f ca="1"/>
      </c>
      <c r="ER174">
        <f ca="1"/>
      </c>
      <c r="ES174">
        <f ca="1"/>
      </c>
      <c r="ET174">
        <f ca="1"/>
      </c>
      <c r="EU174">
        <f ca="1"/>
      </c>
      <c r="EV174">
        <f ca="1"/>
      </c>
      <c r="EW174">
        <f ca="1"/>
      </c>
      <c r="EX174">
        <f ca="1"/>
      </c>
      <c r="EY174">
        <f ca="1"/>
      </c>
      <c r="EZ174">
        <f ca="1"/>
      </c>
      <c r="FA174">
        <f ca="1"/>
      </c>
      <c r="FB174">
        <f ca="1"/>
      </c>
      <c r="FC174">
        <f ca="1"/>
      </c>
      <c r="FD174">
        <f ca="1"/>
      </c>
      <c r="FE174">
        <f ca="1"/>
      </c>
      <c r="FF174">
        <f ca="1"/>
      </c>
      <c r="FG174">
        <f ca="1"/>
      </c>
      <c r="FH174">
        <f ca="1"/>
      </c>
      <c r="FI174">
        <f ca="1"/>
      </c>
      <c r="FJ174">
        <f ca="1"/>
      </c>
      <c r="FK174">
        <f ca="1"/>
      </c>
      <c r="FL174">
        <f ca="1"/>
      </c>
      <c r="FM174">
        <f ca="1"/>
      </c>
      <c r="FN174">
        <f ca="1"/>
      </c>
      <c r="FO174">
        <f ca="1"/>
      </c>
      <c r="FP174">
        <f ca="1"/>
      </c>
      <c r="FQ174">
        <f ca="1"/>
      </c>
      <c r="FR174">
        <f ca="1"/>
      </c>
      <c r="FS174">
        <f ca="1"/>
      </c>
      <c r="FT174">
        <f ca="1"/>
      </c>
      <c r="FU174">
        <f ca="1"/>
      </c>
      <c r="FV174">
        <f ca="1"/>
      </c>
      <c r="FW174">
        <f ca="1"/>
      </c>
      <c r="FX174">
        <f ca="1"/>
      </c>
      <c r="FY174">
        <f ca="1"/>
      </c>
      <c r="FZ174">
        <f ca="1"/>
      </c>
      <c r="GA174">
        <f ca="1"/>
      </c>
      <c r="GB174">
        <f ca="1"/>
      </c>
      <c r="GC174">
        <f ca="1"/>
      </c>
      <c r="GD174">
        <f ca="1"/>
      </c>
      <c r="GE174">
        <f ca="1"/>
      </c>
      <c r="GF174">
        <f ca="1"/>
      </c>
      <c r="GG174">
        <f ca="1"/>
      </c>
      <c r="GH174">
        <f ca="1"/>
      </c>
      <c r="GI174">
        <f ca="1"/>
      </c>
      <c r="GJ174">
        <f ca="1"/>
      </c>
      <c r="GK174">
        <f ca="1"/>
      </c>
      <c r="GL174">
        <f ca="1"/>
      </c>
      <c r="GM174">
        <f ca="1"/>
      </c>
      <c r="GN174">
        <f ca="1"/>
      </c>
      <c r="GO174">
        <f ca="1"/>
      </c>
      <c r="GP174">
        <f ca="1"/>
      </c>
      <c r="GQ174">
        <f ca="1"/>
      </c>
      <c r="GR174">
        <f ca="1"/>
      </c>
      <c r="GS174">
        <f ca="1"/>
      </c>
      <c r="GT174">
        <f ca="1"/>
      </c>
      <c r="GU174">
        <f ca="1"/>
      </c>
      <c r="GV174">
        <f ca="1"/>
      </c>
      <c r="GW174">
        <f ca="1"/>
      </c>
      <c r="GX174">
        <f ca="1"/>
      </c>
      <c r="GY174">
        <f ca="1"/>
      </c>
      <c r="GZ174">
        <f ca="1"/>
      </c>
      <c r="HA174">
        <f ca="1"/>
      </c>
      <c r="HB174">
        <f ca="1"/>
      </c>
      <c r="HC174">
        <f ca="1"/>
      </c>
      <c r="HD174">
        <f ca="1"/>
      </c>
      <c r="HE174">
        <f ca="1"/>
      </c>
      <c r="HF174">
        <f ca="1"/>
      </c>
      <c r="HG174">
        <f ca="1"/>
      </c>
      <c r="HH174">
        <f ca="1"/>
      </c>
      <c r="HI174">
        <f ca="1"/>
      </c>
      <c r="HJ174">
        <f ca="1"/>
      </c>
      <c r="HK174">
        <f ca="1"/>
      </c>
      <c r="HL174">
        <f ca="1"/>
      </c>
      <c r="HM174">
        <f ca="1"/>
      </c>
      <c r="HN174">
        <f ca="1"/>
      </c>
      <c r="HO174">
        <f ca="1"/>
      </c>
      <c r="HP174">
        <f ca="1"/>
      </c>
      <c r="HQ174">
        <f ca="1"/>
      </c>
      <c r="HR174">
        <f ca="1"/>
      </c>
      <c r="HS174">
        <f ca="1"/>
      </c>
      <c r="HT174">
        <f ca="1"/>
      </c>
      <c r="HU174">
        <f ca="1"/>
      </c>
      <c r="HV174">
        <f ca="1"/>
      </c>
      <c r="HW174">
        <f ca="1"/>
      </c>
      <c r="HX174">
        <f ca="1"/>
      </c>
      <c r="HY174">
        <f ca="1"/>
      </c>
      <c r="HZ174">
        <f ca="1"/>
      </c>
      <c r="IA174">
        <f ca="1"/>
      </c>
      <c r="IB174">
        <f ca="1"/>
      </c>
      <c r="IC174">
        <f ca="1"/>
      </c>
      <c r="ID174">
        <f ca="1"/>
      </c>
      <c r="IE174">
        <f ca="1"/>
      </c>
      <c r="IF174">
        <f ca="1"/>
      </c>
      <c r="IG174">
        <f ca="1"/>
      </c>
      <c r="IH174">
        <f ca="1"/>
      </c>
      <c r="II174">
        <f ca="1"/>
      </c>
      <c r="IJ174">
        <f ca="1"/>
      </c>
      <c r="IK174">
        <f ca="1"/>
      </c>
      <c r="IL174">
        <f ca="1"/>
      </c>
      <c r="IM174">
        <f ca="1"/>
      </c>
      <c r="IN174">
        <f ca="1"/>
      </c>
      <c r="IO174">
        <f ca="1"/>
      </c>
      <c r="IP174">
        <f ca="1"/>
      </c>
      <c r="IQ174">
        <f ca="1"/>
      </c>
      <c r="IR174">
        <f ca="1"/>
      </c>
      <c r="IS174">
        <f ca="1"/>
      </c>
      <c r="IT174">
        <f ca="1"/>
      </c>
      <c r="IU174">
        <f ca="1"/>
      </c>
      <c r="IV174">
        <f ca="1"/>
      </c>
      <c r="IW174">
        <f ca="1"/>
      </c>
      <c r="IX174">
        <f ca="1"/>
      </c>
      <c r="IY174">
        <f ca="1"/>
      </c>
      <c r="IZ174">
        <f ca="1"/>
      </c>
      <c r="JA174">
        <f ca="1"/>
      </c>
      <c r="JB174">
        <f ca="1"/>
      </c>
      <c r="LA174">
        <f ca="1"/>
      </c>
      <c r="LB174">
        <f ca="1"/>
      </c>
      <c r="LC174">
        <f ca="1"/>
      </c>
    </row>
    <row r="175" spans="58:315" x14ac:dyDescent="0.55000000000000004">
      <c r="BF175">
        <f ca="1"/>
      </c>
      <c r="BG175">
        <f ca="1"/>
      </c>
      <c r="BI175">
        <f ca="1"/>
      </c>
      <c r="BJ175" s="11">
        <f ca="1"/>
      </c>
      <c r="BK175" s="11">
        <f ca="1"/>
      </c>
      <c r="BL175" s="11">
        <f ca="1"/>
      </c>
      <c r="BM175" s="11">
        <f ca="1"/>
      </c>
      <c r="BN175" s="11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  <c r="BV175">
        <f ca="1"/>
      </c>
      <c r="BW175">
        <f ca="1"/>
      </c>
      <c r="BX175">
        <f ca="1"/>
      </c>
      <c r="BY175">
        <f ca="1"/>
      </c>
      <c r="BZ175">
        <f ca="1"/>
      </c>
      <c r="CA175">
        <f ca="1"/>
      </c>
      <c r="CB175">
        <f ca="1"/>
      </c>
      <c r="CC175">
        <f ca="1"/>
      </c>
      <c r="CD175">
        <f ca="1"/>
      </c>
      <c r="CE175">
        <f ca="1"/>
      </c>
      <c r="CF175">
        <f ca="1"/>
      </c>
      <c r="CG175">
        <f ca="1"/>
      </c>
      <c r="CH175">
        <f ca="1"/>
      </c>
      <c r="CI175">
        <f ca="1"/>
      </c>
      <c r="CJ175">
        <f ca="1"/>
      </c>
      <c r="CK175">
        <f ca="1"/>
      </c>
      <c r="CL175">
        <f ca="1"/>
      </c>
      <c r="CM175">
        <f ca="1"/>
      </c>
      <c r="CN175">
        <f ca="1"/>
      </c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DQ175">
        <f ca="1"/>
      </c>
      <c r="DR175">
        <f ca="1"/>
      </c>
      <c r="DS175">
        <f ca="1"/>
      </c>
      <c r="DT175">
        <f ca="1"/>
      </c>
      <c r="DU175">
        <f ca="1"/>
      </c>
      <c r="DV175">
        <f ca="1"/>
      </c>
      <c r="DW175">
        <f ca="1"/>
      </c>
      <c r="DX175">
        <f ca="1"/>
      </c>
      <c r="DY175">
        <f ca="1"/>
      </c>
      <c r="DZ175">
        <f ca="1"/>
      </c>
      <c r="EA175">
        <f ca="1"/>
      </c>
      <c r="EB175">
        <f ca="1"/>
      </c>
      <c r="EC175">
        <f ca="1"/>
      </c>
      <c r="ED175">
        <f ca="1"/>
      </c>
      <c r="EE175">
        <f ca="1"/>
      </c>
      <c r="EF175">
        <f ca="1"/>
      </c>
      <c r="EG175">
        <f ca="1"/>
      </c>
      <c r="EH175">
        <f ca="1"/>
      </c>
      <c r="EI175">
        <f ca="1"/>
      </c>
      <c r="EJ175">
        <f ca="1"/>
      </c>
      <c r="EK175">
        <f ca="1"/>
      </c>
      <c r="EL175">
        <f ca="1"/>
      </c>
      <c r="EM175">
        <f ca="1"/>
      </c>
      <c r="EN175">
        <f ca="1"/>
      </c>
      <c r="EO175">
        <f ca="1"/>
      </c>
      <c r="EP175">
        <f ca="1"/>
      </c>
      <c r="EQ175">
        <f ca="1"/>
      </c>
      <c r="ER175">
        <f ca="1"/>
      </c>
      <c r="ES175">
        <f ca="1"/>
      </c>
      <c r="ET175">
        <f ca="1"/>
      </c>
      <c r="EU175">
        <f ca="1"/>
      </c>
      <c r="EV175">
        <f ca="1"/>
      </c>
      <c r="EW175">
        <f ca="1"/>
      </c>
      <c r="EX175">
        <f ca="1"/>
      </c>
      <c r="EY175">
        <f ca="1"/>
      </c>
      <c r="EZ175">
        <f ca="1"/>
      </c>
      <c r="FA175">
        <f ca="1"/>
      </c>
      <c r="FB175">
        <f ca="1"/>
      </c>
      <c r="FC175">
        <f ca="1"/>
      </c>
      <c r="FD175">
        <f ca="1"/>
      </c>
      <c r="FE175">
        <f ca="1"/>
      </c>
      <c r="FF175">
        <f ca="1"/>
      </c>
      <c r="FG175">
        <f ca="1"/>
      </c>
      <c r="FH175">
        <f ca="1"/>
      </c>
      <c r="FI175">
        <f ca="1"/>
      </c>
      <c r="FJ175">
        <f ca="1"/>
      </c>
      <c r="FK175">
        <f ca="1"/>
      </c>
      <c r="FL175">
        <f ca="1"/>
      </c>
      <c r="FM175">
        <f ca="1"/>
      </c>
      <c r="FN175">
        <f ca="1"/>
      </c>
      <c r="FO175">
        <f ca="1"/>
      </c>
      <c r="FP175">
        <f ca="1"/>
      </c>
      <c r="FQ175">
        <f ca="1"/>
      </c>
      <c r="FR175">
        <f ca="1"/>
      </c>
      <c r="FS175">
        <f ca="1"/>
      </c>
      <c r="FT175">
        <f ca="1"/>
      </c>
      <c r="FU175">
        <f ca="1"/>
      </c>
      <c r="FV175">
        <f ca="1"/>
      </c>
      <c r="FW175">
        <f ca="1"/>
      </c>
      <c r="FX175">
        <f ca="1"/>
      </c>
      <c r="FY175">
        <f ca="1"/>
      </c>
      <c r="FZ175">
        <f ca="1"/>
      </c>
      <c r="GA175">
        <f ca="1"/>
      </c>
      <c r="GB175">
        <f ca="1"/>
      </c>
      <c r="GC175">
        <f ca="1"/>
      </c>
      <c r="GD175">
        <f ca="1"/>
      </c>
      <c r="GE175">
        <f ca="1"/>
      </c>
      <c r="GF175">
        <f ca="1"/>
      </c>
      <c r="GG175">
        <f ca="1"/>
      </c>
      <c r="GH175">
        <f ca="1"/>
      </c>
      <c r="GI175">
        <f ca="1"/>
      </c>
      <c r="GJ175">
        <f ca="1"/>
      </c>
      <c r="GK175">
        <f ca="1"/>
      </c>
      <c r="GL175">
        <f ca="1"/>
      </c>
      <c r="GM175">
        <f ca="1"/>
      </c>
      <c r="GN175">
        <f ca="1"/>
      </c>
      <c r="GO175">
        <f ca="1"/>
      </c>
      <c r="GP175">
        <f ca="1"/>
      </c>
      <c r="GQ175">
        <f ca="1"/>
      </c>
      <c r="GR175">
        <f ca="1"/>
      </c>
      <c r="GS175">
        <f ca="1"/>
      </c>
      <c r="GT175">
        <f ca="1"/>
      </c>
      <c r="GU175">
        <f ca="1"/>
      </c>
      <c r="GV175">
        <f ca="1"/>
      </c>
      <c r="GW175">
        <f ca="1"/>
      </c>
      <c r="GX175">
        <f ca="1"/>
      </c>
      <c r="GY175">
        <f ca="1"/>
      </c>
      <c r="GZ175">
        <f ca="1"/>
      </c>
      <c r="HA175">
        <f ca="1"/>
      </c>
      <c r="HB175">
        <f ca="1"/>
      </c>
      <c r="HC175">
        <f ca="1"/>
      </c>
      <c r="HD175">
        <f ca="1"/>
      </c>
      <c r="HE175">
        <f ca="1"/>
      </c>
      <c r="HF175">
        <f ca="1"/>
      </c>
      <c r="HG175">
        <f ca="1"/>
      </c>
      <c r="HH175">
        <f ca="1"/>
      </c>
      <c r="HI175">
        <f ca="1"/>
      </c>
      <c r="HJ175">
        <f ca="1"/>
      </c>
      <c r="HK175">
        <f ca="1"/>
      </c>
      <c r="HL175">
        <f ca="1"/>
      </c>
      <c r="HM175">
        <f ca="1"/>
      </c>
      <c r="HN175">
        <f ca="1"/>
      </c>
      <c r="HO175">
        <f ca="1"/>
      </c>
      <c r="HP175">
        <f ca="1"/>
      </c>
      <c r="HQ175">
        <f ca="1"/>
      </c>
      <c r="HR175">
        <f ca="1"/>
      </c>
      <c r="HS175">
        <f ca="1"/>
      </c>
      <c r="HT175">
        <f ca="1"/>
      </c>
      <c r="HU175">
        <f ca="1"/>
      </c>
      <c r="HV175">
        <f ca="1"/>
      </c>
      <c r="HW175">
        <f ca="1"/>
      </c>
      <c r="HX175">
        <f ca="1"/>
      </c>
      <c r="HY175">
        <f ca="1"/>
      </c>
      <c r="HZ175">
        <f ca="1"/>
      </c>
      <c r="IA175">
        <f ca="1"/>
      </c>
      <c r="IB175">
        <f ca="1"/>
      </c>
      <c r="IC175">
        <f ca="1"/>
      </c>
      <c r="ID175">
        <f ca="1"/>
      </c>
      <c r="IE175">
        <f ca="1"/>
      </c>
      <c r="IF175">
        <f ca="1"/>
      </c>
      <c r="IG175">
        <f ca="1"/>
      </c>
      <c r="IH175">
        <f ca="1"/>
      </c>
      <c r="II175">
        <f ca="1"/>
      </c>
      <c r="IJ175">
        <f ca="1"/>
      </c>
      <c r="IK175">
        <f ca="1"/>
      </c>
      <c r="IL175">
        <f ca="1"/>
      </c>
      <c r="IM175">
        <f ca="1"/>
      </c>
      <c r="IN175">
        <f ca="1"/>
      </c>
      <c r="IO175">
        <f ca="1"/>
      </c>
      <c r="IP175">
        <f ca="1"/>
      </c>
      <c r="IQ175">
        <f ca="1"/>
      </c>
      <c r="IR175">
        <f ca="1"/>
      </c>
      <c r="IS175">
        <f ca="1"/>
      </c>
      <c r="IT175">
        <f ca="1"/>
      </c>
      <c r="IU175">
        <f ca="1"/>
      </c>
      <c r="IV175">
        <f ca="1"/>
      </c>
      <c r="IW175">
        <f ca="1"/>
      </c>
      <c r="IX175">
        <f ca="1"/>
      </c>
      <c r="IY175">
        <f ca="1"/>
      </c>
      <c r="IZ175">
        <f ca="1"/>
      </c>
      <c r="JA175">
        <f ca="1"/>
      </c>
      <c r="JB175">
        <f ca="1"/>
      </c>
      <c r="LA175">
        <f ca="1"/>
      </c>
      <c r="LB175">
        <f ca="1"/>
      </c>
      <c r="LC175">
        <f ca="1"/>
      </c>
    </row>
    <row r="176" spans="58:315" x14ac:dyDescent="0.55000000000000004">
      <c r="BF176">
        <f ca="1"/>
      </c>
      <c r="BG176">
        <f ca="1"/>
      </c>
      <c r="BI176">
        <f ca="1"/>
      </c>
      <c r="BJ176" s="11">
        <f ca="1"/>
      </c>
      <c r="BK176" s="11">
        <f ca="1"/>
      </c>
      <c r="BL176" s="11">
        <f ca="1"/>
      </c>
      <c r="BM176" s="11">
        <f ca="1"/>
      </c>
      <c r="BN176" s="11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  <c r="BV176">
        <f ca="1"/>
      </c>
      <c r="BW176">
        <f ca="1"/>
      </c>
      <c r="BX176">
        <f ca="1"/>
      </c>
      <c r="BY176">
        <f ca="1"/>
      </c>
      <c r="BZ176">
        <f ca="1"/>
      </c>
      <c r="CA176">
        <f ca="1"/>
      </c>
      <c r="CB176">
        <f ca="1"/>
      </c>
      <c r="CC176">
        <f ca="1"/>
      </c>
      <c r="CD176">
        <f ca="1"/>
      </c>
      <c r="CE176">
        <f ca="1"/>
      </c>
      <c r="CF176">
        <f ca="1"/>
      </c>
      <c r="CG176">
        <f ca="1"/>
      </c>
      <c r="CH176">
        <f ca="1"/>
      </c>
      <c r="CI176">
        <f ca="1"/>
      </c>
      <c r="CJ176">
        <f ca="1"/>
      </c>
      <c r="CK176">
        <f ca="1"/>
      </c>
      <c r="CL176">
        <f ca="1"/>
      </c>
      <c r="CM176">
        <f ca="1"/>
      </c>
      <c r="CN176">
        <f ca="1"/>
      </c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DQ176">
        <f ca="1"/>
      </c>
      <c r="DR176">
        <f ca="1"/>
      </c>
      <c r="DS176">
        <f ca="1"/>
      </c>
      <c r="DT176">
        <f ca="1"/>
      </c>
      <c r="DU176">
        <f ca="1"/>
      </c>
      <c r="DV176">
        <f ca="1"/>
      </c>
      <c r="DW176">
        <f ca="1"/>
      </c>
      <c r="DX176">
        <f ca="1"/>
      </c>
      <c r="DY176">
        <f ca="1"/>
      </c>
      <c r="DZ176">
        <f ca="1"/>
      </c>
      <c r="EA176">
        <f ca="1"/>
      </c>
      <c r="EB176">
        <f ca="1"/>
      </c>
      <c r="EC176">
        <f ca="1"/>
      </c>
      <c r="ED176">
        <f ca="1"/>
      </c>
      <c r="EE176">
        <f ca="1"/>
      </c>
      <c r="EF176">
        <f ca="1"/>
      </c>
      <c r="EG176">
        <f ca="1"/>
      </c>
      <c r="EH176">
        <f ca="1"/>
      </c>
      <c r="EI176">
        <f ca="1"/>
      </c>
      <c r="EJ176">
        <f ca="1"/>
      </c>
      <c r="EK176">
        <f ca="1"/>
      </c>
      <c r="EL176">
        <f ca="1"/>
      </c>
      <c r="EM176">
        <f ca="1"/>
      </c>
      <c r="EN176">
        <f ca="1"/>
      </c>
      <c r="EO176">
        <f ca="1"/>
      </c>
      <c r="EP176">
        <f ca="1"/>
      </c>
      <c r="EQ176">
        <f ca="1"/>
      </c>
      <c r="ER176">
        <f ca="1"/>
      </c>
      <c r="ES176">
        <f ca="1"/>
      </c>
      <c r="ET176">
        <f ca="1"/>
      </c>
      <c r="EU176">
        <f ca="1"/>
      </c>
      <c r="EV176">
        <f ca="1"/>
      </c>
      <c r="EW176">
        <f ca="1"/>
      </c>
      <c r="EX176">
        <f ca="1"/>
      </c>
      <c r="EY176">
        <f ca="1"/>
      </c>
      <c r="EZ176">
        <f ca="1"/>
      </c>
      <c r="FA176">
        <f ca="1"/>
      </c>
      <c r="FB176">
        <f ca="1"/>
      </c>
      <c r="FC176">
        <f ca="1"/>
      </c>
      <c r="FD176">
        <f ca="1"/>
      </c>
      <c r="FE176">
        <f ca="1"/>
      </c>
      <c r="FF176">
        <f ca="1"/>
      </c>
      <c r="FG176">
        <f ca="1"/>
      </c>
      <c r="FH176">
        <f ca="1"/>
      </c>
      <c r="FI176">
        <f ca="1"/>
      </c>
      <c r="FJ176">
        <f ca="1"/>
      </c>
      <c r="FK176">
        <f ca="1"/>
      </c>
      <c r="FL176">
        <f ca="1"/>
      </c>
      <c r="FM176">
        <f ca="1"/>
      </c>
      <c r="FN176">
        <f ca="1"/>
      </c>
      <c r="FO176">
        <f ca="1"/>
      </c>
      <c r="FP176">
        <f ca="1"/>
      </c>
      <c r="FQ176">
        <f ca="1"/>
      </c>
      <c r="FR176">
        <f ca="1"/>
      </c>
      <c r="FS176">
        <f ca="1"/>
      </c>
      <c r="FT176">
        <f ca="1"/>
      </c>
      <c r="FU176">
        <f ca="1"/>
      </c>
      <c r="FV176">
        <f ca="1"/>
      </c>
      <c r="FW176">
        <f ca="1"/>
      </c>
      <c r="FX176">
        <f ca="1"/>
      </c>
      <c r="FY176">
        <f ca="1"/>
      </c>
      <c r="FZ176">
        <f ca="1"/>
      </c>
      <c r="GA176">
        <f ca="1"/>
      </c>
      <c r="GB176">
        <f ca="1"/>
      </c>
      <c r="GC176">
        <f ca="1"/>
      </c>
      <c r="GD176">
        <f ca="1"/>
      </c>
      <c r="GE176">
        <f ca="1"/>
      </c>
      <c r="GF176">
        <f ca="1"/>
      </c>
      <c r="GG176">
        <f ca="1"/>
      </c>
      <c r="GH176">
        <f ca="1"/>
      </c>
      <c r="GI176">
        <f ca="1"/>
      </c>
      <c r="GJ176">
        <f ca="1"/>
      </c>
      <c r="GK176">
        <f ca="1"/>
      </c>
      <c r="GL176">
        <f ca="1"/>
      </c>
      <c r="GM176">
        <f ca="1"/>
      </c>
      <c r="GN176">
        <f ca="1"/>
      </c>
      <c r="GO176">
        <f ca="1"/>
      </c>
      <c r="GP176">
        <f ca="1"/>
      </c>
      <c r="GQ176">
        <f ca="1"/>
      </c>
      <c r="GR176">
        <f ca="1"/>
      </c>
      <c r="GS176">
        <f ca="1"/>
      </c>
      <c r="GT176">
        <f ca="1"/>
      </c>
      <c r="GU176">
        <f ca="1"/>
      </c>
      <c r="GV176">
        <f ca="1"/>
      </c>
      <c r="GW176">
        <f ca="1"/>
      </c>
      <c r="GX176">
        <f ca="1"/>
      </c>
      <c r="GY176">
        <f ca="1"/>
      </c>
      <c r="GZ176">
        <f ca="1"/>
      </c>
      <c r="HA176">
        <f ca="1"/>
      </c>
      <c r="HB176">
        <f ca="1"/>
      </c>
      <c r="HC176">
        <f ca="1"/>
      </c>
      <c r="HD176">
        <f ca="1"/>
      </c>
      <c r="HE176">
        <f ca="1"/>
      </c>
      <c r="HF176">
        <f ca="1"/>
      </c>
      <c r="HG176">
        <f ca="1"/>
      </c>
      <c r="HH176">
        <f ca="1"/>
      </c>
      <c r="HI176">
        <f ca="1"/>
      </c>
      <c r="HJ176">
        <f ca="1"/>
      </c>
      <c r="HK176">
        <f ca="1"/>
      </c>
      <c r="HL176">
        <f ca="1"/>
      </c>
      <c r="HM176">
        <f ca="1"/>
      </c>
      <c r="HN176">
        <f ca="1"/>
      </c>
      <c r="HO176">
        <f ca="1"/>
      </c>
      <c r="HP176">
        <f ca="1"/>
      </c>
      <c r="HQ176">
        <f ca="1"/>
      </c>
      <c r="HR176">
        <f ca="1"/>
      </c>
      <c r="HS176">
        <f ca="1"/>
      </c>
      <c r="HT176">
        <f ca="1"/>
      </c>
      <c r="HU176">
        <f ca="1"/>
      </c>
      <c r="HV176">
        <f ca="1"/>
      </c>
      <c r="HW176">
        <f ca="1"/>
      </c>
      <c r="HX176">
        <f ca="1"/>
      </c>
      <c r="HY176">
        <f ca="1"/>
      </c>
      <c r="HZ176">
        <f ca="1"/>
      </c>
      <c r="IA176">
        <f ca="1"/>
      </c>
      <c r="IB176">
        <f ca="1"/>
      </c>
      <c r="IC176">
        <f ca="1"/>
      </c>
      <c r="ID176">
        <f ca="1"/>
      </c>
      <c r="IE176">
        <f ca="1"/>
      </c>
      <c r="IF176">
        <f ca="1"/>
      </c>
      <c r="IG176">
        <f ca="1"/>
      </c>
      <c r="IH176">
        <f ca="1"/>
      </c>
      <c r="II176">
        <f ca="1"/>
      </c>
      <c r="IJ176">
        <f ca="1"/>
      </c>
      <c r="IK176">
        <f ca="1"/>
      </c>
      <c r="IL176">
        <f ca="1"/>
      </c>
      <c r="IM176">
        <f ca="1"/>
      </c>
      <c r="IN176">
        <f ca="1"/>
      </c>
      <c r="IO176">
        <f ca="1"/>
      </c>
      <c r="IP176">
        <f ca="1"/>
      </c>
      <c r="IQ176">
        <f ca="1"/>
      </c>
      <c r="IR176">
        <f ca="1"/>
      </c>
      <c r="IS176">
        <f ca="1"/>
      </c>
      <c r="IT176">
        <f ca="1"/>
      </c>
      <c r="IU176">
        <f ca="1"/>
      </c>
      <c r="IV176">
        <f ca="1"/>
      </c>
      <c r="IW176">
        <f ca="1"/>
      </c>
      <c r="IX176">
        <f ca="1"/>
      </c>
      <c r="IY176">
        <f ca="1"/>
      </c>
      <c r="IZ176">
        <f ca="1"/>
      </c>
      <c r="JA176">
        <f ca="1"/>
      </c>
      <c r="JB176">
        <f ca="1"/>
      </c>
      <c r="LA176">
        <f ca="1"/>
      </c>
      <c r="LB176">
        <f ca="1"/>
      </c>
      <c r="LC176">
        <f ca="1"/>
      </c>
    </row>
    <row r="177" spans="58:315" x14ac:dyDescent="0.55000000000000004">
      <c r="BF177">
        <f ca="1"/>
      </c>
      <c r="BG177">
        <f ca="1"/>
      </c>
      <c r="BI177">
        <f ca="1"/>
      </c>
      <c r="BJ177" s="11">
        <f ca="1"/>
      </c>
      <c r="BK177" s="11">
        <f ca="1"/>
      </c>
      <c r="BL177" s="11">
        <f ca="1"/>
      </c>
      <c r="BM177" s="11">
        <f ca="1"/>
      </c>
      <c r="BN177" s="11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  <c r="BV177">
        <f ca="1"/>
      </c>
      <c r="BW177">
        <f ca="1"/>
      </c>
      <c r="BX177">
        <f ca="1"/>
      </c>
      <c r="BY177">
        <f ca="1"/>
      </c>
      <c r="BZ177">
        <f ca="1"/>
      </c>
      <c r="CA177">
        <f ca="1"/>
      </c>
      <c r="CB177">
        <f ca="1"/>
      </c>
      <c r="CC177">
        <f ca="1"/>
      </c>
      <c r="CD177">
        <f ca="1"/>
      </c>
      <c r="CE177">
        <f ca="1"/>
      </c>
      <c r="CF177">
        <f ca="1"/>
      </c>
      <c r="CG177">
        <f ca="1"/>
      </c>
      <c r="CH177">
        <f ca="1"/>
      </c>
      <c r="CI177">
        <f ca="1"/>
      </c>
      <c r="CJ177">
        <f ca="1"/>
      </c>
      <c r="CK177">
        <f ca="1"/>
      </c>
      <c r="CL177">
        <f ca="1"/>
      </c>
      <c r="CM177">
        <f ca="1"/>
      </c>
      <c r="CN177">
        <f ca="1"/>
      </c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DQ177">
        <f ca="1"/>
      </c>
      <c r="DR177">
        <f ca="1"/>
      </c>
      <c r="DS177">
        <f ca="1"/>
      </c>
      <c r="DT177">
        <f ca="1"/>
      </c>
      <c r="DU177">
        <f ca="1"/>
      </c>
      <c r="DV177">
        <f ca="1"/>
      </c>
      <c r="DW177">
        <f ca="1"/>
      </c>
      <c r="DX177">
        <f ca="1"/>
      </c>
      <c r="DY177">
        <f ca="1"/>
      </c>
      <c r="DZ177">
        <f ca="1"/>
      </c>
      <c r="EA177">
        <f ca="1"/>
      </c>
      <c r="EB177">
        <f ca="1"/>
      </c>
      <c r="EC177">
        <f ca="1"/>
      </c>
      <c r="ED177">
        <f ca="1"/>
      </c>
      <c r="EE177">
        <f ca="1"/>
      </c>
      <c r="EF177">
        <f ca="1"/>
      </c>
      <c r="EG177">
        <f ca="1"/>
      </c>
      <c r="EH177">
        <f ca="1"/>
      </c>
      <c r="EI177">
        <f ca="1"/>
      </c>
      <c r="EJ177">
        <f ca="1"/>
      </c>
      <c r="EK177">
        <f ca="1"/>
      </c>
      <c r="EL177">
        <f ca="1"/>
      </c>
      <c r="EM177">
        <f ca="1"/>
      </c>
      <c r="EN177">
        <f ca="1"/>
      </c>
      <c r="EO177">
        <f ca="1"/>
      </c>
      <c r="EP177">
        <f ca="1"/>
      </c>
      <c r="EQ177">
        <f ca="1"/>
      </c>
      <c r="ER177">
        <f ca="1"/>
      </c>
      <c r="ES177">
        <f ca="1"/>
      </c>
      <c r="ET177">
        <f ca="1"/>
      </c>
      <c r="EU177">
        <f ca="1"/>
      </c>
      <c r="EV177">
        <f ca="1"/>
      </c>
      <c r="EW177">
        <f ca="1"/>
      </c>
      <c r="EX177">
        <f ca="1"/>
      </c>
      <c r="EY177">
        <f ca="1"/>
      </c>
      <c r="EZ177">
        <f ca="1"/>
      </c>
      <c r="FA177">
        <f ca="1"/>
      </c>
      <c r="FB177">
        <f ca="1"/>
      </c>
      <c r="FC177">
        <f ca="1"/>
      </c>
      <c r="FD177">
        <f ca="1"/>
      </c>
      <c r="FE177">
        <f ca="1"/>
      </c>
      <c r="FF177">
        <f ca="1"/>
      </c>
      <c r="FG177">
        <f ca="1"/>
      </c>
      <c r="FH177">
        <f ca="1"/>
      </c>
      <c r="FI177">
        <f ca="1"/>
      </c>
      <c r="FJ177">
        <f ca="1"/>
      </c>
      <c r="FK177">
        <f ca="1"/>
      </c>
      <c r="FL177">
        <f ca="1"/>
      </c>
      <c r="FM177">
        <f ca="1"/>
      </c>
      <c r="FN177">
        <f ca="1"/>
      </c>
      <c r="FO177">
        <f ca="1"/>
      </c>
      <c r="FP177">
        <f ca="1"/>
      </c>
      <c r="FQ177">
        <f ca="1"/>
      </c>
      <c r="FR177">
        <f ca="1"/>
      </c>
      <c r="FS177">
        <f ca="1"/>
      </c>
      <c r="FT177">
        <f ca="1"/>
      </c>
      <c r="FU177">
        <f ca="1"/>
      </c>
      <c r="FV177">
        <f ca="1"/>
      </c>
      <c r="FW177">
        <f ca="1"/>
      </c>
      <c r="FX177">
        <f ca="1"/>
      </c>
      <c r="FY177">
        <f ca="1"/>
      </c>
      <c r="FZ177">
        <f ca="1"/>
      </c>
      <c r="GA177">
        <f ca="1"/>
      </c>
      <c r="GB177">
        <f ca="1"/>
      </c>
      <c r="GC177">
        <f ca="1"/>
      </c>
      <c r="GD177">
        <f ca="1"/>
      </c>
      <c r="GE177">
        <f ca="1"/>
      </c>
      <c r="GF177">
        <f ca="1"/>
      </c>
      <c r="GG177">
        <f ca="1"/>
      </c>
      <c r="GH177">
        <f ca="1"/>
      </c>
      <c r="GI177">
        <f ca="1"/>
      </c>
      <c r="GJ177">
        <f ca="1"/>
      </c>
      <c r="GK177">
        <f ca="1"/>
      </c>
      <c r="GL177">
        <f ca="1"/>
      </c>
      <c r="GM177">
        <f ca="1"/>
      </c>
      <c r="GN177">
        <f ca="1"/>
      </c>
      <c r="GO177">
        <f ca="1"/>
      </c>
      <c r="GP177">
        <f ca="1"/>
      </c>
      <c r="GQ177">
        <f ca="1"/>
      </c>
      <c r="GR177">
        <f ca="1"/>
      </c>
      <c r="GS177">
        <f ca="1"/>
      </c>
      <c r="GT177">
        <f ca="1"/>
      </c>
      <c r="GU177">
        <f ca="1"/>
      </c>
      <c r="GV177">
        <f ca="1"/>
      </c>
      <c r="GW177">
        <f ca="1"/>
      </c>
      <c r="GX177">
        <f ca="1"/>
      </c>
      <c r="GY177">
        <f ca="1"/>
      </c>
      <c r="GZ177">
        <f ca="1"/>
      </c>
      <c r="HA177">
        <f ca="1"/>
      </c>
      <c r="HB177">
        <f ca="1"/>
      </c>
      <c r="HC177">
        <f ca="1"/>
      </c>
      <c r="HD177">
        <f ca="1"/>
      </c>
      <c r="HE177">
        <f ca="1"/>
      </c>
      <c r="HF177">
        <f ca="1"/>
      </c>
      <c r="HG177">
        <f ca="1"/>
      </c>
      <c r="HH177">
        <f ca="1"/>
      </c>
      <c r="HI177">
        <f ca="1"/>
      </c>
      <c r="HJ177">
        <f ca="1"/>
      </c>
      <c r="HK177">
        <f ca="1"/>
      </c>
      <c r="HL177">
        <f ca="1"/>
      </c>
      <c r="HM177">
        <f ca="1"/>
      </c>
      <c r="HN177">
        <f ca="1"/>
      </c>
      <c r="HO177">
        <f ca="1"/>
      </c>
      <c r="HP177">
        <f ca="1"/>
      </c>
      <c r="HQ177">
        <f ca="1"/>
      </c>
      <c r="HR177">
        <f ca="1"/>
      </c>
      <c r="HS177">
        <f ca="1"/>
      </c>
      <c r="HT177">
        <f ca="1"/>
      </c>
      <c r="HU177">
        <f ca="1"/>
      </c>
      <c r="HV177">
        <f ca="1"/>
      </c>
      <c r="HW177">
        <f ca="1"/>
      </c>
      <c r="HX177">
        <f ca="1"/>
      </c>
      <c r="HY177">
        <f ca="1"/>
      </c>
      <c r="HZ177">
        <f ca="1"/>
      </c>
      <c r="IA177">
        <f ca="1"/>
      </c>
      <c r="IB177">
        <f ca="1"/>
      </c>
      <c r="IC177">
        <f ca="1"/>
      </c>
      <c r="ID177">
        <f ca="1"/>
      </c>
      <c r="IE177">
        <f ca="1"/>
      </c>
      <c r="IF177">
        <f ca="1"/>
      </c>
      <c r="IG177">
        <f ca="1"/>
      </c>
      <c r="IH177">
        <f ca="1"/>
      </c>
      <c r="II177">
        <f ca="1"/>
      </c>
      <c r="IJ177">
        <f ca="1"/>
      </c>
      <c r="IK177">
        <f ca="1"/>
      </c>
      <c r="IL177">
        <f ca="1"/>
      </c>
      <c r="IM177">
        <f ca="1"/>
      </c>
      <c r="IN177">
        <f ca="1"/>
      </c>
      <c r="IO177">
        <f ca="1"/>
      </c>
      <c r="IP177">
        <f ca="1"/>
      </c>
      <c r="IQ177">
        <f ca="1"/>
      </c>
      <c r="IR177">
        <f ca="1"/>
      </c>
      <c r="IS177">
        <f ca="1"/>
      </c>
      <c r="IT177">
        <f ca="1"/>
      </c>
      <c r="IU177">
        <f ca="1"/>
      </c>
      <c r="IV177">
        <f ca="1"/>
      </c>
      <c r="IW177">
        <f ca="1"/>
      </c>
      <c r="IX177">
        <f ca="1"/>
      </c>
      <c r="IY177">
        <f ca="1"/>
      </c>
      <c r="IZ177">
        <f ca="1"/>
      </c>
      <c r="JA177">
        <f ca="1"/>
      </c>
      <c r="JB177">
        <f ca="1"/>
      </c>
      <c r="LA177">
        <f ca="1"/>
      </c>
      <c r="LB177">
        <f ca="1"/>
      </c>
      <c r="LC177">
        <f ca="1"/>
      </c>
    </row>
    <row r="178" spans="58:315" x14ac:dyDescent="0.55000000000000004">
      <c r="BF178">
        <f ca="1"/>
      </c>
      <c r="BG178">
        <f ca="1"/>
      </c>
      <c r="BI178">
        <f ca="1"/>
      </c>
      <c r="BJ178" s="11">
        <f ca="1"/>
      </c>
      <c r="BK178" s="11">
        <f ca="1"/>
      </c>
      <c r="BL178" s="11">
        <f ca="1"/>
      </c>
      <c r="BM178" s="11">
        <f ca="1"/>
      </c>
      <c r="BN178" s="11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  <c r="BV178">
        <f ca="1"/>
      </c>
      <c r="BW178">
        <f ca="1"/>
      </c>
      <c r="BX178">
        <f ca="1"/>
      </c>
      <c r="BY178">
        <f ca="1"/>
      </c>
      <c r="BZ178">
        <f ca="1"/>
      </c>
      <c r="CA178">
        <f ca="1"/>
      </c>
      <c r="CB178">
        <f ca="1"/>
      </c>
      <c r="CC178">
        <f ca="1"/>
      </c>
      <c r="CD178">
        <f ca="1"/>
      </c>
      <c r="CE178">
        <f ca="1"/>
      </c>
      <c r="CF178">
        <f ca="1"/>
      </c>
      <c r="CG178">
        <f ca="1"/>
      </c>
      <c r="CH178">
        <f ca="1"/>
      </c>
      <c r="CI178">
        <f ca="1"/>
      </c>
      <c r="CJ178">
        <f ca="1"/>
      </c>
      <c r="CK178">
        <f ca="1"/>
      </c>
      <c r="CL178">
        <f ca="1"/>
      </c>
      <c r="CM178">
        <f ca="1"/>
      </c>
      <c r="CN178">
        <f ca="1"/>
      </c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DQ178">
        <f ca="1"/>
      </c>
      <c r="DR178">
        <f ca="1"/>
      </c>
      <c r="DS178">
        <f ca="1"/>
      </c>
      <c r="DT178">
        <f ca="1"/>
      </c>
      <c r="DU178">
        <f ca="1"/>
      </c>
      <c r="DV178">
        <f ca="1"/>
      </c>
      <c r="DW178">
        <f ca="1"/>
      </c>
      <c r="DX178">
        <f ca="1"/>
      </c>
      <c r="DY178">
        <f ca="1"/>
      </c>
      <c r="DZ178">
        <f ca="1"/>
      </c>
      <c r="EA178">
        <f ca="1"/>
      </c>
      <c r="EB178">
        <f ca="1"/>
      </c>
      <c r="EC178">
        <f ca="1"/>
      </c>
      <c r="ED178">
        <f ca="1"/>
      </c>
      <c r="EE178">
        <f ca="1"/>
      </c>
      <c r="EF178">
        <f ca="1"/>
      </c>
      <c r="EG178">
        <f ca="1"/>
      </c>
      <c r="EH178">
        <f ca="1"/>
      </c>
      <c r="EI178">
        <f ca="1"/>
      </c>
      <c r="EJ178">
        <f ca="1"/>
      </c>
      <c r="EK178">
        <f ca="1"/>
      </c>
      <c r="EL178">
        <f ca="1"/>
      </c>
      <c r="EM178">
        <f ca="1"/>
      </c>
      <c r="EN178">
        <f ca="1"/>
      </c>
      <c r="EO178">
        <f ca="1"/>
      </c>
      <c r="EP178">
        <f ca="1"/>
      </c>
      <c r="EQ178">
        <f ca="1"/>
      </c>
      <c r="ER178">
        <f ca="1"/>
      </c>
      <c r="ES178">
        <f ca="1"/>
      </c>
      <c r="ET178">
        <f ca="1"/>
      </c>
      <c r="EU178">
        <f ca="1"/>
      </c>
      <c r="EV178">
        <f ca="1"/>
      </c>
      <c r="EW178">
        <f ca="1"/>
      </c>
      <c r="EX178">
        <f ca="1"/>
      </c>
      <c r="EY178">
        <f ca="1"/>
      </c>
      <c r="EZ178">
        <f ca="1"/>
      </c>
      <c r="FA178">
        <f ca="1"/>
      </c>
      <c r="FB178">
        <f ca="1"/>
      </c>
      <c r="FC178">
        <f ca="1"/>
      </c>
      <c r="FD178">
        <f ca="1"/>
      </c>
      <c r="FE178">
        <f ca="1"/>
      </c>
      <c r="FF178">
        <f ca="1"/>
      </c>
      <c r="FG178">
        <f ca="1"/>
      </c>
      <c r="FH178">
        <f ca="1"/>
      </c>
      <c r="FI178">
        <f ca="1"/>
      </c>
      <c r="FJ178">
        <f ca="1"/>
      </c>
      <c r="FK178">
        <f ca="1"/>
      </c>
      <c r="FL178">
        <f ca="1"/>
      </c>
      <c r="FM178">
        <f ca="1"/>
      </c>
      <c r="FN178">
        <f ca="1"/>
      </c>
      <c r="FO178">
        <f ca="1"/>
      </c>
      <c r="FP178">
        <f ca="1"/>
      </c>
      <c r="FQ178">
        <f ca="1"/>
      </c>
      <c r="FR178">
        <f ca="1"/>
      </c>
      <c r="FS178">
        <f ca="1"/>
      </c>
      <c r="FT178">
        <f ca="1"/>
      </c>
      <c r="FU178">
        <f ca="1"/>
      </c>
      <c r="FV178">
        <f ca="1"/>
      </c>
      <c r="FW178">
        <f ca="1"/>
      </c>
      <c r="FX178">
        <f ca="1"/>
      </c>
      <c r="FY178">
        <f ca="1"/>
      </c>
      <c r="FZ178">
        <f ca="1"/>
      </c>
      <c r="GA178">
        <f ca="1"/>
      </c>
      <c r="GB178">
        <f ca="1"/>
      </c>
      <c r="GC178">
        <f ca="1"/>
      </c>
      <c r="GD178">
        <f ca="1"/>
      </c>
      <c r="GE178">
        <f ca="1"/>
      </c>
      <c r="GF178">
        <f ca="1"/>
      </c>
      <c r="GG178">
        <f ca="1"/>
      </c>
      <c r="GH178">
        <f ca="1"/>
      </c>
      <c r="GI178">
        <f ca="1"/>
      </c>
      <c r="GJ178">
        <f ca="1"/>
      </c>
      <c r="GK178">
        <f ca="1"/>
      </c>
      <c r="GL178">
        <f ca="1"/>
      </c>
      <c r="GM178">
        <f ca="1"/>
      </c>
      <c r="GN178">
        <f ca="1"/>
      </c>
      <c r="GO178">
        <f ca="1"/>
      </c>
      <c r="GP178">
        <f ca="1"/>
      </c>
      <c r="GQ178">
        <f ca="1"/>
      </c>
      <c r="GR178">
        <f ca="1"/>
      </c>
      <c r="GS178">
        <f ca="1"/>
      </c>
      <c r="GT178">
        <f ca="1"/>
      </c>
      <c r="GU178">
        <f ca="1"/>
      </c>
      <c r="GV178">
        <f ca="1"/>
      </c>
      <c r="GW178">
        <f ca="1"/>
      </c>
      <c r="GX178">
        <f ca="1"/>
      </c>
      <c r="GY178">
        <f ca="1"/>
      </c>
      <c r="GZ178">
        <f ca="1"/>
      </c>
      <c r="HA178">
        <f ca="1"/>
      </c>
      <c r="HB178">
        <f ca="1"/>
      </c>
      <c r="HC178">
        <f ca="1"/>
      </c>
      <c r="HD178">
        <f ca="1"/>
      </c>
      <c r="HE178">
        <f ca="1"/>
      </c>
      <c r="HF178">
        <f ca="1"/>
      </c>
      <c r="HG178">
        <f ca="1"/>
      </c>
      <c r="HH178">
        <f ca="1"/>
      </c>
      <c r="HI178">
        <f ca="1"/>
      </c>
      <c r="HJ178">
        <f ca="1"/>
      </c>
      <c r="HK178">
        <f ca="1"/>
      </c>
      <c r="HL178">
        <f ca="1"/>
      </c>
      <c r="HM178">
        <f ca="1"/>
      </c>
      <c r="HN178">
        <f ca="1"/>
      </c>
      <c r="HO178">
        <f ca="1"/>
      </c>
      <c r="HP178">
        <f ca="1"/>
      </c>
      <c r="HQ178">
        <f ca="1"/>
      </c>
      <c r="HR178">
        <f ca="1"/>
      </c>
      <c r="HS178">
        <f ca="1"/>
      </c>
      <c r="HT178">
        <f ca="1"/>
      </c>
      <c r="HU178">
        <f ca="1"/>
      </c>
      <c r="HV178">
        <f ca="1"/>
      </c>
      <c r="HW178">
        <f ca="1"/>
      </c>
      <c r="HX178">
        <f ca="1"/>
      </c>
      <c r="HY178">
        <f ca="1"/>
      </c>
      <c r="HZ178">
        <f ca="1"/>
      </c>
      <c r="IA178">
        <f ca="1"/>
      </c>
      <c r="IB178">
        <f ca="1"/>
      </c>
      <c r="IC178">
        <f ca="1"/>
      </c>
      <c r="ID178">
        <f ca="1"/>
      </c>
      <c r="IE178">
        <f ca="1"/>
      </c>
      <c r="IF178">
        <f ca="1"/>
      </c>
      <c r="IG178">
        <f ca="1"/>
      </c>
      <c r="IH178">
        <f ca="1"/>
      </c>
      <c r="II178">
        <f ca="1"/>
      </c>
      <c r="IJ178">
        <f ca="1"/>
      </c>
      <c r="IK178">
        <f ca="1"/>
      </c>
      <c r="IL178">
        <f ca="1"/>
      </c>
      <c r="IM178">
        <f ca="1"/>
      </c>
      <c r="IN178">
        <f ca="1"/>
      </c>
      <c r="IO178">
        <f ca="1"/>
      </c>
      <c r="IP178">
        <f ca="1"/>
      </c>
      <c r="IQ178">
        <f ca="1"/>
      </c>
      <c r="IR178">
        <f ca="1"/>
      </c>
      <c r="IS178">
        <f ca="1"/>
      </c>
      <c r="IT178">
        <f ca="1"/>
      </c>
      <c r="IU178">
        <f ca="1"/>
      </c>
      <c r="IV178">
        <f ca="1"/>
      </c>
      <c r="IW178">
        <f ca="1"/>
      </c>
      <c r="IX178">
        <f ca="1"/>
      </c>
      <c r="IY178">
        <f ca="1"/>
      </c>
      <c r="IZ178">
        <f ca="1"/>
      </c>
      <c r="JA178">
        <f ca="1"/>
      </c>
      <c r="JB178">
        <f ca="1"/>
      </c>
      <c r="LA178">
        <f ca="1"/>
      </c>
      <c r="LB178">
        <f ca="1"/>
      </c>
      <c r="LC178">
        <f ca="1"/>
      </c>
    </row>
    <row r="179" spans="58:315" x14ac:dyDescent="0.55000000000000004">
      <c r="BF179">
        <f ca="1"/>
      </c>
      <c r="BG179">
        <f ca="1"/>
      </c>
      <c r="BI179">
        <f ca="1"/>
      </c>
      <c r="BJ179" s="11">
        <f ca="1"/>
      </c>
      <c r="BK179" s="11">
        <f ca="1"/>
      </c>
      <c r="BL179" s="11">
        <f ca="1"/>
      </c>
      <c r="BM179" s="11">
        <f ca="1"/>
      </c>
      <c r="BN179" s="11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  <c r="BV179">
        <f ca="1"/>
      </c>
      <c r="BW179">
        <f ca="1"/>
      </c>
      <c r="BX179">
        <f ca="1"/>
      </c>
      <c r="BY179">
        <f ca="1"/>
      </c>
      <c r="BZ179">
        <f ca="1"/>
      </c>
      <c r="CA179">
        <f ca="1"/>
      </c>
      <c r="CB179">
        <f ca="1"/>
      </c>
      <c r="CC179">
        <f ca="1"/>
      </c>
      <c r="CD179">
        <f ca="1"/>
      </c>
      <c r="CE179">
        <f ca="1"/>
      </c>
      <c r="CF179">
        <f ca="1"/>
      </c>
      <c r="CG179">
        <f ca="1"/>
      </c>
      <c r="CH179">
        <f ca="1"/>
      </c>
      <c r="CI179">
        <f ca="1"/>
      </c>
      <c r="CJ179">
        <f ca="1"/>
      </c>
      <c r="CK179">
        <f ca="1"/>
      </c>
      <c r="CL179">
        <f ca="1"/>
      </c>
      <c r="CM179">
        <f ca="1"/>
      </c>
      <c r="CN179">
        <f ca="1"/>
      </c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DQ179">
        <f ca="1"/>
      </c>
      <c r="DR179">
        <f ca="1"/>
      </c>
      <c r="DS179">
        <f ca="1"/>
      </c>
      <c r="DT179">
        <f ca="1"/>
      </c>
      <c r="DU179">
        <f ca="1"/>
      </c>
      <c r="DV179">
        <f ca="1"/>
      </c>
      <c r="DW179">
        <f ca="1"/>
      </c>
      <c r="DX179">
        <f ca="1"/>
      </c>
      <c r="DY179">
        <f ca="1"/>
      </c>
      <c r="DZ179">
        <f ca="1"/>
      </c>
      <c r="EA179">
        <f ca="1"/>
      </c>
      <c r="EB179">
        <f ca="1"/>
      </c>
      <c r="EC179">
        <f ca="1"/>
      </c>
      <c r="ED179">
        <f ca="1"/>
      </c>
      <c r="EE179">
        <f ca="1"/>
      </c>
      <c r="EF179">
        <f ca="1"/>
      </c>
      <c r="EG179">
        <f ca="1"/>
      </c>
      <c r="EH179">
        <f ca="1"/>
      </c>
      <c r="EI179">
        <f ca="1"/>
      </c>
      <c r="EJ179">
        <f ca="1"/>
      </c>
      <c r="EK179">
        <f ca="1"/>
      </c>
      <c r="EL179">
        <f ca="1"/>
      </c>
      <c r="EM179">
        <f ca="1"/>
      </c>
      <c r="EN179">
        <f ca="1"/>
      </c>
      <c r="EO179">
        <f ca="1"/>
      </c>
      <c r="EP179">
        <f ca="1"/>
      </c>
      <c r="EQ179">
        <f ca="1"/>
      </c>
      <c r="ER179">
        <f ca="1"/>
      </c>
      <c r="ES179">
        <f ca="1"/>
      </c>
      <c r="ET179">
        <f ca="1"/>
      </c>
      <c r="EU179">
        <f ca="1"/>
      </c>
      <c r="EV179">
        <f ca="1"/>
      </c>
      <c r="EW179">
        <f ca="1"/>
      </c>
      <c r="EX179">
        <f ca="1"/>
      </c>
      <c r="EY179">
        <f ca="1"/>
      </c>
      <c r="EZ179">
        <f ca="1"/>
      </c>
      <c r="FA179">
        <f ca="1"/>
      </c>
      <c r="FB179">
        <f ca="1"/>
      </c>
      <c r="FC179">
        <f ca="1"/>
      </c>
      <c r="FD179">
        <f ca="1"/>
      </c>
      <c r="FE179">
        <f ca="1"/>
      </c>
      <c r="FF179">
        <f ca="1"/>
      </c>
      <c r="FG179">
        <f ca="1"/>
      </c>
      <c r="FH179">
        <f ca="1"/>
      </c>
      <c r="FI179">
        <f ca="1"/>
      </c>
      <c r="FJ179">
        <f ca="1"/>
      </c>
      <c r="FK179">
        <f ca="1"/>
      </c>
      <c r="FL179">
        <f ca="1"/>
      </c>
      <c r="FM179">
        <f ca="1"/>
      </c>
      <c r="FN179">
        <f ca="1"/>
      </c>
      <c r="FO179">
        <f ca="1"/>
      </c>
      <c r="FP179">
        <f ca="1"/>
      </c>
      <c r="FQ179">
        <f ca="1"/>
      </c>
      <c r="FR179">
        <f ca="1"/>
      </c>
      <c r="FS179">
        <f ca="1"/>
      </c>
      <c r="FT179">
        <f ca="1"/>
      </c>
      <c r="FU179">
        <f ca="1"/>
      </c>
      <c r="FV179">
        <f ca="1"/>
      </c>
      <c r="FW179">
        <f ca="1"/>
      </c>
      <c r="FX179">
        <f ca="1"/>
      </c>
      <c r="FY179">
        <f ca="1"/>
      </c>
      <c r="FZ179">
        <f ca="1"/>
      </c>
      <c r="GA179">
        <f ca="1"/>
      </c>
      <c r="GB179">
        <f ca="1"/>
      </c>
      <c r="GC179">
        <f ca="1"/>
      </c>
      <c r="GD179">
        <f ca="1"/>
      </c>
      <c r="GE179">
        <f ca="1"/>
      </c>
      <c r="GF179">
        <f ca="1"/>
      </c>
      <c r="GG179">
        <f ca="1"/>
      </c>
      <c r="GH179">
        <f ca="1"/>
      </c>
      <c r="GI179">
        <f ca="1"/>
      </c>
      <c r="GJ179">
        <f ca="1"/>
      </c>
      <c r="GK179">
        <f ca="1"/>
      </c>
      <c r="GL179">
        <f ca="1"/>
      </c>
      <c r="GM179">
        <f ca="1"/>
      </c>
      <c r="GN179">
        <f ca="1"/>
      </c>
      <c r="GO179">
        <f ca="1"/>
      </c>
      <c r="GP179">
        <f ca="1"/>
      </c>
      <c r="GQ179">
        <f ca="1"/>
      </c>
      <c r="GR179">
        <f ca="1"/>
      </c>
      <c r="GS179">
        <f ca="1"/>
      </c>
      <c r="GT179">
        <f ca="1"/>
      </c>
      <c r="GU179">
        <f ca="1"/>
      </c>
      <c r="GV179">
        <f ca="1"/>
      </c>
      <c r="GW179">
        <f ca="1"/>
      </c>
      <c r="GX179">
        <f ca="1"/>
      </c>
      <c r="GY179">
        <f ca="1"/>
      </c>
      <c r="GZ179">
        <f ca="1"/>
      </c>
      <c r="HA179">
        <f ca="1"/>
      </c>
      <c r="HB179">
        <f ca="1"/>
      </c>
      <c r="HC179">
        <f ca="1"/>
      </c>
      <c r="HD179">
        <f ca="1"/>
      </c>
      <c r="HE179">
        <f ca="1"/>
      </c>
      <c r="HF179">
        <f ca="1"/>
      </c>
      <c r="HG179">
        <f ca="1"/>
      </c>
      <c r="HH179">
        <f ca="1"/>
      </c>
      <c r="HI179">
        <f ca="1"/>
      </c>
      <c r="HJ179">
        <f ca="1"/>
      </c>
      <c r="HK179">
        <f ca="1"/>
      </c>
      <c r="HL179">
        <f ca="1"/>
      </c>
      <c r="HM179">
        <f ca="1"/>
      </c>
      <c r="HN179">
        <f ca="1"/>
      </c>
      <c r="HO179">
        <f ca="1"/>
      </c>
      <c r="HP179">
        <f ca="1"/>
      </c>
      <c r="HQ179">
        <f ca="1"/>
      </c>
      <c r="HR179">
        <f ca="1"/>
      </c>
      <c r="HS179">
        <f ca="1"/>
      </c>
      <c r="HT179">
        <f ca="1"/>
      </c>
      <c r="HU179">
        <f ca="1"/>
      </c>
      <c r="HV179">
        <f ca="1"/>
      </c>
      <c r="HW179">
        <f ca="1"/>
      </c>
      <c r="HX179">
        <f ca="1"/>
      </c>
      <c r="HY179">
        <f ca="1"/>
      </c>
      <c r="HZ179">
        <f ca="1"/>
      </c>
      <c r="IA179">
        <f ca="1"/>
      </c>
      <c r="IB179">
        <f ca="1"/>
      </c>
      <c r="IC179">
        <f ca="1"/>
      </c>
      <c r="ID179">
        <f ca="1"/>
      </c>
      <c r="IE179">
        <f ca="1"/>
      </c>
      <c r="IF179">
        <f ca="1"/>
      </c>
      <c r="IG179">
        <f ca="1"/>
      </c>
      <c r="IH179">
        <f ca="1"/>
      </c>
      <c r="II179">
        <f ca="1"/>
      </c>
      <c r="IJ179">
        <f ca="1"/>
      </c>
      <c r="IK179">
        <f ca="1"/>
      </c>
      <c r="IL179">
        <f ca="1"/>
      </c>
      <c r="IM179">
        <f ca="1"/>
      </c>
      <c r="IN179">
        <f ca="1"/>
      </c>
      <c r="IO179">
        <f ca="1"/>
      </c>
      <c r="IP179">
        <f ca="1"/>
      </c>
      <c r="IQ179">
        <f ca="1"/>
      </c>
      <c r="IR179">
        <f ca="1"/>
      </c>
      <c r="IS179">
        <f ca="1"/>
      </c>
      <c r="IT179">
        <f ca="1"/>
      </c>
      <c r="IU179">
        <f ca="1"/>
      </c>
      <c r="IV179">
        <f ca="1"/>
      </c>
      <c r="IW179">
        <f ca="1"/>
      </c>
      <c r="IX179">
        <f ca="1"/>
      </c>
      <c r="IY179">
        <f ca="1"/>
      </c>
      <c r="IZ179">
        <f ca="1"/>
      </c>
      <c r="JA179">
        <f ca="1"/>
      </c>
      <c r="JB179">
        <f ca="1"/>
      </c>
      <c r="LA179">
        <f ca="1"/>
      </c>
      <c r="LB179">
        <f ca="1"/>
      </c>
      <c r="LC179">
        <f ca="1"/>
      </c>
    </row>
    <row r="180" spans="58:315" x14ac:dyDescent="0.55000000000000004">
      <c r="BF180">
        <f ca="1"/>
      </c>
      <c r="BG180">
        <f ca="1"/>
      </c>
      <c r="BI180">
        <f ca="1"/>
      </c>
      <c r="BJ180" s="11">
        <f ca="1"/>
      </c>
      <c r="BK180" s="11">
        <f ca="1"/>
      </c>
      <c r="BL180" s="11">
        <f ca="1"/>
      </c>
      <c r="BM180" s="11">
        <f ca="1"/>
      </c>
      <c r="BN180" s="11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  <c r="BV180">
        <f ca="1"/>
      </c>
      <c r="BW180">
        <f ca="1"/>
      </c>
      <c r="BX180">
        <f ca="1"/>
      </c>
      <c r="BY180">
        <f ca="1"/>
      </c>
      <c r="BZ180">
        <f ca="1"/>
      </c>
      <c r="CA180">
        <f ca="1"/>
      </c>
      <c r="CB180">
        <f ca="1"/>
      </c>
      <c r="CC180">
        <f ca="1"/>
      </c>
      <c r="CD180">
        <f ca="1"/>
      </c>
      <c r="CE180">
        <f ca="1"/>
      </c>
      <c r="CF180">
        <f ca="1"/>
      </c>
      <c r="CG180">
        <f ca="1"/>
      </c>
      <c r="CH180">
        <f ca="1"/>
      </c>
      <c r="CI180">
        <f ca="1"/>
      </c>
      <c r="CJ180">
        <f ca="1"/>
      </c>
      <c r="CK180">
        <f ca="1"/>
      </c>
      <c r="CL180">
        <f ca="1"/>
      </c>
      <c r="CM180">
        <f ca="1"/>
      </c>
      <c r="CN180">
        <f ca="1"/>
      </c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DQ180">
        <f ca="1"/>
      </c>
      <c r="DR180">
        <f ca="1"/>
      </c>
      <c r="DS180">
        <f ca="1"/>
      </c>
      <c r="DT180">
        <f ca="1"/>
      </c>
      <c r="DU180">
        <f ca="1"/>
      </c>
      <c r="DV180">
        <f ca="1"/>
      </c>
      <c r="DW180">
        <f ca="1"/>
      </c>
      <c r="DX180">
        <f ca="1"/>
      </c>
      <c r="DY180">
        <f ca="1"/>
      </c>
      <c r="DZ180">
        <f ca="1"/>
      </c>
      <c r="EA180">
        <f ca="1"/>
      </c>
      <c r="EB180">
        <f ca="1"/>
      </c>
      <c r="EC180">
        <f ca="1"/>
      </c>
      <c r="ED180">
        <f ca="1"/>
      </c>
      <c r="EE180">
        <f ca="1"/>
      </c>
      <c r="EF180">
        <f ca="1"/>
      </c>
      <c r="EG180">
        <f ca="1"/>
      </c>
      <c r="EH180">
        <f ca="1"/>
      </c>
      <c r="EI180">
        <f ca="1"/>
      </c>
      <c r="EJ180">
        <f ca="1"/>
      </c>
      <c r="EK180">
        <f ca="1"/>
      </c>
      <c r="EL180">
        <f ca="1"/>
      </c>
      <c r="EM180">
        <f ca="1"/>
      </c>
      <c r="EN180">
        <f ca="1"/>
      </c>
      <c r="EO180">
        <f ca="1"/>
      </c>
      <c r="EP180">
        <f ca="1"/>
      </c>
      <c r="EQ180">
        <f ca="1"/>
      </c>
      <c r="ER180">
        <f ca="1"/>
      </c>
      <c r="ES180">
        <f ca="1"/>
      </c>
      <c r="ET180">
        <f ca="1"/>
      </c>
      <c r="EU180">
        <f ca="1"/>
      </c>
      <c r="EV180">
        <f ca="1"/>
      </c>
      <c r="EW180">
        <f ca="1"/>
      </c>
      <c r="EX180">
        <f ca="1"/>
      </c>
      <c r="EY180">
        <f ca="1"/>
      </c>
      <c r="EZ180">
        <f ca="1"/>
      </c>
      <c r="FA180">
        <f ca="1"/>
      </c>
      <c r="FB180">
        <f ca="1"/>
      </c>
      <c r="FC180">
        <f ca="1"/>
      </c>
      <c r="FD180">
        <f ca="1"/>
      </c>
      <c r="FE180">
        <f ca="1"/>
      </c>
      <c r="FF180">
        <f ca="1"/>
      </c>
      <c r="FG180">
        <f ca="1"/>
      </c>
      <c r="FH180">
        <f ca="1"/>
      </c>
      <c r="FI180">
        <f ca="1"/>
      </c>
      <c r="FJ180">
        <f ca="1"/>
      </c>
      <c r="FK180">
        <f ca="1"/>
      </c>
      <c r="FL180">
        <f ca="1"/>
      </c>
      <c r="FM180">
        <f ca="1"/>
      </c>
      <c r="FN180">
        <f ca="1"/>
      </c>
      <c r="FO180">
        <f ca="1"/>
      </c>
      <c r="FP180">
        <f ca="1"/>
      </c>
      <c r="FQ180">
        <f ca="1"/>
      </c>
      <c r="FR180">
        <f ca="1"/>
      </c>
      <c r="FS180">
        <f ca="1"/>
      </c>
      <c r="FT180">
        <f ca="1"/>
      </c>
      <c r="FU180">
        <f ca="1"/>
      </c>
      <c r="FV180">
        <f ca="1"/>
      </c>
      <c r="FW180">
        <f ca="1"/>
      </c>
      <c r="FX180">
        <f ca="1"/>
      </c>
      <c r="FY180">
        <f ca="1"/>
      </c>
      <c r="FZ180">
        <f ca="1"/>
      </c>
      <c r="GA180">
        <f ca="1"/>
      </c>
      <c r="GB180">
        <f ca="1"/>
      </c>
      <c r="GC180">
        <f ca="1"/>
      </c>
      <c r="GD180">
        <f ca="1"/>
      </c>
      <c r="GE180">
        <f ca="1"/>
      </c>
      <c r="GF180">
        <f ca="1"/>
      </c>
      <c r="GG180">
        <f ca="1"/>
      </c>
      <c r="GH180">
        <f ca="1"/>
      </c>
      <c r="GI180">
        <f ca="1"/>
      </c>
      <c r="GJ180">
        <f ca="1"/>
      </c>
      <c r="GK180">
        <f ca="1"/>
      </c>
      <c r="GL180">
        <f ca="1"/>
      </c>
      <c r="GM180">
        <f ca="1"/>
      </c>
      <c r="GN180">
        <f ca="1"/>
      </c>
      <c r="GO180">
        <f ca="1"/>
      </c>
      <c r="GP180">
        <f ca="1"/>
      </c>
      <c r="GQ180">
        <f ca="1"/>
      </c>
      <c r="GR180">
        <f ca="1"/>
      </c>
      <c r="GS180">
        <f ca="1"/>
      </c>
      <c r="GT180">
        <f ca="1"/>
      </c>
      <c r="GU180">
        <f ca="1"/>
      </c>
      <c r="GV180">
        <f ca="1"/>
      </c>
      <c r="GW180">
        <f ca="1"/>
      </c>
      <c r="GX180">
        <f ca="1"/>
      </c>
      <c r="GY180">
        <f ca="1"/>
      </c>
      <c r="GZ180">
        <f ca="1"/>
      </c>
      <c r="HA180">
        <f ca="1"/>
      </c>
      <c r="HB180">
        <f ca="1"/>
      </c>
      <c r="HC180">
        <f ca="1"/>
      </c>
      <c r="HD180">
        <f ca="1"/>
      </c>
      <c r="HE180">
        <f ca="1"/>
      </c>
      <c r="HF180">
        <f ca="1"/>
      </c>
      <c r="HG180">
        <f ca="1"/>
      </c>
      <c r="HH180">
        <f ca="1"/>
      </c>
      <c r="HI180">
        <f ca="1"/>
      </c>
      <c r="HJ180">
        <f ca="1"/>
      </c>
      <c r="HK180">
        <f ca="1"/>
      </c>
      <c r="HL180">
        <f ca="1"/>
      </c>
      <c r="HM180">
        <f ca="1"/>
      </c>
      <c r="HN180">
        <f ca="1"/>
      </c>
      <c r="HO180">
        <f ca="1"/>
      </c>
      <c r="HP180">
        <f ca="1"/>
      </c>
      <c r="HQ180">
        <f ca="1"/>
      </c>
      <c r="HR180">
        <f ca="1"/>
      </c>
      <c r="HS180">
        <f ca="1"/>
      </c>
      <c r="HT180">
        <f ca="1"/>
      </c>
      <c r="HU180">
        <f ca="1"/>
      </c>
      <c r="HV180">
        <f ca="1"/>
      </c>
      <c r="HW180">
        <f ca="1"/>
      </c>
      <c r="HX180">
        <f ca="1"/>
      </c>
      <c r="HY180">
        <f ca="1"/>
      </c>
      <c r="HZ180">
        <f ca="1"/>
      </c>
      <c r="IA180">
        <f ca="1"/>
      </c>
      <c r="IB180">
        <f ca="1"/>
      </c>
      <c r="IC180">
        <f ca="1"/>
      </c>
      <c r="ID180">
        <f ca="1"/>
      </c>
      <c r="IE180">
        <f ca="1"/>
      </c>
      <c r="IF180">
        <f ca="1"/>
      </c>
      <c r="IG180">
        <f ca="1"/>
      </c>
      <c r="IH180">
        <f ca="1"/>
      </c>
      <c r="II180">
        <f ca="1"/>
      </c>
      <c r="IJ180">
        <f ca="1"/>
      </c>
      <c r="IK180">
        <f ca="1"/>
      </c>
      <c r="IL180">
        <f ca="1"/>
      </c>
      <c r="IM180">
        <f ca="1"/>
      </c>
      <c r="IN180">
        <f ca="1"/>
      </c>
      <c r="IO180">
        <f ca="1"/>
      </c>
      <c r="IP180">
        <f ca="1"/>
      </c>
      <c r="IQ180">
        <f ca="1"/>
      </c>
      <c r="IR180">
        <f ca="1"/>
      </c>
      <c r="IS180">
        <f ca="1"/>
      </c>
      <c r="IT180">
        <f ca="1"/>
      </c>
      <c r="IU180">
        <f ca="1"/>
      </c>
      <c r="IV180">
        <f ca="1"/>
      </c>
      <c r="IW180">
        <f ca="1"/>
      </c>
      <c r="IX180">
        <f ca="1"/>
      </c>
      <c r="IY180">
        <f ca="1"/>
      </c>
      <c r="IZ180">
        <f ca="1"/>
      </c>
      <c r="JA180">
        <f ca="1"/>
      </c>
      <c r="JB180">
        <f ca="1"/>
      </c>
      <c r="LA180">
        <f ca="1"/>
      </c>
      <c r="LB180">
        <f ca="1"/>
      </c>
      <c r="LC180">
        <f ca="1"/>
      </c>
    </row>
    <row r="181" spans="58:315" x14ac:dyDescent="0.55000000000000004">
      <c r="BF181">
        <f ca="1"/>
      </c>
      <c r="BG181">
        <f ca="1"/>
      </c>
      <c r="BI181">
        <f ca="1"/>
      </c>
      <c r="BJ181" s="11">
        <f ca="1"/>
      </c>
      <c r="BK181" s="11">
        <f ca="1"/>
      </c>
      <c r="BL181" s="11">
        <f ca="1"/>
      </c>
      <c r="BM181" s="11">
        <f ca="1"/>
      </c>
      <c r="BN181" s="1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  <c r="BV181">
        <f ca="1"/>
      </c>
      <c r="BW181">
        <f ca="1"/>
      </c>
      <c r="BX181">
        <f ca="1"/>
      </c>
      <c r="BY181">
        <f ca="1"/>
      </c>
      <c r="BZ181">
        <f ca="1"/>
      </c>
      <c r="CA181">
        <f ca="1"/>
      </c>
      <c r="CB181">
        <f ca="1"/>
      </c>
      <c r="CC181">
        <f ca="1"/>
      </c>
      <c r="CD181">
        <f ca="1"/>
      </c>
      <c r="CE181">
        <f ca="1"/>
      </c>
      <c r="CF181">
        <f ca="1"/>
      </c>
      <c r="CG181">
        <f ca="1"/>
      </c>
      <c r="CH181">
        <f ca="1"/>
      </c>
      <c r="CI181">
        <f ca="1"/>
      </c>
      <c r="CJ181">
        <f ca="1"/>
      </c>
      <c r="CK181">
        <f ca="1"/>
      </c>
      <c r="CL181">
        <f ca="1"/>
      </c>
      <c r="CM181">
        <f ca="1"/>
      </c>
      <c r="CN181">
        <f ca="1"/>
      </c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DQ181">
        <f ca="1"/>
      </c>
      <c r="DR181">
        <f ca="1"/>
      </c>
      <c r="DS181">
        <f ca="1"/>
      </c>
      <c r="DT181">
        <f ca="1"/>
      </c>
      <c r="DU181">
        <f ca="1"/>
      </c>
      <c r="DV181">
        <f ca="1"/>
      </c>
      <c r="DW181">
        <f ca="1"/>
      </c>
      <c r="DX181">
        <f ca="1"/>
      </c>
      <c r="DY181">
        <f ca="1"/>
      </c>
      <c r="DZ181">
        <f ca="1"/>
      </c>
      <c r="EA181">
        <f ca="1"/>
      </c>
      <c r="EB181">
        <f ca="1"/>
      </c>
      <c r="EC181">
        <f ca="1"/>
      </c>
      <c r="ED181">
        <f ca="1"/>
      </c>
      <c r="EE181">
        <f ca="1"/>
      </c>
      <c r="EF181">
        <f ca="1"/>
      </c>
      <c r="EG181">
        <f ca="1"/>
      </c>
      <c r="EH181">
        <f ca="1"/>
      </c>
      <c r="EI181">
        <f ca="1"/>
      </c>
      <c r="EJ181">
        <f ca="1"/>
      </c>
      <c r="EK181">
        <f ca="1"/>
      </c>
      <c r="EL181">
        <f ca="1"/>
      </c>
      <c r="EM181">
        <f ca="1"/>
      </c>
      <c r="EN181">
        <f ca="1"/>
      </c>
      <c r="EO181">
        <f ca="1"/>
      </c>
      <c r="EP181">
        <f ca="1"/>
      </c>
      <c r="EQ181">
        <f ca="1"/>
      </c>
      <c r="ER181">
        <f ca="1"/>
      </c>
      <c r="ES181">
        <f ca="1"/>
      </c>
      <c r="ET181">
        <f ca="1"/>
      </c>
      <c r="EU181">
        <f ca="1"/>
      </c>
      <c r="EV181">
        <f ca="1"/>
      </c>
      <c r="EW181">
        <f ca="1"/>
      </c>
      <c r="EX181">
        <f ca="1"/>
      </c>
      <c r="EY181">
        <f ca="1"/>
      </c>
      <c r="EZ181">
        <f ca="1"/>
      </c>
      <c r="FA181">
        <f ca="1"/>
      </c>
      <c r="FB181">
        <f ca="1"/>
      </c>
      <c r="FC181">
        <f ca="1"/>
      </c>
      <c r="FD181">
        <f ca="1"/>
      </c>
      <c r="FE181">
        <f ca="1"/>
      </c>
      <c r="FF181">
        <f ca="1"/>
      </c>
      <c r="FG181">
        <f ca="1"/>
      </c>
      <c r="FH181">
        <f ca="1"/>
      </c>
      <c r="FI181">
        <f ca="1"/>
      </c>
      <c r="FJ181">
        <f ca="1"/>
      </c>
      <c r="FK181">
        <f ca="1"/>
      </c>
      <c r="FL181">
        <f ca="1"/>
      </c>
      <c r="FM181">
        <f ca="1"/>
      </c>
      <c r="FN181">
        <f ca="1"/>
      </c>
      <c r="FO181">
        <f ca="1"/>
      </c>
      <c r="FP181">
        <f ca="1"/>
      </c>
      <c r="FQ181">
        <f ca="1"/>
      </c>
      <c r="FR181">
        <f ca="1"/>
      </c>
      <c r="FS181">
        <f ca="1"/>
      </c>
      <c r="FT181">
        <f ca="1"/>
      </c>
      <c r="FU181">
        <f ca="1"/>
      </c>
      <c r="FV181">
        <f ca="1"/>
      </c>
      <c r="FW181">
        <f ca="1"/>
      </c>
      <c r="FX181">
        <f ca="1"/>
      </c>
      <c r="FY181">
        <f ca="1"/>
      </c>
      <c r="FZ181">
        <f ca="1"/>
      </c>
      <c r="GA181">
        <f ca="1"/>
      </c>
      <c r="GB181">
        <f ca="1"/>
      </c>
      <c r="GC181">
        <f ca="1"/>
      </c>
      <c r="GD181">
        <f ca="1"/>
      </c>
      <c r="GE181">
        <f ca="1"/>
      </c>
      <c r="GF181">
        <f ca="1"/>
      </c>
      <c r="GG181">
        <f ca="1"/>
      </c>
      <c r="GH181">
        <f ca="1"/>
      </c>
      <c r="GI181">
        <f ca="1"/>
      </c>
      <c r="GJ181">
        <f ca="1"/>
      </c>
      <c r="GK181">
        <f ca="1"/>
      </c>
      <c r="GL181">
        <f ca="1"/>
      </c>
      <c r="GM181">
        <f ca="1"/>
      </c>
      <c r="GN181">
        <f ca="1"/>
      </c>
      <c r="GO181">
        <f ca="1"/>
      </c>
      <c r="GP181">
        <f ca="1"/>
      </c>
      <c r="GQ181">
        <f ca="1"/>
      </c>
      <c r="GR181">
        <f ca="1"/>
      </c>
      <c r="GS181">
        <f ca="1"/>
      </c>
      <c r="GT181">
        <f ca="1"/>
      </c>
      <c r="GU181">
        <f ca="1"/>
      </c>
      <c r="GV181">
        <f ca="1"/>
      </c>
      <c r="GW181">
        <f ca="1"/>
      </c>
      <c r="GX181">
        <f ca="1"/>
      </c>
      <c r="GY181">
        <f ca="1"/>
      </c>
      <c r="GZ181">
        <f ca="1"/>
      </c>
      <c r="HA181">
        <f ca="1"/>
      </c>
      <c r="HB181">
        <f ca="1"/>
      </c>
      <c r="HC181">
        <f ca="1"/>
      </c>
      <c r="HD181">
        <f ca="1"/>
      </c>
      <c r="HE181">
        <f ca="1"/>
      </c>
      <c r="HF181">
        <f ca="1"/>
      </c>
      <c r="HG181">
        <f ca="1"/>
      </c>
      <c r="HH181">
        <f ca="1"/>
      </c>
      <c r="HI181">
        <f ca="1"/>
      </c>
      <c r="HJ181">
        <f ca="1"/>
      </c>
      <c r="HK181">
        <f ca="1"/>
      </c>
      <c r="HL181">
        <f ca="1"/>
      </c>
      <c r="HM181">
        <f ca="1"/>
      </c>
      <c r="HN181">
        <f ca="1"/>
      </c>
      <c r="HO181">
        <f ca="1"/>
      </c>
      <c r="HP181">
        <f ca="1"/>
      </c>
      <c r="HQ181">
        <f ca="1"/>
      </c>
      <c r="HR181">
        <f ca="1"/>
      </c>
      <c r="HS181">
        <f ca="1"/>
      </c>
      <c r="HT181">
        <f ca="1"/>
      </c>
      <c r="HU181">
        <f ca="1"/>
      </c>
      <c r="HV181">
        <f ca="1"/>
      </c>
      <c r="HW181">
        <f ca="1"/>
      </c>
      <c r="HX181">
        <f ca="1"/>
      </c>
      <c r="HY181">
        <f ca="1"/>
      </c>
      <c r="HZ181">
        <f ca="1"/>
      </c>
      <c r="IA181">
        <f ca="1"/>
      </c>
      <c r="IB181">
        <f ca="1"/>
      </c>
      <c r="IC181">
        <f ca="1"/>
      </c>
      <c r="ID181">
        <f ca="1"/>
      </c>
      <c r="IE181">
        <f ca="1"/>
      </c>
      <c r="IF181">
        <f ca="1"/>
      </c>
      <c r="IG181">
        <f ca="1"/>
      </c>
      <c r="IH181">
        <f ca="1"/>
      </c>
      <c r="II181">
        <f ca="1"/>
      </c>
      <c r="IJ181">
        <f ca="1"/>
      </c>
      <c r="IK181">
        <f ca="1"/>
      </c>
      <c r="IL181">
        <f ca="1"/>
      </c>
      <c r="IM181">
        <f ca="1"/>
      </c>
      <c r="IN181">
        <f ca="1"/>
      </c>
      <c r="IO181">
        <f ca="1"/>
      </c>
      <c r="IP181">
        <f ca="1"/>
      </c>
      <c r="IQ181">
        <f ca="1"/>
      </c>
      <c r="IR181">
        <f ca="1"/>
      </c>
      <c r="IS181">
        <f ca="1"/>
      </c>
      <c r="IT181">
        <f ca="1"/>
      </c>
      <c r="IU181">
        <f ca="1"/>
      </c>
      <c r="IV181">
        <f ca="1"/>
      </c>
      <c r="IW181">
        <f ca="1"/>
      </c>
      <c r="IX181">
        <f ca="1"/>
      </c>
      <c r="IY181">
        <f ca="1"/>
      </c>
      <c r="IZ181">
        <f ca="1"/>
      </c>
      <c r="JA181">
        <f ca="1"/>
      </c>
      <c r="JB181">
        <f ca="1"/>
      </c>
      <c r="LA181">
        <f ca="1"/>
      </c>
      <c r="LB181">
        <f ca="1"/>
      </c>
      <c r="LC181">
        <f ca="1"/>
      </c>
    </row>
    <row r="182" spans="58:315" x14ac:dyDescent="0.55000000000000004">
      <c r="BF182">
        <f ca="1"/>
      </c>
      <c r="BG182">
        <f ca="1"/>
      </c>
      <c r="BI182">
        <f ca="1"/>
      </c>
      <c r="BJ182" s="11">
        <f ca="1"/>
      </c>
      <c r="BK182" s="11">
        <f ca="1"/>
      </c>
      <c r="BL182" s="11">
        <f ca="1"/>
      </c>
      <c r="BM182" s="11">
        <f ca="1"/>
      </c>
      <c r="BN182" s="11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  <c r="BV182">
        <f ca="1"/>
      </c>
      <c r="BW182">
        <f ca="1"/>
      </c>
      <c r="BX182">
        <f ca="1"/>
      </c>
      <c r="BY182">
        <f ca="1"/>
      </c>
      <c r="BZ182">
        <f ca="1"/>
      </c>
      <c r="CA182">
        <f ca="1"/>
      </c>
      <c r="CB182">
        <f ca="1"/>
      </c>
      <c r="CC182">
        <f ca="1"/>
      </c>
      <c r="CD182">
        <f ca="1"/>
      </c>
      <c r="CE182">
        <f ca="1"/>
      </c>
      <c r="CF182">
        <f ca="1"/>
      </c>
      <c r="CG182">
        <f ca="1"/>
      </c>
      <c r="CH182">
        <f ca="1"/>
      </c>
      <c r="CI182">
        <f ca="1"/>
      </c>
      <c r="CJ182">
        <f ca="1"/>
      </c>
      <c r="CK182">
        <f ca="1"/>
      </c>
      <c r="CL182">
        <f ca="1"/>
      </c>
      <c r="CM182">
        <f ca="1"/>
      </c>
      <c r="CN182">
        <f ca="1"/>
      </c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DQ182">
        <f ca="1"/>
      </c>
      <c r="DR182">
        <f ca="1"/>
      </c>
      <c r="DS182">
        <f ca="1"/>
      </c>
      <c r="DT182">
        <f ca="1"/>
      </c>
      <c r="DU182">
        <f ca="1"/>
      </c>
      <c r="DV182">
        <f ca="1"/>
      </c>
      <c r="DW182">
        <f ca="1"/>
      </c>
      <c r="DX182">
        <f ca="1"/>
      </c>
      <c r="DY182">
        <f ca="1"/>
      </c>
      <c r="DZ182">
        <f ca="1"/>
      </c>
      <c r="EA182">
        <f ca="1"/>
      </c>
      <c r="EB182">
        <f ca="1"/>
      </c>
      <c r="EC182">
        <f ca="1"/>
      </c>
      <c r="ED182">
        <f ca="1"/>
      </c>
      <c r="EE182">
        <f ca="1"/>
      </c>
      <c r="EF182">
        <f ca="1"/>
      </c>
      <c r="EG182">
        <f ca="1"/>
      </c>
      <c r="EH182">
        <f ca="1"/>
      </c>
      <c r="EI182">
        <f ca="1"/>
      </c>
      <c r="EJ182">
        <f ca="1"/>
      </c>
      <c r="EK182">
        <f ca="1"/>
      </c>
      <c r="EL182">
        <f ca="1"/>
      </c>
      <c r="EM182">
        <f ca="1"/>
      </c>
      <c r="EN182">
        <f ca="1"/>
      </c>
      <c r="EO182">
        <f ca="1"/>
      </c>
      <c r="EP182">
        <f ca="1"/>
      </c>
      <c r="EQ182">
        <f ca="1"/>
      </c>
      <c r="ER182">
        <f ca="1"/>
      </c>
      <c r="ES182">
        <f ca="1"/>
      </c>
      <c r="ET182">
        <f ca="1"/>
      </c>
      <c r="EU182">
        <f ca="1"/>
      </c>
      <c r="EV182">
        <f ca="1"/>
      </c>
      <c r="EW182">
        <f ca="1"/>
      </c>
      <c r="EX182">
        <f ca="1"/>
      </c>
      <c r="EY182">
        <f ca="1"/>
      </c>
      <c r="EZ182">
        <f ca="1"/>
      </c>
      <c r="FA182">
        <f ca="1"/>
      </c>
      <c r="FB182">
        <f ca="1"/>
      </c>
      <c r="FC182">
        <f ca="1"/>
      </c>
      <c r="FD182">
        <f ca="1"/>
      </c>
      <c r="FE182">
        <f ca="1"/>
      </c>
      <c r="FF182">
        <f ca="1"/>
      </c>
      <c r="FG182">
        <f ca="1"/>
      </c>
      <c r="FH182">
        <f ca="1"/>
      </c>
      <c r="FI182">
        <f ca="1"/>
      </c>
      <c r="FJ182">
        <f ca="1"/>
      </c>
      <c r="FK182">
        <f ca="1"/>
      </c>
      <c r="FL182">
        <f ca="1"/>
      </c>
      <c r="FM182">
        <f ca="1"/>
      </c>
      <c r="FN182">
        <f ca="1"/>
      </c>
      <c r="FO182">
        <f ca="1"/>
      </c>
      <c r="FP182">
        <f ca="1"/>
      </c>
      <c r="FQ182">
        <f ca="1"/>
      </c>
      <c r="FR182">
        <f ca="1"/>
      </c>
      <c r="FS182">
        <f ca="1"/>
      </c>
      <c r="FT182">
        <f ca="1"/>
      </c>
      <c r="FU182">
        <f ca="1"/>
      </c>
      <c r="FV182">
        <f ca="1"/>
      </c>
      <c r="FW182">
        <f ca="1"/>
      </c>
      <c r="FX182">
        <f ca="1"/>
      </c>
      <c r="FY182">
        <f ca="1"/>
      </c>
      <c r="FZ182">
        <f ca="1"/>
      </c>
      <c r="GA182">
        <f ca="1"/>
      </c>
      <c r="GB182">
        <f ca="1"/>
      </c>
      <c r="GC182">
        <f ca="1"/>
      </c>
      <c r="GD182">
        <f ca="1"/>
      </c>
      <c r="GE182">
        <f ca="1"/>
      </c>
      <c r="GF182">
        <f ca="1"/>
      </c>
      <c r="GG182">
        <f ca="1"/>
      </c>
      <c r="GH182">
        <f ca="1"/>
      </c>
      <c r="GI182">
        <f ca="1"/>
      </c>
      <c r="GJ182">
        <f ca="1"/>
      </c>
      <c r="GK182">
        <f ca="1"/>
      </c>
      <c r="GL182">
        <f ca="1"/>
      </c>
      <c r="GM182">
        <f ca="1"/>
      </c>
      <c r="GN182">
        <f ca="1"/>
      </c>
      <c r="GO182">
        <f ca="1"/>
      </c>
      <c r="GP182">
        <f ca="1"/>
      </c>
      <c r="GQ182">
        <f ca="1"/>
      </c>
      <c r="GR182">
        <f ca="1"/>
      </c>
      <c r="GS182">
        <f ca="1"/>
      </c>
      <c r="GT182">
        <f ca="1"/>
      </c>
      <c r="GU182">
        <f ca="1"/>
      </c>
      <c r="GV182">
        <f ca="1"/>
      </c>
      <c r="GW182">
        <f ca="1"/>
      </c>
      <c r="GX182">
        <f ca="1"/>
      </c>
      <c r="GY182">
        <f ca="1"/>
      </c>
      <c r="GZ182">
        <f ca="1"/>
      </c>
      <c r="HA182">
        <f ca="1"/>
      </c>
      <c r="HB182">
        <f ca="1"/>
      </c>
      <c r="HC182">
        <f ca="1"/>
      </c>
      <c r="HD182">
        <f ca="1"/>
      </c>
      <c r="HE182">
        <f ca="1"/>
      </c>
      <c r="HF182">
        <f ca="1"/>
      </c>
      <c r="HG182">
        <f ca="1"/>
      </c>
      <c r="HH182">
        <f ca="1"/>
      </c>
      <c r="HI182">
        <f ca="1"/>
      </c>
      <c r="HJ182">
        <f ca="1"/>
      </c>
      <c r="HK182">
        <f ca="1"/>
      </c>
      <c r="HL182">
        <f ca="1"/>
      </c>
      <c r="HM182">
        <f ca="1"/>
      </c>
      <c r="HN182">
        <f ca="1"/>
      </c>
      <c r="HO182">
        <f ca="1"/>
      </c>
      <c r="HP182">
        <f ca="1"/>
      </c>
      <c r="HQ182">
        <f ca="1"/>
      </c>
      <c r="HR182">
        <f ca="1"/>
      </c>
      <c r="HS182">
        <f ca="1"/>
      </c>
      <c r="HT182">
        <f ca="1"/>
      </c>
      <c r="HU182">
        <f ca="1"/>
      </c>
      <c r="HV182">
        <f ca="1"/>
      </c>
      <c r="HW182">
        <f ca="1"/>
      </c>
      <c r="HX182">
        <f ca="1"/>
      </c>
      <c r="HY182">
        <f ca="1"/>
      </c>
      <c r="HZ182">
        <f ca="1"/>
      </c>
      <c r="IA182">
        <f ca="1"/>
      </c>
      <c r="IB182">
        <f ca="1"/>
      </c>
      <c r="IC182">
        <f ca="1"/>
      </c>
      <c r="ID182">
        <f ca="1"/>
      </c>
      <c r="IE182">
        <f ca="1"/>
      </c>
      <c r="IF182">
        <f ca="1"/>
      </c>
      <c r="IG182">
        <f ca="1"/>
      </c>
      <c r="IH182">
        <f ca="1"/>
      </c>
      <c r="II182">
        <f ca="1"/>
      </c>
      <c r="IJ182">
        <f ca="1"/>
      </c>
      <c r="IK182">
        <f ca="1"/>
      </c>
      <c r="IL182">
        <f ca="1"/>
      </c>
      <c r="IM182">
        <f ca="1"/>
      </c>
      <c r="IN182">
        <f ca="1"/>
      </c>
      <c r="IO182">
        <f ca="1"/>
      </c>
      <c r="IP182">
        <f ca="1"/>
      </c>
      <c r="IQ182">
        <f ca="1"/>
      </c>
      <c r="IR182">
        <f ca="1"/>
      </c>
      <c r="IS182">
        <f ca="1"/>
      </c>
      <c r="IT182">
        <f ca="1"/>
      </c>
      <c r="IU182">
        <f ca="1"/>
      </c>
      <c r="IV182">
        <f ca="1"/>
      </c>
      <c r="IW182">
        <f ca="1"/>
      </c>
      <c r="IX182">
        <f ca="1"/>
      </c>
      <c r="IY182">
        <f ca="1"/>
      </c>
      <c r="IZ182">
        <f ca="1"/>
      </c>
      <c r="JA182">
        <f ca="1"/>
      </c>
      <c r="JB182">
        <f ca="1"/>
      </c>
      <c r="LA182">
        <f ca="1"/>
      </c>
      <c r="LB182">
        <f ca="1"/>
      </c>
      <c r="LC182">
        <f ca="1"/>
      </c>
    </row>
    <row r="183" spans="58:315" x14ac:dyDescent="0.55000000000000004">
      <c r="BF183">
        <f ca="1"/>
      </c>
      <c r="BG183">
        <f ca="1"/>
      </c>
      <c r="BI183">
        <f ca="1"/>
      </c>
      <c r="BJ183" s="11">
        <f ca="1"/>
      </c>
      <c r="BK183" s="11">
        <f ca="1"/>
      </c>
      <c r="BL183" s="11">
        <f ca="1"/>
      </c>
      <c r="BM183" s="11">
        <f ca="1"/>
      </c>
      <c r="BN183" s="11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  <c r="BV183">
        <f ca="1"/>
      </c>
      <c r="BW183">
        <f ca="1"/>
      </c>
      <c r="BX183">
        <f ca="1"/>
      </c>
      <c r="BY183">
        <f ca="1"/>
      </c>
      <c r="BZ183">
        <f ca="1"/>
      </c>
      <c r="CA183">
        <f ca="1"/>
      </c>
      <c r="CB183">
        <f ca="1"/>
      </c>
      <c r="CC183">
        <f ca="1"/>
      </c>
      <c r="CD183">
        <f ca="1"/>
      </c>
      <c r="CE183">
        <f ca="1"/>
      </c>
      <c r="CF183">
        <f ca="1"/>
      </c>
      <c r="CG183">
        <f ca="1"/>
      </c>
      <c r="CH183">
        <f ca="1"/>
      </c>
      <c r="CI183">
        <f ca="1"/>
      </c>
      <c r="CJ183">
        <f ca="1"/>
      </c>
      <c r="CK183">
        <f ca="1"/>
      </c>
      <c r="CL183">
        <f ca="1"/>
      </c>
      <c r="CM183">
        <f ca="1"/>
      </c>
      <c r="CN183">
        <f ca="1"/>
      </c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DQ183">
        <f ca="1"/>
      </c>
      <c r="DR183">
        <f ca="1"/>
      </c>
      <c r="DS183">
        <f ca="1"/>
      </c>
      <c r="DT183">
        <f ca="1"/>
      </c>
      <c r="DU183">
        <f ca="1"/>
      </c>
      <c r="DV183">
        <f ca="1"/>
      </c>
      <c r="DW183">
        <f ca="1"/>
      </c>
      <c r="DX183">
        <f ca="1"/>
      </c>
      <c r="DY183">
        <f ca="1"/>
      </c>
      <c r="DZ183">
        <f ca="1"/>
      </c>
      <c r="EA183">
        <f ca="1"/>
      </c>
      <c r="EB183">
        <f ca="1"/>
      </c>
      <c r="EC183">
        <f ca="1"/>
      </c>
      <c r="ED183">
        <f ca="1"/>
      </c>
      <c r="EE183">
        <f ca="1"/>
      </c>
      <c r="EF183">
        <f ca="1"/>
      </c>
      <c r="EG183">
        <f ca="1"/>
      </c>
      <c r="EH183">
        <f ca="1"/>
      </c>
      <c r="EI183">
        <f ca="1"/>
      </c>
      <c r="EJ183">
        <f ca="1"/>
      </c>
      <c r="EK183">
        <f ca="1"/>
      </c>
      <c r="EL183">
        <f ca="1"/>
      </c>
      <c r="EM183">
        <f ca="1"/>
      </c>
      <c r="EN183">
        <f ca="1"/>
      </c>
      <c r="EO183">
        <f ca="1"/>
      </c>
      <c r="EP183">
        <f ca="1"/>
      </c>
      <c r="EQ183">
        <f ca="1"/>
      </c>
      <c r="ER183">
        <f ca="1"/>
      </c>
      <c r="ES183">
        <f ca="1"/>
      </c>
      <c r="ET183">
        <f ca="1"/>
      </c>
      <c r="EU183">
        <f ca="1"/>
      </c>
      <c r="EV183">
        <f ca="1"/>
      </c>
      <c r="EW183">
        <f ca="1"/>
      </c>
      <c r="EX183">
        <f ca="1"/>
      </c>
      <c r="EY183">
        <f ca="1"/>
      </c>
      <c r="EZ183">
        <f ca="1"/>
      </c>
      <c r="FA183">
        <f ca="1"/>
      </c>
      <c r="FB183">
        <f ca="1"/>
      </c>
      <c r="FC183">
        <f ca="1"/>
      </c>
      <c r="FD183">
        <f ca="1"/>
      </c>
      <c r="FE183">
        <f ca="1"/>
      </c>
      <c r="FF183">
        <f ca="1"/>
      </c>
      <c r="FG183">
        <f ca="1"/>
      </c>
      <c r="FH183">
        <f ca="1"/>
      </c>
      <c r="FI183">
        <f ca="1"/>
      </c>
      <c r="FJ183">
        <f ca="1"/>
      </c>
      <c r="FK183">
        <f ca="1"/>
      </c>
      <c r="FL183">
        <f ca="1"/>
      </c>
      <c r="FM183">
        <f ca="1"/>
      </c>
      <c r="FN183">
        <f ca="1"/>
      </c>
      <c r="FO183">
        <f ca="1"/>
      </c>
      <c r="FP183">
        <f ca="1"/>
      </c>
      <c r="FQ183">
        <f ca="1"/>
      </c>
      <c r="FR183">
        <f ca="1"/>
      </c>
      <c r="FS183">
        <f ca="1"/>
      </c>
      <c r="FT183">
        <f ca="1"/>
      </c>
      <c r="FU183">
        <f ca="1"/>
      </c>
      <c r="FV183">
        <f ca="1"/>
      </c>
      <c r="FW183">
        <f ca="1"/>
      </c>
      <c r="FX183">
        <f ca="1"/>
      </c>
      <c r="FY183">
        <f ca="1"/>
      </c>
      <c r="FZ183">
        <f ca="1"/>
      </c>
      <c r="GA183">
        <f ca="1"/>
      </c>
      <c r="GB183">
        <f ca="1"/>
      </c>
      <c r="GC183">
        <f ca="1"/>
      </c>
      <c r="GD183">
        <f ca="1"/>
      </c>
      <c r="GE183">
        <f ca="1"/>
      </c>
      <c r="GF183">
        <f ca="1"/>
      </c>
      <c r="GG183">
        <f ca="1"/>
      </c>
      <c r="GH183">
        <f ca="1"/>
      </c>
      <c r="GI183">
        <f ca="1"/>
      </c>
      <c r="GJ183">
        <f ca="1"/>
      </c>
      <c r="GK183">
        <f ca="1"/>
      </c>
      <c r="GL183">
        <f ca="1"/>
      </c>
      <c r="GM183">
        <f ca="1"/>
      </c>
      <c r="GN183">
        <f ca="1"/>
      </c>
      <c r="GO183">
        <f ca="1"/>
      </c>
      <c r="GP183">
        <f ca="1"/>
      </c>
      <c r="GQ183">
        <f ca="1"/>
      </c>
      <c r="GR183">
        <f ca="1"/>
      </c>
      <c r="GS183">
        <f ca="1"/>
      </c>
      <c r="GT183">
        <f ca="1"/>
      </c>
      <c r="GU183">
        <f ca="1"/>
      </c>
      <c r="GV183">
        <f ca="1"/>
      </c>
      <c r="GW183">
        <f ca="1"/>
      </c>
      <c r="GX183">
        <f ca="1"/>
      </c>
      <c r="GY183">
        <f ca="1"/>
      </c>
      <c r="GZ183">
        <f ca="1"/>
      </c>
      <c r="HA183">
        <f ca="1"/>
      </c>
      <c r="HB183">
        <f ca="1"/>
      </c>
      <c r="HC183">
        <f ca="1"/>
      </c>
      <c r="HD183">
        <f ca="1"/>
      </c>
      <c r="HE183">
        <f ca="1"/>
      </c>
      <c r="HF183">
        <f ca="1"/>
      </c>
      <c r="HG183">
        <f ca="1"/>
      </c>
      <c r="HH183">
        <f ca="1"/>
      </c>
      <c r="HI183">
        <f ca="1"/>
      </c>
      <c r="HJ183">
        <f ca="1"/>
      </c>
      <c r="HK183">
        <f ca="1"/>
      </c>
      <c r="HL183">
        <f ca="1"/>
      </c>
      <c r="HM183">
        <f ca="1"/>
      </c>
      <c r="HN183">
        <f ca="1"/>
      </c>
      <c r="HO183">
        <f ca="1"/>
      </c>
      <c r="HP183">
        <f ca="1"/>
      </c>
      <c r="HQ183">
        <f ca="1"/>
      </c>
      <c r="HR183">
        <f ca="1"/>
      </c>
      <c r="HS183">
        <f ca="1"/>
      </c>
      <c r="HT183">
        <f ca="1"/>
      </c>
      <c r="HU183">
        <f ca="1"/>
      </c>
      <c r="HV183">
        <f ca="1"/>
      </c>
      <c r="HW183">
        <f ca="1"/>
      </c>
      <c r="HX183">
        <f ca="1"/>
      </c>
      <c r="HY183">
        <f ca="1"/>
      </c>
      <c r="HZ183">
        <f ca="1"/>
      </c>
      <c r="IA183">
        <f ca="1"/>
      </c>
      <c r="IB183">
        <f ca="1"/>
      </c>
      <c r="IC183">
        <f ca="1"/>
      </c>
      <c r="ID183">
        <f ca="1"/>
      </c>
      <c r="IE183">
        <f ca="1"/>
      </c>
      <c r="IF183">
        <f ca="1"/>
      </c>
      <c r="IG183">
        <f ca="1"/>
      </c>
      <c r="IH183">
        <f ca="1"/>
      </c>
      <c r="II183">
        <f ca="1"/>
      </c>
      <c r="IJ183">
        <f ca="1"/>
      </c>
      <c r="IK183">
        <f ca="1"/>
      </c>
      <c r="IL183">
        <f ca="1"/>
      </c>
      <c r="IM183">
        <f ca="1"/>
      </c>
      <c r="IN183">
        <f ca="1"/>
      </c>
      <c r="IO183">
        <f ca="1"/>
      </c>
      <c r="IP183">
        <f ca="1"/>
      </c>
      <c r="IQ183">
        <f ca="1"/>
      </c>
      <c r="IR183">
        <f ca="1"/>
      </c>
      <c r="IS183">
        <f ca="1"/>
      </c>
      <c r="IT183">
        <f ca="1"/>
      </c>
      <c r="IU183">
        <f ca="1"/>
      </c>
      <c r="IV183">
        <f ca="1"/>
      </c>
      <c r="IW183">
        <f ca="1"/>
      </c>
      <c r="IX183">
        <f ca="1"/>
      </c>
      <c r="IY183">
        <f ca="1"/>
      </c>
      <c r="IZ183">
        <f ca="1"/>
      </c>
      <c r="JA183">
        <f ca="1"/>
      </c>
      <c r="JB183">
        <f ca="1"/>
      </c>
      <c r="LA183">
        <f ca="1"/>
      </c>
      <c r="LB183">
        <f ca="1"/>
      </c>
      <c r="LC183">
        <f ca="1"/>
      </c>
    </row>
    <row r="184" spans="58:315" x14ac:dyDescent="0.55000000000000004">
      <c r="BF184">
        <f ca="1"/>
      </c>
      <c r="BG184">
        <f ca="1"/>
      </c>
      <c r="BI184">
        <f ca="1"/>
      </c>
      <c r="BJ184" s="11">
        <f ca="1"/>
      </c>
      <c r="BK184" s="11">
        <f ca="1"/>
      </c>
      <c r="BL184" s="11">
        <f ca="1"/>
      </c>
      <c r="BM184" s="11">
        <f ca="1"/>
      </c>
      <c r="BN184" s="11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  <c r="BV184">
        <f ca="1"/>
      </c>
      <c r="BW184">
        <f ca="1"/>
      </c>
      <c r="BX184">
        <f ca="1"/>
      </c>
      <c r="BY184">
        <f ca="1"/>
      </c>
      <c r="BZ184">
        <f ca="1"/>
      </c>
      <c r="CA184">
        <f ca="1"/>
      </c>
      <c r="CB184">
        <f ca="1"/>
      </c>
      <c r="CC184">
        <f ca="1"/>
      </c>
      <c r="CD184">
        <f ca="1"/>
      </c>
      <c r="CE184">
        <f ca="1"/>
      </c>
      <c r="CF184">
        <f ca="1"/>
      </c>
      <c r="CG184">
        <f ca="1"/>
      </c>
      <c r="CH184">
        <f ca="1"/>
      </c>
      <c r="CI184">
        <f ca="1"/>
      </c>
      <c r="CJ184">
        <f ca="1"/>
      </c>
      <c r="CK184">
        <f ca="1"/>
      </c>
      <c r="CL184">
        <f ca="1"/>
      </c>
      <c r="CM184">
        <f ca="1"/>
      </c>
      <c r="CN184">
        <f ca="1"/>
      </c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DQ184">
        <f ca="1"/>
      </c>
      <c r="DR184">
        <f ca="1"/>
      </c>
      <c r="DS184">
        <f ca="1"/>
      </c>
      <c r="DT184">
        <f ca="1"/>
      </c>
      <c r="DU184">
        <f ca="1"/>
      </c>
      <c r="DV184">
        <f ca="1"/>
      </c>
      <c r="DW184">
        <f ca="1"/>
      </c>
      <c r="DX184">
        <f ca="1"/>
      </c>
      <c r="DY184">
        <f ca="1"/>
      </c>
      <c r="DZ184">
        <f ca="1"/>
      </c>
      <c r="EA184">
        <f ca="1"/>
      </c>
      <c r="EB184">
        <f ca="1"/>
      </c>
      <c r="EC184">
        <f ca="1"/>
      </c>
      <c r="ED184">
        <f ca="1"/>
      </c>
      <c r="EE184">
        <f ca="1"/>
      </c>
      <c r="EF184">
        <f ca="1"/>
      </c>
      <c r="EG184">
        <f ca="1"/>
      </c>
      <c r="EH184">
        <f ca="1"/>
      </c>
      <c r="EI184">
        <f ca="1"/>
      </c>
      <c r="EJ184">
        <f ca="1"/>
      </c>
      <c r="EK184">
        <f ca="1"/>
      </c>
      <c r="EL184">
        <f ca="1"/>
      </c>
      <c r="EM184">
        <f ca="1"/>
      </c>
      <c r="EN184">
        <f ca="1"/>
      </c>
      <c r="EO184">
        <f ca="1"/>
      </c>
      <c r="EP184">
        <f ca="1"/>
      </c>
      <c r="EQ184">
        <f ca="1"/>
      </c>
      <c r="ER184">
        <f ca="1"/>
      </c>
      <c r="ES184">
        <f ca="1"/>
      </c>
      <c r="ET184">
        <f ca="1"/>
      </c>
      <c r="EU184">
        <f ca="1"/>
      </c>
      <c r="EV184">
        <f ca="1"/>
      </c>
      <c r="EW184">
        <f ca="1"/>
      </c>
      <c r="EX184">
        <f ca="1"/>
      </c>
      <c r="EY184">
        <f ca="1"/>
      </c>
      <c r="EZ184">
        <f ca="1"/>
      </c>
      <c r="FA184">
        <f ca="1"/>
      </c>
      <c r="FB184">
        <f ca="1"/>
      </c>
      <c r="FC184">
        <f ca="1"/>
      </c>
      <c r="FD184">
        <f ca="1"/>
      </c>
      <c r="FE184">
        <f ca="1"/>
      </c>
      <c r="FF184">
        <f ca="1"/>
      </c>
      <c r="FG184">
        <f ca="1"/>
      </c>
      <c r="FH184">
        <f ca="1"/>
      </c>
      <c r="FI184">
        <f ca="1"/>
      </c>
      <c r="FJ184">
        <f ca="1"/>
      </c>
      <c r="FK184">
        <f ca="1"/>
      </c>
      <c r="FL184">
        <f ca="1"/>
      </c>
      <c r="FM184">
        <f ca="1"/>
      </c>
      <c r="FN184">
        <f ca="1"/>
      </c>
      <c r="FO184">
        <f ca="1"/>
      </c>
      <c r="FP184">
        <f ca="1"/>
      </c>
      <c r="FQ184">
        <f ca="1"/>
      </c>
      <c r="FR184">
        <f ca="1"/>
      </c>
      <c r="FS184">
        <f ca="1"/>
      </c>
      <c r="FT184">
        <f ca="1"/>
      </c>
      <c r="FU184">
        <f ca="1"/>
      </c>
      <c r="FV184">
        <f ca="1"/>
      </c>
      <c r="FW184">
        <f ca="1"/>
      </c>
      <c r="FX184">
        <f ca="1"/>
      </c>
      <c r="FY184">
        <f ca="1"/>
      </c>
      <c r="FZ184">
        <f ca="1"/>
      </c>
      <c r="GA184">
        <f ca="1"/>
      </c>
      <c r="GB184">
        <f ca="1"/>
      </c>
      <c r="GC184">
        <f ca="1"/>
      </c>
      <c r="GD184">
        <f ca="1"/>
      </c>
      <c r="GE184">
        <f ca="1"/>
      </c>
      <c r="GF184">
        <f ca="1"/>
      </c>
      <c r="GG184">
        <f ca="1"/>
      </c>
      <c r="GH184">
        <f ca="1"/>
      </c>
      <c r="GI184">
        <f ca="1"/>
      </c>
      <c r="GJ184">
        <f ca="1"/>
      </c>
      <c r="GK184">
        <f ca="1"/>
      </c>
      <c r="GL184">
        <f ca="1"/>
      </c>
      <c r="GM184">
        <f ca="1"/>
      </c>
      <c r="GN184">
        <f ca="1"/>
      </c>
      <c r="GO184">
        <f ca="1"/>
      </c>
      <c r="GP184">
        <f ca="1"/>
      </c>
      <c r="GQ184">
        <f ca="1"/>
      </c>
      <c r="GR184">
        <f ca="1"/>
      </c>
      <c r="GS184">
        <f ca="1"/>
      </c>
      <c r="GT184">
        <f ca="1"/>
      </c>
      <c r="GU184">
        <f ca="1"/>
      </c>
      <c r="GV184">
        <f ca="1"/>
      </c>
      <c r="GW184">
        <f ca="1"/>
      </c>
      <c r="GX184">
        <f ca="1"/>
      </c>
      <c r="GY184">
        <f ca="1"/>
      </c>
      <c r="GZ184">
        <f ca="1"/>
      </c>
      <c r="HA184">
        <f ca="1"/>
      </c>
      <c r="HB184">
        <f ca="1"/>
      </c>
      <c r="HC184">
        <f ca="1"/>
      </c>
      <c r="HD184">
        <f ca="1"/>
      </c>
      <c r="HE184">
        <f ca="1"/>
      </c>
      <c r="HF184">
        <f ca="1"/>
      </c>
      <c r="HG184">
        <f ca="1"/>
      </c>
      <c r="HH184">
        <f ca="1"/>
      </c>
      <c r="HI184">
        <f ca="1"/>
      </c>
      <c r="HJ184">
        <f ca="1"/>
      </c>
      <c r="HK184">
        <f ca="1"/>
      </c>
      <c r="HL184">
        <f ca="1"/>
      </c>
      <c r="HM184">
        <f ca="1"/>
      </c>
      <c r="HN184">
        <f ca="1"/>
      </c>
      <c r="HO184">
        <f ca="1"/>
      </c>
      <c r="HP184">
        <f ca="1"/>
      </c>
      <c r="HQ184">
        <f ca="1"/>
      </c>
      <c r="HR184">
        <f ca="1"/>
      </c>
      <c r="HS184">
        <f ca="1"/>
      </c>
      <c r="HT184">
        <f ca="1"/>
      </c>
      <c r="HU184">
        <f ca="1"/>
      </c>
      <c r="HV184">
        <f ca="1"/>
      </c>
      <c r="HW184">
        <f ca="1"/>
      </c>
      <c r="HX184">
        <f ca="1"/>
      </c>
      <c r="HY184">
        <f ca="1"/>
      </c>
      <c r="HZ184">
        <f ca="1"/>
      </c>
      <c r="IA184">
        <f ca="1"/>
      </c>
      <c r="IB184">
        <f ca="1"/>
      </c>
      <c r="IC184">
        <f ca="1"/>
      </c>
      <c r="ID184">
        <f ca="1"/>
      </c>
      <c r="IE184">
        <f ca="1"/>
      </c>
      <c r="IF184">
        <f ca="1"/>
      </c>
      <c r="IG184">
        <f ca="1"/>
      </c>
      <c r="IH184">
        <f ca="1"/>
      </c>
      <c r="II184">
        <f ca="1"/>
      </c>
      <c r="IJ184">
        <f ca="1"/>
      </c>
      <c r="IK184">
        <f ca="1"/>
      </c>
      <c r="IL184">
        <f ca="1"/>
      </c>
      <c r="IM184">
        <f ca="1"/>
      </c>
      <c r="IN184">
        <f ca="1"/>
      </c>
      <c r="IO184">
        <f ca="1"/>
      </c>
      <c r="IP184">
        <f ca="1"/>
      </c>
      <c r="IQ184">
        <f ca="1"/>
      </c>
      <c r="IR184">
        <f ca="1"/>
      </c>
      <c r="IS184">
        <f ca="1"/>
      </c>
      <c r="IT184">
        <f ca="1"/>
      </c>
      <c r="IU184">
        <f ca="1"/>
      </c>
      <c r="IV184">
        <f ca="1"/>
      </c>
      <c r="IW184">
        <f ca="1"/>
      </c>
      <c r="IX184">
        <f ca="1"/>
      </c>
      <c r="IY184">
        <f ca="1"/>
      </c>
      <c r="IZ184">
        <f ca="1"/>
      </c>
      <c r="JA184">
        <f ca="1"/>
      </c>
      <c r="JB184">
        <f ca="1"/>
      </c>
      <c r="LA184">
        <f ca="1"/>
      </c>
      <c r="LB184">
        <f ca="1"/>
      </c>
      <c r="LC184">
        <f ca="1"/>
      </c>
    </row>
    <row r="185" spans="58:315" x14ac:dyDescent="0.55000000000000004">
      <c r="BF185">
        <f ca="1"/>
      </c>
      <c r="BG185">
        <f ca="1"/>
      </c>
      <c r="BI185">
        <f ca="1"/>
      </c>
      <c r="BJ185" s="11">
        <f ca="1"/>
      </c>
      <c r="BK185" s="11">
        <f ca="1"/>
      </c>
      <c r="BL185" s="11">
        <f ca="1"/>
      </c>
      <c r="BM185" s="11">
        <f ca="1"/>
      </c>
      <c r="BN185" s="11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  <c r="BV185">
        <f ca="1"/>
      </c>
      <c r="BW185">
        <f ca="1"/>
      </c>
      <c r="BX185">
        <f ca="1"/>
      </c>
      <c r="BY185">
        <f ca="1"/>
      </c>
      <c r="BZ185">
        <f ca="1"/>
      </c>
      <c r="CA185">
        <f ca="1"/>
      </c>
      <c r="CB185">
        <f ca="1"/>
      </c>
      <c r="CC185">
        <f ca="1"/>
      </c>
      <c r="CD185">
        <f ca="1"/>
      </c>
      <c r="CE185">
        <f ca="1"/>
      </c>
      <c r="CF185">
        <f ca="1"/>
      </c>
      <c r="CG185">
        <f ca="1"/>
      </c>
      <c r="CH185">
        <f ca="1"/>
      </c>
      <c r="CI185">
        <f ca="1"/>
      </c>
      <c r="CJ185">
        <f ca="1"/>
      </c>
      <c r="CK185">
        <f ca="1"/>
      </c>
      <c r="CL185">
        <f ca="1"/>
      </c>
      <c r="CM185">
        <f ca="1"/>
      </c>
      <c r="CN185">
        <f ca="1"/>
      </c>
      <c r="CO185">
        <f ca="1"/>
      </c>
      <c r="CP185">
        <f ca="1"/>
      </c>
      <c r="CQ185">
        <f ca="1"/>
      </c>
      <c r="CR185">
        <f ca="1"/>
      </c>
      <c r="CS185">
        <f ca="1"/>
      </c>
      <c r="CT185">
        <f ca="1"/>
      </c>
      <c r="CU185">
        <f ca="1"/>
      </c>
      <c r="CV185">
        <f ca="1"/>
      </c>
      <c r="CW185">
        <f ca="1"/>
      </c>
      <c r="CX185">
        <f ca="1"/>
      </c>
      <c r="CY185">
        <f ca="1"/>
      </c>
      <c r="CZ185">
        <f ca="1"/>
      </c>
      <c r="DA185">
        <f ca="1"/>
      </c>
      <c r="DB185">
        <f ca="1"/>
      </c>
      <c r="DC185">
        <f ca="1"/>
      </c>
      <c r="DD185">
        <f ca="1"/>
      </c>
      <c r="DE185">
        <f ca="1"/>
      </c>
      <c r="DF185">
        <f ca="1"/>
      </c>
      <c r="DG185">
        <f ca="1"/>
      </c>
      <c r="DH185">
        <f ca="1"/>
      </c>
      <c r="DI185">
        <f ca="1"/>
      </c>
      <c r="DJ185">
        <f ca="1"/>
      </c>
      <c r="DK185">
        <f ca="1"/>
      </c>
      <c r="DL185">
        <f ca="1"/>
      </c>
      <c r="DM185">
        <f ca="1"/>
      </c>
      <c r="DN185">
        <f ca="1"/>
      </c>
      <c r="DO185">
        <f ca="1"/>
      </c>
      <c r="DP185">
        <f ca="1"/>
      </c>
      <c r="DQ185">
        <f ca="1"/>
      </c>
      <c r="DR185">
        <f ca="1"/>
      </c>
      <c r="DS185">
        <f ca="1"/>
      </c>
      <c r="DT185">
        <f ca="1"/>
      </c>
      <c r="DU185">
        <f ca="1"/>
      </c>
      <c r="DV185">
        <f ca="1"/>
      </c>
      <c r="DW185">
        <f ca="1"/>
      </c>
      <c r="DX185">
        <f ca="1"/>
      </c>
      <c r="DY185">
        <f ca="1"/>
      </c>
      <c r="DZ185">
        <f ca="1"/>
      </c>
      <c r="EA185">
        <f ca="1"/>
      </c>
      <c r="EB185">
        <f ca="1"/>
      </c>
      <c r="EC185">
        <f ca="1"/>
      </c>
      <c r="ED185">
        <f ca="1"/>
      </c>
      <c r="EE185">
        <f ca="1"/>
      </c>
      <c r="EF185">
        <f ca="1"/>
      </c>
      <c r="EG185">
        <f ca="1"/>
      </c>
      <c r="EH185">
        <f ca="1"/>
      </c>
      <c r="EI185">
        <f ca="1"/>
      </c>
      <c r="EJ185">
        <f ca="1"/>
      </c>
      <c r="EK185">
        <f ca="1"/>
      </c>
      <c r="EL185">
        <f ca="1"/>
      </c>
      <c r="EM185">
        <f ca="1"/>
      </c>
      <c r="EN185">
        <f ca="1"/>
      </c>
      <c r="EO185">
        <f ca="1"/>
      </c>
      <c r="EP185">
        <f ca="1"/>
      </c>
      <c r="EQ185">
        <f ca="1"/>
      </c>
      <c r="ER185">
        <f ca="1"/>
      </c>
      <c r="ES185">
        <f ca="1"/>
      </c>
      <c r="ET185">
        <f ca="1"/>
      </c>
      <c r="EU185">
        <f ca="1"/>
      </c>
      <c r="EV185">
        <f ca="1"/>
      </c>
      <c r="EW185">
        <f ca="1"/>
      </c>
      <c r="EX185">
        <f ca="1"/>
      </c>
      <c r="EY185">
        <f ca="1"/>
      </c>
      <c r="EZ185">
        <f ca="1"/>
      </c>
      <c r="FA185">
        <f ca="1"/>
      </c>
      <c r="FB185">
        <f ca="1"/>
      </c>
      <c r="FC185">
        <f ca="1"/>
      </c>
      <c r="FD185">
        <f ca="1"/>
      </c>
      <c r="FE185">
        <f ca="1"/>
      </c>
      <c r="FF185">
        <f ca="1"/>
      </c>
      <c r="FG185">
        <f ca="1"/>
      </c>
      <c r="FH185">
        <f ca="1"/>
      </c>
      <c r="FI185">
        <f ca="1"/>
      </c>
      <c r="FJ185">
        <f ca="1"/>
      </c>
      <c r="FK185">
        <f ca="1"/>
      </c>
      <c r="FL185">
        <f ca="1"/>
      </c>
      <c r="FM185">
        <f ca="1"/>
      </c>
      <c r="FN185">
        <f ca="1"/>
      </c>
      <c r="FO185">
        <f ca="1"/>
      </c>
      <c r="FP185">
        <f ca="1"/>
      </c>
      <c r="FQ185">
        <f ca="1"/>
      </c>
      <c r="FR185">
        <f ca="1"/>
      </c>
      <c r="FS185">
        <f ca="1"/>
      </c>
      <c r="FT185">
        <f ca="1"/>
      </c>
      <c r="FU185">
        <f ca="1"/>
      </c>
      <c r="FV185">
        <f ca="1"/>
      </c>
      <c r="FW185">
        <f ca="1"/>
      </c>
      <c r="FX185">
        <f ca="1"/>
      </c>
      <c r="FY185">
        <f ca="1"/>
      </c>
      <c r="FZ185">
        <f ca="1"/>
      </c>
      <c r="GA185">
        <f ca="1"/>
      </c>
      <c r="GB185">
        <f ca="1"/>
      </c>
      <c r="GC185">
        <f ca="1"/>
      </c>
      <c r="GD185">
        <f ca="1"/>
      </c>
      <c r="GE185">
        <f ca="1"/>
      </c>
      <c r="GF185">
        <f ca="1"/>
      </c>
      <c r="GG185">
        <f ca="1"/>
      </c>
      <c r="GH185">
        <f ca="1"/>
      </c>
      <c r="GI185">
        <f ca="1"/>
      </c>
      <c r="GJ185">
        <f ca="1"/>
      </c>
      <c r="GK185">
        <f ca="1"/>
      </c>
      <c r="GL185">
        <f ca="1"/>
      </c>
      <c r="GM185">
        <f ca="1"/>
      </c>
      <c r="GN185">
        <f ca="1"/>
      </c>
      <c r="GO185">
        <f ca="1"/>
      </c>
      <c r="GP185">
        <f ca="1"/>
      </c>
      <c r="GQ185">
        <f ca="1"/>
      </c>
      <c r="GR185">
        <f ca="1"/>
      </c>
      <c r="GS185">
        <f ca="1"/>
      </c>
      <c r="GT185">
        <f ca="1"/>
      </c>
      <c r="GU185">
        <f ca="1"/>
      </c>
      <c r="GV185">
        <f ca="1"/>
      </c>
      <c r="GW185">
        <f ca="1"/>
      </c>
      <c r="GX185">
        <f ca="1"/>
      </c>
      <c r="GY185">
        <f ca="1"/>
      </c>
      <c r="GZ185">
        <f ca="1"/>
      </c>
      <c r="HA185">
        <f ca="1"/>
      </c>
      <c r="HB185">
        <f ca="1"/>
      </c>
      <c r="HC185">
        <f ca="1"/>
      </c>
      <c r="HD185">
        <f ca="1"/>
      </c>
      <c r="HE185">
        <f ca="1"/>
      </c>
      <c r="HF185">
        <f ca="1"/>
      </c>
      <c r="HG185">
        <f ca="1"/>
      </c>
      <c r="HH185">
        <f ca="1"/>
      </c>
      <c r="HI185">
        <f ca="1"/>
      </c>
      <c r="HJ185">
        <f ca="1"/>
      </c>
      <c r="HK185">
        <f ca="1"/>
      </c>
      <c r="HL185">
        <f ca="1"/>
      </c>
      <c r="HM185">
        <f ca="1"/>
      </c>
      <c r="HN185">
        <f ca="1"/>
      </c>
      <c r="HO185">
        <f ca="1"/>
      </c>
      <c r="HP185">
        <f ca="1"/>
      </c>
      <c r="HQ185">
        <f ca="1"/>
      </c>
      <c r="HR185">
        <f ca="1"/>
      </c>
      <c r="HS185">
        <f ca="1"/>
      </c>
      <c r="HT185">
        <f ca="1"/>
      </c>
      <c r="HU185">
        <f ca="1"/>
      </c>
      <c r="HV185">
        <f ca="1"/>
      </c>
      <c r="HW185">
        <f ca="1"/>
      </c>
      <c r="HX185">
        <f ca="1"/>
      </c>
      <c r="HY185">
        <f ca="1"/>
      </c>
      <c r="HZ185">
        <f ca="1"/>
      </c>
      <c r="IA185">
        <f ca="1"/>
      </c>
      <c r="IB185">
        <f ca="1"/>
      </c>
      <c r="IC185">
        <f ca="1"/>
      </c>
      <c r="ID185">
        <f ca="1"/>
      </c>
      <c r="IE185">
        <f ca="1"/>
      </c>
      <c r="IF185">
        <f ca="1"/>
      </c>
      <c r="IG185">
        <f ca="1"/>
      </c>
      <c r="IH185">
        <f ca="1"/>
      </c>
      <c r="II185">
        <f ca="1"/>
      </c>
      <c r="IJ185">
        <f ca="1"/>
      </c>
      <c r="IK185">
        <f ca="1"/>
      </c>
      <c r="IL185">
        <f ca="1"/>
      </c>
      <c r="IM185">
        <f ca="1"/>
      </c>
      <c r="IN185">
        <f ca="1"/>
      </c>
      <c r="IO185">
        <f ca="1"/>
      </c>
      <c r="IP185">
        <f ca="1"/>
      </c>
      <c r="IQ185">
        <f ca="1"/>
      </c>
      <c r="IR185">
        <f ca="1"/>
      </c>
      <c r="IS185">
        <f ca="1"/>
      </c>
      <c r="IT185">
        <f ca="1"/>
      </c>
      <c r="IU185">
        <f ca="1"/>
      </c>
      <c r="IV185">
        <f ca="1"/>
      </c>
      <c r="IW185">
        <f ca="1"/>
      </c>
      <c r="IX185">
        <f ca="1"/>
      </c>
      <c r="IY185">
        <f ca="1"/>
      </c>
      <c r="IZ185">
        <f ca="1"/>
      </c>
      <c r="JA185">
        <f ca="1"/>
      </c>
      <c r="JB185">
        <f ca="1"/>
      </c>
      <c r="LA185">
        <f ca="1"/>
      </c>
      <c r="LB185">
        <f ca="1"/>
      </c>
      <c r="LC185">
        <f ca="1"/>
      </c>
    </row>
    <row r="186" spans="58:315" x14ac:dyDescent="0.55000000000000004">
      <c r="BF186">
        <f ca="1"/>
      </c>
      <c r="BG186">
        <f ca="1"/>
      </c>
      <c r="BI186">
        <f ca="1"/>
      </c>
      <c r="BJ186" s="11">
        <f ca="1"/>
      </c>
      <c r="BK186" s="11">
        <f ca="1"/>
      </c>
      <c r="BL186" s="11">
        <f ca="1"/>
      </c>
      <c r="BM186" s="11">
        <f ca="1"/>
      </c>
      <c r="BN186" s="11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  <c r="BV186">
        <f ca="1"/>
      </c>
      <c r="BW186">
        <f ca="1"/>
      </c>
      <c r="BX186">
        <f ca="1"/>
      </c>
      <c r="BY186">
        <f ca="1"/>
      </c>
      <c r="BZ186">
        <f ca="1"/>
      </c>
      <c r="CA186">
        <f ca="1"/>
      </c>
      <c r="CB186">
        <f ca="1"/>
      </c>
      <c r="CC186">
        <f ca="1"/>
      </c>
      <c r="CD186">
        <f ca="1"/>
      </c>
      <c r="CE186">
        <f ca="1"/>
      </c>
      <c r="CF186">
        <f ca="1"/>
      </c>
      <c r="CG186">
        <f ca="1"/>
      </c>
      <c r="CH186">
        <f ca="1"/>
      </c>
      <c r="CI186">
        <f ca="1"/>
      </c>
      <c r="CJ186">
        <f ca="1"/>
      </c>
      <c r="CK186">
        <f ca="1"/>
      </c>
      <c r="CL186">
        <f ca="1"/>
      </c>
      <c r="CM186">
        <f ca="1"/>
      </c>
      <c r="CN186">
        <f ca="1"/>
      </c>
      <c r="CO186">
        <f ca="1"/>
      </c>
      <c r="CP186">
        <f ca="1"/>
      </c>
      <c r="CQ186">
        <f ca="1"/>
      </c>
      <c r="CR186">
        <f ca="1"/>
      </c>
      <c r="CS186">
        <f ca="1"/>
      </c>
      <c r="CT186">
        <f ca="1"/>
      </c>
      <c r="CU186">
        <f ca="1"/>
      </c>
      <c r="CV186">
        <f ca="1"/>
      </c>
      <c r="CW186">
        <f ca="1"/>
      </c>
      <c r="CX186">
        <f ca="1"/>
      </c>
      <c r="CY186">
        <f ca="1"/>
      </c>
      <c r="CZ186">
        <f ca="1"/>
      </c>
      <c r="DA186">
        <f ca="1"/>
      </c>
      <c r="DB186">
        <f ca="1"/>
      </c>
      <c r="DC186">
        <f ca="1"/>
      </c>
      <c r="DD186">
        <f ca="1"/>
      </c>
      <c r="DE186">
        <f ca="1"/>
      </c>
      <c r="DF186">
        <f ca="1"/>
      </c>
      <c r="DG186">
        <f ca="1"/>
      </c>
      <c r="DH186">
        <f ca="1"/>
      </c>
      <c r="DI186">
        <f ca="1"/>
      </c>
      <c r="DJ186">
        <f ca="1"/>
      </c>
      <c r="DK186">
        <f ca="1"/>
      </c>
      <c r="DL186">
        <f ca="1"/>
      </c>
      <c r="DM186">
        <f ca="1"/>
      </c>
      <c r="DN186">
        <f ca="1"/>
      </c>
      <c r="DO186">
        <f ca="1"/>
      </c>
      <c r="DP186">
        <f ca="1"/>
      </c>
      <c r="DQ186">
        <f ca="1"/>
      </c>
      <c r="DR186">
        <f ca="1"/>
      </c>
      <c r="DS186">
        <f ca="1"/>
      </c>
      <c r="DT186">
        <f ca="1"/>
      </c>
      <c r="DU186">
        <f ca="1"/>
      </c>
      <c r="DV186">
        <f ca="1"/>
      </c>
      <c r="DW186">
        <f ca="1"/>
      </c>
      <c r="DX186">
        <f ca="1"/>
      </c>
      <c r="DY186">
        <f ca="1"/>
      </c>
      <c r="DZ186">
        <f ca="1"/>
      </c>
      <c r="EA186">
        <f ca="1"/>
      </c>
      <c r="EB186">
        <f ca="1"/>
      </c>
      <c r="EC186">
        <f ca="1"/>
      </c>
      <c r="ED186">
        <f ca="1"/>
      </c>
      <c r="EE186">
        <f ca="1"/>
      </c>
      <c r="EF186">
        <f ca="1"/>
      </c>
      <c r="EG186">
        <f ca="1"/>
      </c>
      <c r="EH186">
        <f ca="1"/>
      </c>
      <c r="EI186">
        <f ca="1"/>
      </c>
      <c r="EJ186">
        <f ca="1"/>
      </c>
      <c r="EK186">
        <f ca="1"/>
      </c>
      <c r="EL186">
        <f ca="1"/>
      </c>
      <c r="EM186">
        <f ca="1"/>
      </c>
      <c r="EN186">
        <f ca="1"/>
      </c>
      <c r="EO186">
        <f ca="1"/>
      </c>
      <c r="EP186">
        <f ca="1"/>
      </c>
      <c r="EQ186">
        <f ca="1"/>
      </c>
      <c r="ER186">
        <f ca="1"/>
      </c>
      <c r="ES186">
        <f ca="1"/>
      </c>
      <c r="ET186">
        <f ca="1"/>
      </c>
      <c r="EU186">
        <f ca="1"/>
      </c>
      <c r="EV186">
        <f ca="1"/>
      </c>
      <c r="EW186">
        <f ca="1"/>
      </c>
      <c r="EX186">
        <f ca="1"/>
      </c>
      <c r="EY186">
        <f ca="1"/>
      </c>
      <c r="EZ186">
        <f ca="1"/>
      </c>
      <c r="FA186">
        <f ca="1"/>
      </c>
      <c r="FB186">
        <f ca="1"/>
      </c>
      <c r="FC186">
        <f ca="1"/>
      </c>
      <c r="FD186">
        <f ca="1"/>
      </c>
      <c r="FE186">
        <f ca="1"/>
      </c>
      <c r="FF186">
        <f ca="1"/>
      </c>
      <c r="FG186">
        <f ca="1"/>
      </c>
      <c r="FH186">
        <f ca="1"/>
      </c>
      <c r="FI186">
        <f ca="1"/>
      </c>
      <c r="FJ186">
        <f ca="1"/>
      </c>
      <c r="FK186">
        <f ca="1"/>
      </c>
      <c r="FL186">
        <f ca="1"/>
      </c>
      <c r="FM186">
        <f ca="1"/>
      </c>
      <c r="FN186">
        <f ca="1"/>
      </c>
      <c r="FO186">
        <f ca="1"/>
      </c>
      <c r="FP186">
        <f ca="1"/>
      </c>
      <c r="FQ186">
        <f ca="1"/>
      </c>
      <c r="FR186">
        <f ca="1"/>
      </c>
      <c r="FS186">
        <f ca="1"/>
      </c>
      <c r="FT186">
        <f ca="1"/>
      </c>
      <c r="FU186">
        <f ca="1"/>
      </c>
      <c r="FV186">
        <f ca="1"/>
      </c>
      <c r="FW186">
        <f ca="1"/>
      </c>
      <c r="FX186">
        <f ca="1"/>
      </c>
      <c r="FY186">
        <f ca="1"/>
      </c>
      <c r="FZ186">
        <f ca="1"/>
      </c>
      <c r="GA186">
        <f ca="1"/>
      </c>
      <c r="GB186">
        <f ca="1"/>
      </c>
      <c r="GC186">
        <f ca="1"/>
      </c>
      <c r="GD186">
        <f ca="1"/>
      </c>
      <c r="GE186">
        <f ca="1"/>
      </c>
      <c r="GF186">
        <f ca="1"/>
      </c>
      <c r="GG186">
        <f ca="1"/>
      </c>
      <c r="GH186">
        <f ca="1"/>
      </c>
      <c r="GI186">
        <f ca="1"/>
      </c>
      <c r="GJ186">
        <f ca="1"/>
      </c>
      <c r="GK186">
        <f ca="1"/>
      </c>
      <c r="GL186">
        <f ca="1"/>
      </c>
      <c r="GM186">
        <f ca="1"/>
      </c>
      <c r="GN186">
        <f ca="1"/>
      </c>
      <c r="GO186">
        <f ca="1"/>
      </c>
      <c r="GP186">
        <f ca="1"/>
      </c>
      <c r="GQ186">
        <f ca="1"/>
      </c>
      <c r="GR186">
        <f ca="1"/>
      </c>
      <c r="GS186">
        <f ca="1"/>
      </c>
      <c r="GT186">
        <f ca="1"/>
      </c>
      <c r="GU186">
        <f ca="1"/>
      </c>
      <c r="GV186">
        <f ca="1"/>
      </c>
      <c r="GW186">
        <f ca="1"/>
      </c>
      <c r="GX186">
        <f ca="1"/>
      </c>
      <c r="GY186">
        <f ca="1"/>
      </c>
      <c r="GZ186">
        <f ca="1"/>
      </c>
      <c r="HA186">
        <f ca="1"/>
      </c>
      <c r="HB186">
        <f ca="1"/>
      </c>
      <c r="HC186">
        <f ca="1"/>
      </c>
      <c r="HD186">
        <f ca="1"/>
      </c>
      <c r="HE186">
        <f ca="1"/>
      </c>
      <c r="HF186">
        <f ca="1"/>
      </c>
      <c r="HG186">
        <f ca="1"/>
      </c>
      <c r="HH186">
        <f ca="1"/>
      </c>
      <c r="HI186">
        <f ca="1"/>
      </c>
      <c r="HJ186">
        <f ca="1"/>
      </c>
      <c r="HK186">
        <f ca="1"/>
      </c>
      <c r="HL186">
        <f ca="1"/>
      </c>
      <c r="HM186">
        <f ca="1"/>
      </c>
      <c r="HN186">
        <f ca="1"/>
      </c>
      <c r="HO186">
        <f ca="1"/>
      </c>
      <c r="HP186">
        <f ca="1"/>
      </c>
      <c r="HQ186">
        <f ca="1"/>
      </c>
      <c r="HR186">
        <f ca="1"/>
      </c>
      <c r="HS186">
        <f ca="1"/>
      </c>
      <c r="HT186">
        <f ca="1"/>
      </c>
      <c r="HU186">
        <f ca="1"/>
      </c>
      <c r="HV186">
        <f ca="1"/>
      </c>
      <c r="HW186">
        <f ca="1"/>
      </c>
      <c r="HX186">
        <f ca="1"/>
      </c>
      <c r="HY186">
        <f ca="1"/>
      </c>
      <c r="HZ186">
        <f ca="1"/>
      </c>
      <c r="IA186">
        <f ca="1"/>
      </c>
      <c r="IB186">
        <f ca="1"/>
      </c>
      <c r="IC186">
        <f ca="1"/>
      </c>
      <c r="ID186">
        <f ca="1"/>
      </c>
      <c r="IE186">
        <f ca="1"/>
      </c>
      <c r="IF186">
        <f ca="1"/>
      </c>
      <c r="IG186">
        <f ca="1"/>
      </c>
      <c r="IH186">
        <f ca="1"/>
      </c>
      <c r="II186">
        <f ca="1"/>
      </c>
      <c r="IJ186">
        <f ca="1"/>
      </c>
      <c r="IK186">
        <f ca="1"/>
      </c>
      <c r="IL186">
        <f ca="1"/>
      </c>
      <c r="IM186">
        <f ca="1"/>
      </c>
      <c r="IN186">
        <f ca="1"/>
      </c>
      <c r="IO186">
        <f ca="1"/>
      </c>
      <c r="IP186">
        <f ca="1"/>
      </c>
      <c r="IQ186">
        <f ca="1"/>
      </c>
      <c r="IR186">
        <f ca="1"/>
      </c>
      <c r="IS186">
        <f ca="1"/>
      </c>
      <c r="IT186">
        <f ca="1"/>
      </c>
      <c r="IU186">
        <f ca="1"/>
      </c>
      <c r="IV186">
        <f ca="1"/>
      </c>
      <c r="IW186">
        <f ca="1"/>
      </c>
      <c r="IX186">
        <f ca="1"/>
      </c>
      <c r="IY186">
        <f ca="1"/>
      </c>
      <c r="IZ186">
        <f ca="1"/>
      </c>
      <c r="JA186">
        <f ca="1"/>
      </c>
      <c r="JB186">
        <f ca="1"/>
      </c>
      <c r="LA186">
        <f ca="1"/>
      </c>
      <c r="LB186">
        <f ca="1"/>
      </c>
      <c r="LC186">
        <f ca="1"/>
      </c>
    </row>
    <row r="187" spans="58:315" x14ac:dyDescent="0.55000000000000004">
      <c r="BF187">
        <f ca="1"/>
      </c>
      <c r="BG187">
        <f ca="1"/>
      </c>
      <c r="BI187">
        <f ca="1"/>
      </c>
      <c r="BJ187" s="11">
        <f ca="1"/>
      </c>
      <c r="BK187" s="11">
        <f ca="1"/>
      </c>
      <c r="BL187" s="11">
        <f ca="1"/>
      </c>
      <c r="BM187" s="11">
        <f ca="1"/>
      </c>
      <c r="BN187" s="11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  <c r="BV187">
        <f ca="1"/>
      </c>
      <c r="BW187">
        <f ca="1"/>
      </c>
      <c r="BX187">
        <f ca="1"/>
      </c>
      <c r="BY187">
        <f ca="1"/>
      </c>
      <c r="BZ187">
        <f ca="1"/>
      </c>
      <c r="CA187">
        <f ca="1"/>
      </c>
      <c r="CB187">
        <f ca="1"/>
      </c>
      <c r="CC187">
        <f ca="1"/>
      </c>
      <c r="CD187">
        <f ca="1"/>
      </c>
      <c r="CE187">
        <f ca="1"/>
      </c>
      <c r="CF187">
        <f ca="1"/>
      </c>
      <c r="CG187">
        <f ca="1"/>
      </c>
      <c r="CH187">
        <f ca="1"/>
      </c>
      <c r="CI187">
        <f ca="1"/>
      </c>
      <c r="CJ187">
        <f ca="1"/>
      </c>
      <c r="CK187">
        <f ca="1"/>
      </c>
      <c r="CL187">
        <f ca="1"/>
      </c>
      <c r="CM187">
        <f ca="1"/>
      </c>
      <c r="CN187">
        <f ca="1"/>
      </c>
      <c r="CO187">
        <f ca="1"/>
      </c>
      <c r="CP187">
        <f ca="1"/>
      </c>
      <c r="CQ187">
        <f ca="1"/>
      </c>
      <c r="CR187">
        <f ca="1"/>
      </c>
      <c r="CS187">
        <f ca="1"/>
      </c>
      <c r="CT187">
        <f ca="1"/>
      </c>
      <c r="CU187">
        <f ca="1"/>
      </c>
      <c r="CV187">
        <f ca="1"/>
      </c>
      <c r="CW187">
        <f ca="1"/>
      </c>
      <c r="CX187">
        <f ca="1"/>
      </c>
      <c r="CY187">
        <f ca="1"/>
      </c>
      <c r="CZ187">
        <f ca="1"/>
      </c>
      <c r="DA187">
        <f ca="1"/>
      </c>
      <c r="DB187">
        <f ca="1"/>
      </c>
      <c r="DC187">
        <f ca="1"/>
      </c>
      <c r="DD187">
        <f ca="1"/>
      </c>
      <c r="DE187">
        <f ca="1"/>
      </c>
      <c r="DF187">
        <f ca="1"/>
      </c>
      <c r="DG187">
        <f ca="1"/>
      </c>
      <c r="DH187">
        <f ca="1"/>
      </c>
      <c r="DI187">
        <f ca="1"/>
      </c>
      <c r="DJ187">
        <f ca="1"/>
      </c>
      <c r="DK187">
        <f ca="1"/>
      </c>
      <c r="DL187">
        <f ca="1"/>
      </c>
      <c r="DM187">
        <f ca="1"/>
      </c>
      <c r="DN187">
        <f ca="1"/>
      </c>
      <c r="DO187">
        <f ca="1"/>
      </c>
      <c r="DP187">
        <f ca="1"/>
      </c>
      <c r="DQ187">
        <f ca="1"/>
      </c>
      <c r="DR187">
        <f ca="1"/>
      </c>
      <c r="DS187">
        <f ca="1"/>
      </c>
      <c r="DT187">
        <f ca="1"/>
      </c>
      <c r="DU187">
        <f ca="1"/>
      </c>
      <c r="DV187">
        <f ca="1"/>
      </c>
      <c r="DW187">
        <f ca="1"/>
      </c>
      <c r="DX187">
        <f ca="1"/>
      </c>
      <c r="DY187">
        <f ca="1"/>
      </c>
      <c r="DZ187">
        <f ca="1"/>
      </c>
      <c r="EA187">
        <f ca="1"/>
      </c>
      <c r="EB187">
        <f ca="1"/>
      </c>
      <c r="EC187">
        <f ca="1"/>
      </c>
      <c r="ED187">
        <f ca="1"/>
      </c>
      <c r="EE187">
        <f ca="1"/>
      </c>
      <c r="EF187">
        <f ca="1"/>
      </c>
      <c r="EG187">
        <f ca="1"/>
      </c>
      <c r="EH187">
        <f ca="1"/>
      </c>
      <c r="EI187">
        <f ca="1"/>
      </c>
      <c r="EJ187">
        <f ca="1"/>
      </c>
      <c r="EK187">
        <f ca="1"/>
      </c>
      <c r="EL187">
        <f ca="1"/>
      </c>
      <c r="EM187">
        <f ca="1"/>
      </c>
      <c r="EN187">
        <f ca="1"/>
      </c>
      <c r="EO187">
        <f ca="1"/>
      </c>
      <c r="EP187">
        <f ca="1"/>
      </c>
      <c r="EQ187">
        <f ca="1"/>
      </c>
      <c r="ER187">
        <f ca="1"/>
      </c>
      <c r="ES187">
        <f ca="1"/>
      </c>
      <c r="ET187">
        <f ca="1"/>
      </c>
      <c r="EU187">
        <f ca="1"/>
      </c>
      <c r="EV187">
        <f ca="1"/>
      </c>
      <c r="EW187">
        <f ca="1"/>
      </c>
      <c r="EX187">
        <f ca="1"/>
      </c>
      <c r="EY187">
        <f ca="1"/>
      </c>
      <c r="EZ187">
        <f ca="1"/>
      </c>
      <c r="FA187">
        <f ca="1"/>
      </c>
      <c r="FB187">
        <f ca="1"/>
      </c>
      <c r="FC187">
        <f ca="1"/>
      </c>
      <c r="FD187">
        <f ca="1"/>
      </c>
      <c r="FE187">
        <f ca="1"/>
      </c>
      <c r="FF187">
        <f ca="1"/>
      </c>
      <c r="FG187">
        <f ca="1"/>
      </c>
      <c r="FH187">
        <f ca="1"/>
      </c>
      <c r="FI187">
        <f ca="1"/>
      </c>
      <c r="FJ187">
        <f ca="1"/>
      </c>
      <c r="FK187">
        <f ca="1"/>
      </c>
      <c r="FL187">
        <f ca="1"/>
      </c>
      <c r="FM187">
        <f ca="1"/>
      </c>
      <c r="FN187">
        <f ca="1"/>
      </c>
      <c r="FO187">
        <f ca="1"/>
      </c>
      <c r="FP187">
        <f ca="1"/>
      </c>
      <c r="FQ187">
        <f ca="1"/>
      </c>
      <c r="FR187">
        <f ca="1"/>
      </c>
      <c r="FS187">
        <f ca="1"/>
      </c>
      <c r="FT187">
        <f ca="1"/>
      </c>
      <c r="FU187">
        <f ca="1"/>
      </c>
      <c r="FV187">
        <f ca="1"/>
      </c>
      <c r="FW187">
        <f ca="1"/>
      </c>
      <c r="FX187">
        <f ca="1"/>
      </c>
      <c r="FY187">
        <f ca="1"/>
      </c>
      <c r="FZ187">
        <f ca="1"/>
      </c>
      <c r="GA187">
        <f ca="1"/>
      </c>
      <c r="GB187">
        <f ca="1"/>
      </c>
      <c r="GC187">
        <f ca="1"/>
      </c>
      <c r="GD187">
        <f ca="1"/>
      </c>
      <c r="GE187">
        <f ca="1"/>
      </c>
      <c r="GF187">
        <f ca="1"/>
      </c>
      <c r="GG187">
        <f ca="1"/>
      </c>
      <c r="GH187">
        <f ca="1"/>
      </c>
      <c r="GI187">
        <f ca="1"/>
      </c>
      <c r="GJ187">
        <f ca="1"/>
      </c>
      <c r="GK187">
        <f ca="1"/>
      </c>
      <c r="GL187">
        <f ca="1"/>
      </c>
      <c r="GM187">
        <f ca="1"/>
      </c>
      <c r="GN187">
        <f ca="1"/>
      </c>
      <c r="GO187">
        <f ca="1"/>
      </c>
      <c r="GP187">
        <f ca="1"/>
      </c>
      <c r="GQ187">
        <f ca="1"/>
      </c>
      <c r="GR187">
        <f ca="1"/>
      </c>
      <c r="GS187">
        <f ca="1"/>
      </c>
      <c r="GT187">
        <f ca="1"/>
      </c>
      <c r="GU187">
        <f ca="1"/>
      </c>
      <c r="GV187">
        <f ca="1"/>
      </c>
      <c r="GW187">
        <f ca="1"/>
      </c>
      <c r="GX187">
        <f ca="1"/>
      </c>
      <c r="GY187">
        <f ca="1"/>
      </c>
      <c r="GZ187">
        <f ca="1"/>
      </c>
      <c r="HA187">
        <f ca="1"/>
      </c>
      <c r="HB187">
        <f ca="1"/>
      </c>
      <c r="HC187">
        <f ca="1"/>
      </c>
      <c r="HD187">
        <f ca="1"/>
      </c>
      <c r="HE187">
        <f ca="1"/>
      </c>
      <c r="HF187">
        <f ca="1"/>
      </c>
      <c r="HG187">
        <f ca="1"/>
      </c>
      <c r="HH187">
        <f ca="1"/>
      </c>
      <c r="HI187">
        <f ca="1"/>
      </c>
      <c r="HJ187">
        <f ca="1"/>
      </c>
      <c r="HK187">
        <f ca="1"/>
      </c>
      <c r="HL187">
        <f ca="1"/>
      </c>
      <c r="HM187">
        <f ca="1"/>
      </c>
      <c r="HN187">
        <f ca="1"/>
      </c>
      <c r="HO187">
        <f ca="1"/>
      </c>
      <c r="HP187">
        <f ca="1"/>
      </c>
      <c r="HQ187">
        <f ca="1"/>
      </c>
      <c r="HR187">
        <f ca="1"/>
      </c>
      <c r="HS187">
        <f ca="1"/>
      </c>
      <c r="HT187">
        <f ca="1"/>
      </c>
      <c r="HU187">
        <f ca="1"/>
      </c>
      <c r="HV187">
        <f ca="1"/>
      </c>
      <c r="HW187">
        <f ca="1"/>
      </c>
      <c r="HX187">
        <f ca="1"/>
      </c>
      <c r="HY187">
        <f ca="1"/>
      </c>
      <c r="HZ187">
        <f ca="1"/>
      </c>
      <c r="IA187">
        <f ca="1"/>
      </c>
      <c r="IB187">
        <f ca="1"/>
      </c>
      <c r="IC187">
        <f ca="1"/>
      </c>
      <c r="ID187">
        <f ca="1"/>
      </c>
      <c r="IE187">
        <f ca="1"/>
      </c>
      <c r="IF187">
        <f ca="1"/>
      </c>
      <c r="IG187">
        <f ca="1"/>
      </c>
      <c r="IH187">
        <f ca="1"/>
      </c>
      <c r="II187">
        <f ca="1"/>
      </c>
      <c r="IJ187">
        <f ca="1"/>
      </c>
      <c r="IK187">
        <f ca="1"/>
      </c>
      <c r="IL187">
        <f ca="1"/>
      </c>
      <c r="IM187">
        <f ca="1"/>
      </c>
      <c r="IN187">
        <f ca="1"/>
      </c>
      <c r="IO187">
        <f ca="1"/>
      </c>
      <c r="IP187">
        <f ca="1"/>
      </c>
      <c r="IQ187">
        <f ca="1"/>
      </c>
      <c r="IR187">
        <f ca="1"/>
      </c>
      <c r="IS187">
        <f ca="1"/>
      </c>
      <c r="IT187">
        <f ca="1"/>
      </c>
      <c r="IU187">
        <f ca="1"/>
      </c>
      <c r="IV187">
        <f ca="1"/>
      </c>
      <c r="IW187">
        <f ca="1"/>
      </c>
      <c r="IX187">
        <f ca="1"/>
      </c>
      <c r="IY187">
        <f ca="1"/>
      </c>
      <c r="IZ187">
        <f ca="1"/>
      </c>
      <c r="JA187">
        <f ca="1"/>
      </c>
      <c r="JB187">
        <f ca="1"/>
      </c>
      <c r="LA187">
        <f ca="1"/>
      </c>
      <c r="LB187">
        <f ca="1"/>
      </c>
      <c r="LC187">
        <f ca="1"/>
      </c>
    </row>
    <row r="188" spans="58:315" x14ac:dyDescent="0.55000000000000004">
      <c r="BF188">
        <f ca="1"/>
      </c>
      <c r="BG188">
        <f ca="1"/>
      </c>
      <c r="BI188">
        <f ca="1"/>
      </c>
      <c r="BJ188" s="11">
        <f ca="1"/>
      </c>
      <c r="BK188" s="11">
        <f ca="1"/>
      </c>
      <c r="BL188" s="11">
        <f ca="1"/>
      </c>
      <c r="BM188" s="11">
        <f ca="1"/>
      </c>
      <c r="BN188" s="11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  <c r="BV188">
        <f ca="1"/>
      </c>
      <c r="BW188">
        <f ca="1"/>
      </c>
      <c r="BX188">
        <f ca="1"/>
      </c>
      <c r="BY188">
        <f ca="1"/>
      </c>
      <c r="BZ188">
        <f ca="1"/>
      </c>
      <c r="CA188">
        <f ca="1"/>
      </c>
      <c r="CB188">
        <f ca="1"/>
      </c>
      <c r="CC188">
        <f ca="1"/>
      </c>
      <c r="CD188">
        <f ca="1"/>
      </c>
      <c r="CE188">
        <f ca="1"/>
      </c>
      <c r="CF188">
        <f ca="1"/>
      </c>
      <c r="CG188">
        <f ca="1"/>
      </c>
      <c r="CH188">
        <f ca="1"/>
      </c>
      <c r="CI188">
        <f ca="1"/>
      </c>
      <c r="CJ188">
        <f ca="1"/>
      </c>
      <c r="CK188">
        <f ca="1"/>
      </c>
      <c r="CL188">
        <f ca="1"/>
      </c>
      <c r="CM188">
        <f ca="1"/>
      </c>
      <c r="CN188">
        <f ca="1"/>
      </c>
      <c r="CO188">
        <f ca="1"/>
      </c>
      <c r="CP188">
        <f ca="1"/>
      </c>
      <c r="CQ188">
        <f ca="1"/>
      </c>
      <c r="CR188">
        <f ca="1"/>
      </c>
      <c r="CS188">
        <f ca="1"/>
      </c>
      <c r="CT188">
        <f ca="1"/>
      </c>
      <c r="CU188">
        <f ca="1"/>
      </c>
      <c r="CV188">
        <f ca="1"/>
      </c>
      <c r="CW188">
        <f ca="1"/>
      </c>
      <c r="CX188">
        <f ca="1"/>
      </c>
      <c r="CY188">
        <f ca="1"/>
      </c>
      <c r="CZ188">
        <f ca="1"/>
      </c>
      <c r="DA188">
        <f ca="1"/>
      </c>
      <c r="DB188">
        <f ca="1"/>
      </c>
      <c r="DC188">
        <f ca="1"/>
      </c>
      <c r="DD188">
        <f ca="1"/>
      </c>
      <c r="DE188">
        <f ca="1"/>
      </c>
      <c r="DF188">
        <f ca="1"/>
      </c>
      <c r="DG188">
        <f ca="1"/>
      </c>
      <c r="DH188">
        <f ca="1"/>
      </c>
      <c r="DI188">
        <f ca="1"/>
      </c>
      <c r="DJ188">
        <f ca="1"/>
      </c>
      <c r="DK188">
        <f ca="1"/>
      </c>
      <c r="DL188">
        <f ca="1"/>
      </c>
      <c r="DM188">
        <f ca="1"/>
      </c>
      <c r="DN188">
        <f ca="1"/>
      </c>
      <c r="DO188">
        <f ca="1"/>
      </c>
      <c r="DP188">
        <f ca="1"/>
      </c>
      <c r="DQ188">
        <f ca="1"/>
      </c>
      <c r="DR188">
        <f ca="1"/>
      </c>
      <c r="DS188">
        <f ca="1"/>
      </c>
      <c r="DT188">
        <f ca="1"/>
      </c>
      <c r="DU188">
        <f ca="1"/>
      </c>
      <c r="DV188">
        <f ca="1"/>
      </c>
      <c r="DW188">
        <f ca="1"/>
      </c>
      <c r="DX188">
        <f ca="1"/>
      </c>
      <c r="DY188">
        <f ca="1"/>
      </c>
      <c r="DZ188">
        <f ca="1"/>
      </c>
      <c r="EA188">
        <f ca="1"/>
      </c>
      <c r="EB188">
        <f ca="1"/>
      </c>
      <c r="EC188">
        <f ca="1"/>
      </c>
      <c r="ED188">
        <f ca="1"/>
      </c>
      <c r="EE188">
        <f ca="1"/>
      </c>
      <c r="EF188">
        <f ca="1"/>
      </c>
      <c r="EG188">
        <f ca="1"/>
      </c>
      <c r="EH188">
        <f ca="1"/>
      </c>
      <c r="EI188">
        <f ca="1"/>
      </c>
      <c r="EJ188">
        <f ca="1"/>
      </c>
      <c r="EK188">
        <f ca="1"/>
      </c>
      <c r="EL188">
        <f ca="1"/>
      </c>
      <c r="EM188">
        <f ca="1"/>
      </c>
      <c r="EN188">
        <f ca="1"/>
      </c>
      <c r="EO188">
        <f ca="1"/>
      </c>
      <c r="EP188">
        <f ca="1"/>
      </c>
      <c r="EQ188">
        <f ca="1"/>
      </c>
      <c r="ER188">
        <f ca="1"/>
      </c>
      <c r="ES188">
        <f ca="1"/>
      </c>
      <c r="ET188">
        <f ca="1"/>
      </c>
      <c r="EU188">
        <f ca="1"/>
      </c>
      <c r="EV188">
        <f ca="1"/>
      </c>
      <c r="EW188">
        <f ca="1"/>
      </c>
      <c r="EX188">
        <f ca="1"/>
      </c>
      <c r="EY188">
        <f ca="1"/>
      </c>
      <c r="EZ188">
        <f ca="1"/>
      </c>
      <c r="FA188">
        <f ca="1"/>
      </c>
      <c r="FB188">
        <f ca="1"/>
      </c>
      <c r="FC188">
        <f ca="1"/>
      </c>
      <c r="FD188">
        <f ca="1"/>
      </c>
      <c r="FE188">
        <f ca="1"/>
      </c>
      <c r="FF188">
        <f ca="1"/>
      </c>
      <c r="FG188">
        <f ca="1"/>
      </c>
      <c r="FH188">
        <f ca="1"/>
      </c>
      <c r="FI188">
        <f ca="1"/>
      </c>
      <c r="FJ188">
        <f ca="1"/>
      </c>
      <c r="FK188">
        <f ca="1"/>
      </c>
      <c r="FL188">
        <f ca="1"/>
      </c>
      <c r="FM188">
        <f ca="1"/>
      </c>
      <c r="FN188">
        <f ca="1"/>
      </c>
      <c r="FO188">
        <f ca="1"/>
      </c>
      <c r="FP188">
        <f ca="1"/>
      </c>
      <c r="FQ188">
        <f ca="1"/>
      </c>
      <c r="FR188">
        <f ca="1"/>
      </c>
      <c r="FS188">
        <f ca="1"/>
      </c>
      <c r="FT188">
        <f ca="1"/>
      </c>
      <c r="FU188">
        <f ca="1"/>
      </c>
      <c r="FV188">
        <f ca="1"/>
      </c>
      <c r="FW188">
        <f ca="1"/>
      </c>
      <c r="FX188">
        <f ca="1"/>
      </c>
      <c r="FY188">
        <f ca="1"/>
      </c>
      <c r="FZ188">
        <f ca="1"/>
      </c>
      <c r="GA188">
        <f ca="1"/>
      </c>
      <c r="GB188">
        <f ca="1"/>
      </c>
      <c r="GC188">
        <f ca="1"/>
      </c>
      <c r="GD188">
        <f ca="1"/>
      </c>
      <c r="GE188">
        <f ca="1"/>
      </c>
      <c r="GF188">
        <f ca="1"/>
      </c>
      <c r="GG188">
        <f ca="1"/>
      </c>
      <c r="GH188">
        <f ca="1"/>
      </c>
      <c r="GI188">
        <f ca="1"/>
      </c>
      <c r="GJ188">
        <f ca="1"/>
      </c>
      <c r="GK188">
        <f ca="1"/>
      </c>
      <c r="GL188">
        <f ca="1"/>
      </c>
      <c r="GM188">
        <f ca="1"/>
      </c>
      <c r="GN188">
        <f ca="1"/>
      </c>
      <c r="GO188">
        <f ca="1"/>
      </c>
      <c r="GP188">
        <f ca="1"/>
      </c>
      <c r="GQ188">
        <f ca="1"/>
      </c>
      <c r="GR188">
        <f ca="1"/>
      </c>
      <c r="GS188">
        <f ca="1"/>
      </c>
      <c r="GT188">
        <f ca="1"/>
      </c>
      <c r="GU188">
        <f ca="1"/>
      </c>
      <c r="GV188">
        <f ca="1"/>
      </c>
      <c r="GW188">
        <f ca="1"/>
      </c>
      <c r="GX188">
        <f ca="1"/>
      </c>
      <c r="GY188">
        <f ca="1"/>
      </c>
      <c r="GZ188">
        <f ca="1"/>
      </c>
      <c r="HA188">
        <f ca="1"/>
      </c>
      <c r="HB188">
        <f ca="1"/>
      </c>
      <c r="HC188">
        <f ca="1"/>
      </c>
      <c r="HD188">
        <f ca="1"/>
      </c>
      <c r="HE188">
        <f ca="1"/>
      </c>
      <c r="HF188">
        <f ca="1"/>
      </c>
      <c r="HG188">
        <f ca="1"/>
      </c>
      <c r="HH188">
        <f ca="1"/>
      </c>
      <c r="HI188">
        <f ca="1"/>
      </c>
      <c r="HJ188">
        <f ca="1"/>
      </c>
      <c r="HK188">
        <f ca="1"/>
      </c>
      <c r="HL188">
        <f ca="1"/>
      </c>
      <c r="HM188">
        <f ca="1"/>
      </c>
      <c r="HN188">
        <f ca="1"/>
      </c>
      <c r="HO188">
        <f ca="1"/>
      </c>
      <c r="HP188">
        <f ca="1"/>
      </c>
      <c r="HQ188">
        <f ca="1"/>
      </c>
      <c r="HR188">
        <f ca="1"/>
      </c>
      <c r="HS188">
        <f ca="1"/>
      </c>
      <c r="HT188">
        <f ca="1"/>
      </c>
      <c r="HU188">
        <f ca="1"/>
      </c>
      <c r="HV188">
        <f ca="1"/>
      </c>
      <c r="HW188">
        <f ca="1"/>
      </c>
      <c r="HX188">
        <f ca="1"/>
      </c>
      <c r="HY188">
        <f ca="1"/>
      </c>
      <c r="HZ188">
        <f ca="1"/>
      </c>
      <c r="IA188">
        <f ca="1"/>
      </c>
      <c r="IB188">
        <f ca="1"/>
      </c>
      <c r="IC188">
        <f ca="1"/>
      </c>
      <c r="ID188">
        <f ca="1"/>
      </c>
      <c r="IE188">
        <f ca="1"/>
      </c>
      <c r="IF188">
        <f ca="1"/>
      </c>
      <c r="IG188">
        <f ca="1"/>
      </c>
      <c r="IH188">
        <f ca="1"/>
      </c>
      <c r="II188">
        <f ca="1"/>
      </c>
      <c r="IJ188">
        <f ca="1"/>
      </c>
      <c r="IK188">
        <f ca="1"/>
      </c>
      <c r="IL188">
        <f ca="1"/>
      </c>
      <c r="IM188">
        <f ca="1"/>
      </c>
      <c r="IN188">
        <f ca="1"/>
      </c>
      <c r="IO188">
        <f ca="1"/>
      </c>
      <c r="IP188">
        <f ca="1"/>
      </c>
      <c r="IQ188">
        <f ca="1"/>
      </c>
      <c r="IR188">
        <f ca="1"/>
      </c>
      <c r="IS188">
        <f ca="1"/>
      </c>
      <c r="IT188">
        <f ca="1"/>
      </c>
      <c r="IU188">
        <f ca="1"/>
      </c>
      <c r="IV188">
        <f ca="1"/>
      </c>
      <c r="IW188">
        <f ca="1"/>
      </c>
      <c r="IX188">
        <f ca="1"/>
      </c>
      <c r="IY188">
        <f ca="1"/>
      </c>
      <c r="IZ188">
        <f ca="1"/>
      </c>
      <c r="JA188">
        <f ca="1"/>
      </c>
      <c r="JB188">
        <f ca="1"/>
      </c>
      <c r="LA188">
        <f ca="1"/>
      </c>
      <c r="LB188">
        <f ca="1"/>
      </c>
      <c r="LC188">
        <f ca="1"/>
      </c>
    </row>
    <row r="189" spans="58:315" x14ac:dyDescent="0.55000000000000004">
      <c r="BF189">
        <f ca="1"/>
      </c>
      <c r="BG189">
        <f ca="1"/>
      </c>
      <c r="BI189">
        <f ca="1"/>
      </c>
      <c r="BJ189" s="11">
        <f ca="1"/>
      </c>
      <c r="BK189" s="11">
        <f ca="1"/>
      </c>
      <c r="BL189" s="11">
        <f ca="1"/>
      </c>
      <c r="BM189" s="11">
        <f ca="1"/>
      </c>
      <c r="BN189" s="11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  <c r="BV189">
        <f ca="1"/>
      </c>
      <c r="BW189">
        <f ca="1"/>
      </c>
      <c r="BX189">
        <f ca="1"/>
      </c>
      <c r="BY189">
        <f ca="1"/>
      </c>
      <c r="BZ189">
        <f ca="1"/>
      </c>
      <c r="CA189">
        <f ca="1"/>
      </c>
      <c r="CB189">
        <f ca="1"/>
      </c>
      <c r="CC189">
        <f ca="1"/>
      </c>
      <c r="CD189">
        <f ca="1"/>
      </c>
      <c r="CE189">
        <f ca="1"/>
      </c>
      <c r="CF189">
        <f ca="1"/>
      </c>
      <c r="CG189">
        <f ca="1"/>
      </c>
      <c r="CH189">
        <f ca="1"/>
      </c>
      <c r="CI189">
        <f ca="1"/>
      </c>
      <c r="CJ189">
        <f ca="1"/>
      </c>
      <c r="CK189">
        <f ca="1"/>
      </c>
      <c r="CL189">
        <f ca="1"/>
      </c>
      <c r="CM189">
        <f ca="1"/>
      </c>
      <c r="CN189">
        <f ca="1"/>
      </c>
      <c r="CO189">
        <f ca="1"/>
      </c>
      <c r="CP189">
        <f ca="1"/>
      </c>
      <c r="CQ189">
        <f ca="1"/>
      </c>
      <c r="CR189">
        <f ca="1"/>
      </c>
      <c r="CS189">
        <f ca="1"/>
      </c>
      <c r="CT189">
        <f ca="1"/>
      </c>
      <c r="CU189">
        <f ca="1"/>
      </c>
      <c r="CV189">
        <f ca="1"/>
      </c>
      <c r="CW189">
        <f ca="1"/>
      </c>
      <c r="CX189">
        <f ca="1"/>
      </c>
      <c r="CY189">
        <f ca="1"/>
      </c>
      <c r="CZ189">
        <f ca="1"/>
      </c>
      <c r="DA189">
        <f ca="1"/>
      </c>
      <c r="DB189">
        <f ca="1"/>
      </c>
      <c r="DC189">
        <f ca="1"/>
      </c>
      <c r="DD189">
        <f ca="1"/>
      </c>
      <c r="DE189">
        <f ca="1"/>
      </c>
      <c r="DF189">
        <f ca="1"/>
      </c>
      <c r="DG189">
        <f ca="1"/>
      </c>
      <c r="DH189">
        <f ca="1"/>
      </c>
      <c r="DI189">
        <f ca="1"/>
      </c>
      <c r="DJ189">
        <f ca="1"/>
      </c>
      <c r="DK189">
        <f ca="1"/>
      </c>
      <c r="DL189">
        <f ca="1"/>
      </c>
      <c r="DM189">
        <f ca="1"/>
      </c>
      <c r="DN189">
        <f ca="1"/>
      </c>
      <c r="DO189">
        <f ca="1"/>
      </c>
      <c r="DP189">
        <f ca="1"/>
      </c>
      <c r="DQ189">
        <f ca="1"/>
      </c>
      <c r="DR189">
        <f ca="1"/>
      </c>
      <c r="DS189">
        <f ca="1"/>
      </c>
      <c r="DT189">
        <f ca="1"/>
      </c>
      <c r="DU189">
        <f ca="1"/>
      </c>
      <c r="DV189">
        <f ca="1"/>
      </c>
      <c r="DW189">
        <f ca="1"/>
      </c>
      <c r="DX189">
        <f ca="1"/>
      </c>
      <c r="DY189">
        <f ca="1"/>
      </c>
      <c r="DZ189">
        <f ca="1"/>
      </c>
      <c r="EA189">
        <f ca="1"/>
      </c>
      <c r="EB189">
        <f ca="1"/>
      </c>
      <c r="EC189">
        <f ca="1"/>
      </c>
      <c r="ED189">
        <f ca="1"/>
      </c>
      <c r="EE189">
        <f ca="1"/>
      </c>
      <c r="EF189">
        <f ca="1"/>
      </c>
      <c r="EG189">
        <f ca="1"/>
      </c>
      <c r="EH189">
        <f ca="1"/>
      </c>
      <c r="EI189">
        <f ca="1"/>
      </c>
      <c r="EJ189">
        <f ca="1"/>
      </c>
      <c r="EK189">
        <f ca="1"/>
      </c>
      <c r="EL189">
        <f ca="1"/>
      </c>
      <c r="EM189">
        <f ca="1"/>
      </c>
      <c r="EN189">
        <f ca="1"/>
      </c>
      <c r="EO189">
        <f ca="1"/>
      </c>
      <c r="EP189">
        <f ca="1"/>
      </c>
      <c r="EQ189">
        <f ca="1"/>
      </c>
      <c r="ER189">
        <f ca="1"/>
      </c>
      <c r="ES189">
        <f ca="1"/>
      </c>
      <c r="ET189">
        <f ca="1"/>
      </c>
      <c r="EU189">
        <f ca="1"/>
      </c>
      <c r="EV189">
        <f ca="1"/>
      </c>
      <c r="EW189">
        <f ca="1"/>
      </c>
      <c r="EX189">
        <f ca="1"/>
      </c>
      <c r="EY189">
        <f ca="1"/>
      </c>
      <c r="EZ189">
        <f ca="1"/>
      </c>
      <c r="FA189">
        <f ca="1"/>
      </c>
      <c r="FB189">
        <f ca="1"/>
      </c>
      <c r="FC189">
        <f ca="1"/>
      </c>
      <c r="FD189">
        <f ca="1"/>
      </c>
      <c r="FE189">
        <f ca="1"/>
      </c>
      <c r="FF189">
        <f ca="1"/>
      </c>
      <c r="FG189">
        <f ca="1"/>
      </c>
      <c r="FH189">
        <f ca="1"/>
      </c>
      <c r="FI189">
        <f ca="1"/>
      </c>
      <c r="FJ189">
        <f ca="1"/>
      </c>
      <c r="FK189">
        <f ca="1"/>
      </c>
      <c r="FL189">
        <f ca="1"/>
      </c>
      <c r="FM189">
        <f ca="1"/>
      </c>
      <c r="FN189">
        <f ca="1"/>
      </c>
      <c r="FO189">
        <f ca="1"/>
      </c>
      <c r="FP189">
        <f ca="1"/>
      </c>
      <c r="FQ189">
        <f ca="1"/>
      </c>
      <c r="FR189">
        <f ca="1"/>
      </c>
      <c r="FS189">
        <f ca="1"/>
      </c>
      <c r="FT189">
        <f ca="1"/>
      </c>
      <c r="FU189">
        <f ca="1"/>
      </c>
      <c r="FV189">
        <f ca="1"/>
      </c>
      <c r="FW189">
        <f ca="1"/>
      </c>
      <c r="FX189">
        <f ca="1"/>
      </c>
      <c r="FY189">
        <f ca="1"/>
      </c>
      <c r="FZ189">
        <f ca="1"/>
      </c>
      <c r="GA189">
        <f ca="1"/>
      </c>
      <c r="GB189">
        <f ca="1"/>
      </c>
      <c r="GC189">
        <f ca="1"/>
      </c>
      <c r="GD189">
        <f ca="1"/>
      </c>
      <c r="GE189">
        <f ca="1"/>
      </c>
      <c r="GF189">
        <f ca="1"/>
      </c>
      <c r="GG189">
        <f ca="1"/>
      </c>
      <c r="GH189">
        <f ca="1"/>
      </c>
      <c r="GI189">
        <f ca="1"/>
      </c>
      <c r="GJ189">
        <f ca="1"/>
      </c>
      <c r="GK189">
        <f ca="1"/>
      </c>
      <c r="GL189">
        <f ca="1"/>
      </c>
      <c r="GM189">
        <f ca="1"/>
      </c>
      <c r="GN189">
        <f ca="1"/>
      </c>
      <c r="GO189">
        <f ca="1"/>
      </c>
      <c r="GP189">
        <f ca="1"/>
      </c>
      <c r="GQ189">
        <f ca="1"/>
      </c>
      <c r="GR189">
        <f ca="1"/>
      </c>
      <c r="GS189">
        <f ca="1"/>
      </c>
      <c r="GT189">
        <f ca="1"/>
      </c>
      <c r="GU189">
        <f ca="1"/>
      </c>
      <c r="GV189">
        <f ca="1"/>
      </c>
      <c r="GW189">
        <f ca="1"/>
      </c>
      <c r="GX189">
        <f ca="1"/>
      </c>
      <c r="GY189">
        <f ca="1"/>
      </c>
      <c r="GZ189">
        <f ca="1"/>
      </c>
      <c r="HA189">
        <f ca="1"/>
      </c>
      <c r="HB189">
        <f ca="1"/>
      </c>
      <c r="HC189">
        <f ca="1"/>
      </c>
      <c r="HD189">
        <f ca="1"/>
      </c>
      <c r="HE189">
        <f ca="1"/>
      </c>
      <c r="HF189">
        <f ca="1"/>
      </c>
      <c r="HG189">
        <f ca="1"/>
      </c>
      <c r="HH189">
        <f ca="1"/>
      </c>
      <c r="HI189">
        <f ca="1"/>
      </c>
      <c r="HJ189">
        <f ca="1"/>
      </c>
      <c r="HK189">
        <f ca="1"/>
      </c>
      <c r="HL189">
        <f ca="1"/>
      </c>
      <c r="HM189">
        <f ca="1"/>
      </c>
      <c r="HN189">
        <f ca="1"/>
      </c>
      <c r="HO189">
        <f ca="1"/>
      </c>
      <c r="HP189">
        <f ca="1"/>
      </c>
      <c r="HQ189">
        <f ca="1"/>
      </c>
      <c r="HR189">
        <f ca="1"/>
      </c>
      <c r="HS189">
        <f ca="1"/>
      </c>
      <c r="HT189">
        <f ca="1"/>
      </c>
      <c r="HU189">
        <f ca="1"/>
      </c>
      <c r="HV189">
        <f ca="1"/>
      </c>
      <c r="HW189">
        <f ca="1"/>
      </c>
      <c r="HX189">
        <f ca="1"/>
      </c>
      <c r="HY189">
        <f ca="1"/>
      </c>
      <c r="HZ189">
        <f ca="1"/>
      </c>
      <c r="IA189">
        <f ca="1"/>
      </c>
      <c r="IB189">
        <f ca="1"/>
      </c>
      <c r="IC189">
        <f ca="1"/>
      </c>
      <c r="ID189">
        <f ca="1"/>
      </c>
      <c r="IE189">
        <f ca="1"/>
      </c>
      <c r="IF189">
        <f ca="1"/>
      </c>
      <c r="IG189">
        <f ca="1"/>
      </c>
      <c r="IH189">
        <f ca="1"/>
      </c>
      <c r="II189">
        <f ca="1"/>
      </c>
      <c r="IJ189">
        <f ca="1"/>
      </c>
      <c r="IK189">
        <f ca="1"/>
      </c>
      <c r="IL189">
        <f ca="1"/>
      </c>
      <c r="IM189">
        <f ca="1"/>
      </c>
      <c r="IN189">
        <f ca="1"/>
      </c>
      <c r="IO189">
        <f ca="1"/>
      </c>
      <c r="IP189">
        <f ca="1"/>
      </c>
      <c r="IQ189">
        <f ca="1"/>
      </c>
      <c r="IR189">
        <f ca="1"/>
      </c>
      <c r="IS189">
        <f ca="1"/>
      </c>
      <c r="IT189">
        <f ca="1"/>
      </c>
      <c r="IU189">
        <f ca="1"/>
      </c>
      <c r="IV189">
        <f ca="1"/>
      </c>
      <c r="IW189">
        <f ca="1"/>
      </c>
      <c r="IX189">
        <f ca="1"/>
      </c>
      <c r="IY189">
        <f ca="1"/>
      </c>
      <c r="IZ189">
        <f ca="1"/>
      </c>
      <c r="JA189">
        <f ca="1"/>
      </c>
      <c r="JB189">
        <f ca="1"/>
      </c>
      <c r="LA189">
        <f ca="1"/>
      </c>
      <c r="LB189">
        <f ca="1"/>
      </c>
      <c r="LC189">
        <f ca="1"/>
      </c>
    </row>
    <row r="190" spans="58:315" x14ac:dyDescent="0.55000000000000004">
      <c r="BF190">
        <f ca="1"/>
      </c>
      <c r="BG190">
        <f ca="1"/>
      </c>
      <c r="BI190">
        <f ca="1"/>
      </c>
      <c r="BJ190" s="11">
        <f ca="1"/>
      </c>
      <c r="BK190" s="11">
        <f ca="1"/>
      </c>
      <c r="BL190" s="11">
        <f ca="1"/>
      </c>
      <c r="BM190" s="11">
        <f ca="1"/>
      </c>
      <c r="BN190" s="11">
        <f ca="1"/>
      </c>
      <c r="BP190">
        <f ca="1"/>
      </c>
      <c r="BQ190">
        <f ca="1"/>
      </c>
      <c r="BR190">
        <f ca="1"/>
      </c>
      <c r="BS190">
        <f ca="1"/>
      </c>
      <c r="BT190">
        <f ca="1"/>
      </c>
      <c r="BU190">
        <f ca="1"/>
      </c>
      <c r="BV190">
        <f ca="1"/>
      </c>
      <c r="BW190">
        <f ca="1"/>
      </c>
      <c r="BX190">
        <f ca="1"/>
      </c>
      <c r="BY190">
        <f ca="1"/>
      </c>
      <c r="BZ190">
        <f ca="1"/>
      </c>
      <c r="CA190">
        <f ca="1"/>
      </c>
      <c r="CB190">
        <f ca="1"/>
      </c>
      <c r="CC190">
        <f ca="1"/>
      </c>
      <c r="CD190">
        <f ca="1"/>
      </c>
      <c r="CE190">
        <f ca="1"/>
      </c>
      <c r="CF190">
        <f ca="1"/>
      </c>
      <c r="CG190">
        <f ca="1"/>
      </c>
      <c r="CH190">
        <f ca="1"/>
      </c>
      <c r="CI190">
        <f ca="1"/>
      </c>
      <c r="CJ190">
        <f ca="1"/>
      </c>
      <c r="CK190">
        <f ca="1"/>
      </c>
      <c r="CL190">
        <f ca="1"/>
      </c>
      <c r="CM190">
        <f ca="1"/>
      </c>
      <c r="CN190">
        <f ca="1"/>
      </c>
      <c r="CO190">
        <f ca="1"/>
      </c>
      <c r="CP190">
        <f ca="1"/>
      </c>
      <c r="CQ190">
        <f ca="1"/>
      </c>
      <c r="CR190">
        <f ca="1"/>
      </c>
      <c r="CS190">
        <f ca="1"/>
      </c>
      <c r="CT190">
        <f ca="1"/>
      </c>
      <c r="CU190">
        <f ca="1"/>
      </c>
      <c r="CV190">
        <f ca="1"/>
      </c>
      <c r="CW190">
        <f ca="1"/>
      </c>
      <c r="CX190">
        <f ca="1"/>
      </c>
      <c r="CY190">
        <f ca="1"/>
      </c>
      <c r="CZ190">
        <f ca="1"/>
      </c>
      <c r="DA190">
        <f ca="1"/>
      </c>
      <c r="DB190">
        <f ca="1"/>
      </c>
      <c r="DC190">
        <f ca="1"/>
      </c>
      <c r="DD190">
        <f ca="1"/>
      </c>
      <c r="DE190">
        <f ca="1"/>
      </c>
      <c r="DF190">
        <f ca="1"/>
      </c>
      <c r="DG190">
        <f ca="1"/>
      </c>
      <c r="DH190">
        <f ca="1"/>
      </c>
      <c r="DI190">
        <f ca="1"/>
      </c>
      <c r="DJ190">
        <f ca="1"/>
      </c>
      <c r="DK190">
        <f ca="1"/>
      </c>
      <c r="DL190">
        <f ca="1"/>
      </c>
      <c r="DM190">
        <f ca="1"/>
      </c>
      <c r="DN190">
        <f ca="1"/>
      </c>
      <c r="DO190">
        <f ca="1"/>
      </c>
      <c r="DP190">
        <f ca="1"/>
      </c>
      <c r="DQ190">
        <f ca="1"/>
      </c>
      <c r="DR190">
        <f ca="1"/>
      </c>
      <c r="DS190">
        <f ca="1"/>
      </c>
      <c r="DT190">
        <f ca="1"/>
      </c>
      <c r="DU190">
        <f ca="1"/>
      </c>
      <c r="DV190">
        <f ca="1"/>
      </c>
      <c r="DW190">
        <f ca="1"/>
      </c>
      <c r="DX190">
        <f ca="1"/>
      </c>
      <c r="DY190">
        <f ca="1"/>
      </c>
      <c r="DZ190">
        <f ca="1"/>
      </c>
      <c r="EA190">
        <f ca="1"/>
      </c>
      <c r="EB190">
        <f ca="1"/>
      </c>
      <c r="EC190">
        <f ca="1"/>
      </c>
      <c r="ED190">
        <f ca="1"/>
      </c>
      <c r="EE190">
        <f ca="1"/>
      </c>
      <c r="EF190">
        <f ca="1"/>
      </c>
      <c r="EG190">
        <f ca="1"/>
      </c>
      <c r="EH190">
        <f ca="1"/>
      </c>
      <c r="EI190">
        <f ca="1"/>
      </c>
      <c r="EJ190">
        <f ca="1"/>
      </c>
      <c r="EK190">
        <f ca="1"/>
      </c>
      <c r="EL190">
        <f ca="1"/>
      </c>
      <c r="EM190">
        <f ca="1"/>
      </c>
      <c r="EN190">
        <f ca="1"/>
      </c>
      <c r="EO190">
        <f ca="1"/>
      </c>
      <c r="EP190">
        <f ca="1"/>
      </c>
      <c r="EQ190">
        <f ca="1"/>
      </c>
      <c r="ER190">
        <f ca="1"/>
      </c>
      <c r="ES190">
        <f ca="1"/>
      </c>
      <c r="ET190">
        <f ca="1"/>
      </c>
      <c r="EU190">
        <f ca="1"/>
      </c>
      <c r="EV190">
        <f ca="1"/>
      </c>
      <c r="EW190">
        <f ca="1"/>
      </c>
      <c r="EX190">
        <f ca="1"/>
      </c>
      <c r="EY190">
        <f ca="1"/>
      </c>
      <c r="EZ190">
        <f ca="1"/>
      </c>
      <c r="FA190">
        <f ca="1"/>
      </c>
      <c r="FB190">
        <f ca="1"/>
      </c>
      <c r="FC190">
        <f ca="1"/>
      </c>
      <c r="FD190">
        <f ca="1"/>
      </c>
      <c r="FE190">
        <f ca="1"/>
      </c>
      <c r="FF190">
        <f ca="1"/>
      </c>
      <c r="FG190">
        <f ca="1"/>
      </c>
      <c r="FH190">
        <f ca="1"/>
      </c>
      <c r="FI190">
        <f ca="1"/>
      </c>
      <c r="FJ190">
        <f ca="1"/>
      </c>
      <c r="FK190">
        <f ca="1"/>
      </c>
      <c r="FL190">
        <f ca="1"/>
      </c>
      <c r="FM190">
        <f ca="1"/>
      </c>
      <c r="FN190">
        <f ca="1"/>
      </c>
      <c r="FO190">
        <f ca="1"/>
      </c>
      <c r="FP190">
        <f ca="1"/>
      </c>
      <c r="FQ190">
        <f ca="1"/>
      </c>
      <c r="FR190">
        <f ca="1"/>
      </c>
      <c r="FS190">
        <f ca="1"/>
      </c>
      <c r="FT190">
        <f ca="1"/>
      </c>
      <c r="FU190">
        <f ca="1"/>
      </c>
      <c r="FV190">
        <f ca="1"/>
      </c>
      <c r="FW190">
        <f ca="1"/>
      </c>
      <c r="FX190">
        <f ca="1"/>
      </c>
      <c r="FY190">
        <f ca="1"/>
      </c>
      <c r="FZ190">
        <f ca="1"/>
      </c>
      <c r="GA190">
        <f ca="1"/>
      </c>
      <c r="GB190">
        <f ca="1"/>
      </c>
      <c r="GC190">
        <f ca="1"/>
      </c>
      <c r="GD190">
        <f ca="1"/>
      </c>
      <c r="GE190">
        <f ca="1"/>
      </c>
      <c r="GF190">
        <f ca="1"/>
      </c>
      <c r="GG190">
        <f ca="1"/>
      </c>
      <c r="GH190">
        <f ca="1"/>
      </c>
      <c r="GI190">
        <f ca="1"/>
      </c>
      <c r="GJ190">
        <f ca="1"/>
      </c>
      <c r="GK190">
        <f ca="1"/>
      </c>
      <c r="GL190">
        <f ca="1"/>
      </c>
      <c r="GM190">
        <f ca="1"/>
      </c>
      <c r="GN190">
        <f ca="1"/>
      </c>
      <c r="GO190">
        <f ca="1"/>
      </c>
      <c r="GP190">
        <f ca="1"/>
      </c>
      <c r="GQ190">
        <f ca="1"/>
      </c>
      <c r="GR190">
        <f ca="1"/>
      </c>
      <c r="GS190">
        <f ca="1"/>
      </c>
      <c r="GT190">
        <f ca="1"/>
      </c>
      <c r="GU190">
        <f ca="1"/>
      </c>
      <c r="GV190">
        <f ca="1"/>
      </c>
      <c r="GW190">
        <f ca="1"/>
      </c>
      <c r="GX190">
        <f ca="1"/>
      </c>
      <c r="GY190">
        <f ca="1"/>
      </c>
      <c r="GZ190">
        <f ca="1"/>
      </c>
      <c r="HA190">
        <f ca="1"/>
      </c>
      <c r="HB190">
        <f ca="1"/>
      </c>
      <c r="HC190">
        <f ca="1"/>
      </c>
      <c r="HD190">
        <f ca="1"/>
      </c>
      <c r="HE190">
        <f ca="1"/>
      </c>
      <c r="HF190">
        <f ca="1"/>
      </c>
      <c r="HG190">
        <f ca="1"/>
      </c>
      <c r="HH190">
        <f ca="1"/>
      </c>
      <c r="HI190">
        <f ca="1"/>
      </c>
      <c r="HJ190">
        <f ca="1"/>
      </c>
      <c r="HK190">
        <f ca="1"/>
      </c>
      <c r="HL190">
        <f ca="1"/>
      </c>
      <c r="HM190">
        <f ca="1"/>
      </c>
      <c r="HN190">
        <f ca="1"/>
      </c>
      <c r="HO190">
        <f ca="1"/>
      </c>
      <c r="HP190">
        <f ca="1"/>
      </c>
      <c r="HQ190">
        <f ca="1"/>
      </c>
      <c r="HR190">
        <f ca="1"/>
      </c>
      <c r="HS190">
        <f ca="1"/>
      </c>
      <c r="HT190">
        <f ca="1"/>
      </c>
      <c r="HU190">
        <f ca="1"/>
      </c>
      <c r="HV190">
        <f ca="1"/>
      </c>
      <c r="HW190">
        <f ca="1"/>
      </c>
      <c r="HX190">
        <f ca="1"/>
      </c>
      <c r="HY190">
        <f ca="1"/>
      </c>
      <c r="HZ190">
        <f ca="1"/>
      </c>
      <c r="IA190">
        <f ca="1"/>
      </c>
      <c r="IB190">
        <f ca="1"/>
      </c>
      <c r="IC190">
        <f ca="1"/>
      </c>
      <c r="ID190">
        <f ca="1"/>
      </c>
      <c r="IE190">
        <f ca="1"/>
      </c>
      <c r="IF190">
        <f ca="1"/>
      </c>
      <c r="IG190">
        <f ca="1"/>
      </c>
      <c r="IH190">
        <f ca="1"/>
      </c>
      <c r="II190">
        <f ca="1"/>
      </c>
      <c r="IJ190">
        <f ca="1"/>
      </c>
      <c r="IK190">
        <f ca="1"/>
      </c>
      <c r="IL190">
        <f ca="1"/>
      </c>
      <c r="IM190">
        <f ca="1"/>
      </c>
      <c r="IN190">
        <f ca="1"/>
      </c>
      <c r="IO190">
        <f ca="1"/>
      </c>
      <c r="IP190">
        <f ca="1"/>
      </c>
      <c r="IQ190">
        <f ca="1"/>
      </c>
      <c r="IR190">
        <f ca="1"/>
      </c>
      <c r="IS190">
        <f ca="1"/>
      </c>
      <c r="IT190">
        <f ca="1"/>
      </c>
      <c r="IU190">
        <f ca="1"/>
      </c>
      <c r="IV190">
        <f ca="1"/>
      </c>
      <c r="IW190">
        <f ca="1"/>
      </c>
      <c r="IX190">
        <f ca="1"/>
      </c>
      <c r="IY190">
        <f ca="1"/>
      </c>
      <c r="IZ190">
        <f ca="1"/>
      </c>
      <c r="JA190">
        <f ca="1"/>
      </c>
      <c r="JB190">
        <f ca="1"/>
      </c>
      <c r="LA190">
        <f ca="1"/>
      </c>
      <c r="LB190">
        <f ca="1"/>
      </c>
      <c r="LC190">
        <f ca="1"/>
      </c>
    </row>
    <row r="191" spans="58:315" x14ac:dyDescent="0.55000000000000004">
      <c r="BF191">
        <f ca="1"/>
      </c>
      <c r="BG191">
        <f ca="1"/>
      </c>
      <c r="BI191">
        <f ca="1"/>
      </c>
      <c r="BJ191" s="11">
        <f ca="1"/>
      </c>
      <c r="BK191" s="11">
        <f ca="1"/>
      </c>
      <c r="BL191" s="11">
        <f ca="1"/>
      </c>
      <c r="BM191" s="11">
        <f ca="1"/>
      </c>
      <c r="BN191" s="11">
        <f ca="1"/>
      </c>
      <c r="BP191">
        <f ca="1"/>
      </c>
      <c r="BQ191">
        <f ca="1"/>
      </c>
      <c r="BR191">
        <f ca="1"/>
      </c>
      <c r="BS191">
        <f ca="1"/>
      </c>
      <c r="BT191">
        <f ca="1"/>
      </c>
      <c r="BU191">
        <f ca="1"/>
      </c>
      <c r="BV191">
        <f ca="1"/>
      </c>
      <c r="BW191">
        <f ca="1"/>
      </c>
      <c r="BX191">
        <f ca="1"/>
      </c>
      <c r="BY191">
        <f ca="1"/>
      </c>
      <c r="BZ191">
        <f ca="1"/>
      </c>
      <c r="CA191">
        <f ca="1"/>
      </c>
      <c r="CB191">
        <f ca="1"/>
      </c>
      <c r="CC191">
        <f ca="1"/>
      </c>
      <c r="CD191">
        <f ca="1"/>
      </c>
      <c r="CE191">
        <f ca="1"/>
      </c>
      <c r="CF191">
        <f ca="1"/>
      </c>
      <c r="CG191">
        <f ca="1"/>
      </c>
      <c r="CH191">
        <f ca="1"/>
      </c>
      <c r="CI191">
        <f ca="1"/>
      </c>
      <c r="CJ191">
        <f ca="1"/>
      </c>
      <c r="CK191">
        <f ca="1"/>
      </c>
      <c r="CL191">
        <f ca="1"/>
      </c>
      <c r="CM191">
        <f ca="1"/>
      </c>
      <c r="CN191">
        <f ca="1"/>
      </c>
      <c r="CO191">
        <f ca="1"/>
      </c>
      <c r="CP191">
        <f ca="1"/>
      </c>
      <c r="CQ191">
        <f ca="1"/>
      </c>
      <c r="CR191">
        <f ca="1"/>
      </c>
      <c r="CS191">
        <f ca="1"/>
      </c>
      <c r="CT191">
        <f ca="1"/>
      </c>
      <c r="CU191">
        <f ca="1"/>
      </c>
      <c r="CV191">
        <f ca="1"/>
      </c>
      <c r="CW191">
        <f ca="1"/>
      </c>
      <c r="CX191">
        <f ca="1"/>
      </c>
      <c r="CY191">
        <f ca="1"/>
      </c>
      <c r="CZ191">
        <f ca="1"/>
      </c>
      <c r="DA191">
        <f ca="1"/>
      </c>
      <c r="DB191">
        <f ca="1"/>
      </c>
      <c r="DC191">
        <f ca="1"/>
      </c>
      <c r="DD191">
        <f ca="1"/>
      </c>
      <c r="DE191">
        <f ca="1"/>
      </c>
      <c r="DF191">
        <f ca="1"/>
      </c>
      <c r="DG191">
        <f ca="1"/>
      </c>
      <c r="DH191">
        <f ca="1"/>
      </c>
      <c r="DI191">
        <f ca="1"/>
      </c>
      <c r="DJ191">
        <f ca="1"/>
      </c>
      <c r="DK191">
        <f ca="1"/>
      </c>
      <c r="DL191">
        <f ca="1"/>
      </c>
      <c r="DM191">
        <f ca="1"/>
      </c>
      <c r="DN191">
        <f ca="1"/>
      </c>
      <c r="DO191">
        <f ca="1"/>
      </c>
      <c r="DP191">
        <f ca="1"/>
      </c>
      <c r="DQ191">
        <f ca="1"/>
      </c>
      <c r="DR191">
        <f ca="1"/>
      </c>
      <c r="DS191">
        <f ca="1"/>
      </c>
      <c r="DT191">
        <f ca="1"/>
      </c>
      <c r="DU191">
        <f ca="1"/>
      </c>
      <c r="DV191">
        <f ca="1"/>
      </c>
      <c r="DW191">
        <f ca="1"/>
      </c>
      <c r="DX191">
        <f ca="1"/>
      </c>
      <c r="DY191">
        <f ca="1"/>
      </c>
      <c r="DZ191">
        <f ca="1"/>
      </c>
      <c r="EA191">
        <f ca="1"/>
      </c>
      <c r="EB191">
        <f ca="1"/>
      </c>
      <c r="EC191">
        <f ca="1"/>
      </c>
      <c r="ED191">
        <f ca="1"/>
      </c>
      <c r="EE191">
        <f ca="1"/>
      </c>
      <c r="EF191">
        <f ca="1"/>
      </c>
      <c r="EG191">
        <f ca="1"/>
      </c>
      <c r="EH191">
        <f ca="1"/>
      </c>
      <c r="EI191">
        <f ca="1"/>
      </c>
      <c r="EJ191">
        <f ca="1"/>
      </c>
      <c r="EK191">
        <f ca="1"/>
      </c>
      <c r="EL191">
        <f ca="1"/>
      </c>
      <c r="EM191">
        <f ca="1"/>
      </c>
      <c r="EN191">
        <f ca="1"/>
      </c>
      <c r="EO191">
        <f ca="1"/>
      </c>
      <c r="EP191">
        <f ca="1"/>
      </c>
      <c r="EQ191">
        <f ca="1"/>
      </c>
      <c r="ER191">
        <f ca="1"/>
      </c>
      <c r="ES191">
        <f ca="1"/>
      </c>
      <c r="ET191">
        <f ca="1"/>
      </c>
      <c r="EU191">
        <f ca="1"/>
      </c>
      <c r="EV191">
        <f ca="1"/>
      </c>
      <c r="EW191">
        <f ca="1"/>
      </c>
      <c r="EX191">
        <f ca="1"/>
      </c>
      <c r="EY191">
        <f ca="1"/>
      </c>
      <c r="EZ191">
        <f ca="1"/>
      </c>
      <c r="FA191">
        <f ca="1"/>
      </c>
      <c r="FB191">
        <f ca="1"/>
      </c>
      <c r="FC191">
        <f ca="1"/>
      </c>
      <c r="FD191">
        <f ca="1"/>
      </c>
      <c r="FE191">
        <f ca="1"/>
      </c>
      <c r="FF191">
        <f ca="1"/>
      </c>
      <c r="FG191">
        <f ca="1"/>
      </c>
      <c r="FH191">
        <f ca="1"/>
      </c>
      <c r="FI191">
        <f ca="1"/>
      </c>
      <c r="FJ191">
        <f ca="1"/>
      </c>
      <c r="FK191">
        <f ca="1"/>
      </c>
      <c r="FL191">
        <f ca="1"/>
      </c>
      <c r="FM191">
        <f ca="1"/>
      </c>
      <c r="FN191">
        <f ca="1"/>
      </c>
      <c r="FO191">
        <f ca="1"/>
      </c>
      <c r="FP191">
        <f ca="1"/>
      </c>
      <c r="FQ191">
        <f ca="1"/>
      </c>
      <c r="FR191">
        <f ca="1"/>
      </c>
      <c r="FS191">
        <f ca="1"/>
      </c>
      <c r="FT191">
        <f ca="1"/>
      </c>
      <c r="FU191">
        <f ca="1"/>
      </c>
      <c r="FV191">
        <f ca="1"/>
      </c>
      <c r="FW191">
        <f ca="1"/>
      </c>
      <c r="FX191">
        <f ca="1"/>
      </c>
      <c r="FY191">
        <f ca="1"/>
      </c>
      <c r="FZ191">
        <f ca="1"/>
      </c>
      <c r="GA191">
        <f ca="1"/>
      </c>
      <c r="GB191">
        <f ca="1"/>
      </c>
      <c r="GC191">
        <f ca="1"/>
      </c>
      <c r="GD191">
        <f ca="1"/>
      </c>
      <c r="GE191">
        <f ca="1"/>
      </c>
      <c r="GF191">
        <f ca="1"/>
      </c>
      <c r="GG191">
        <f ca="1"/>
      </c>
      <c r="GH191">
        <f ca="1"/>
      </c>
      <c r="GI191">
        <f ca="1"/>
      </c>
      <c r="GJ191">
        <f ca="1"/>
      </c>
      <c r="GK191">
        <f ca="1"/>
      </c>
      <c r="GL191">
        <f ca="1"/>
      </c>
      <c r="GM191">
        <f ca="1"/>
      </c>
      <c r="GN191">
        <f ca="1"/>
      </c>
      <c r="GO191">
        <f ca="1"/>
      </c>
      <c r="GP191">
        <f ca="1"/>
      </c>
      <c r="GQ191">
        <f ca="1"/>
      </c>
      <c r="GR191">
        <f ca="1"/>
      </c>
      <c r="GS191">
        <f ca="1"/>
      </c>
      <c r="GT191">
        <f ca="1"/>
      </c>
      <c r="GU191">
        <f ca="1"/>
      </c>
      <c r="GV191">
        <f ca="1"/>
      </c>
      <c r="GW191">
        <f ca="1"/>
      </c>
      <c r="GX191">
        <f ca="1"/>
      </c>
      <c r="GY191">
        <f ca="1"/>
      </c>
      <c r="GZ191">
        <f ca="1"/>
      </c>
      <c r="HA191">
        <f ca="1"/>
      </c>
      <c r="HB191">
        <f ca="1"/>
      </c>
      <c r="HC191">
        <f ca="1"/>
      </c>
      <c r="HD191">
        <f ca="1"/>
      </c>
      <c r="HE191">
        <f ca="1"/>
      </c>
      <c r="HF191">
        <f ca="1"/>
      </c>
      <c r="HG191">
        <f ca="1"/>
      </c>
      <c r="HH191">
        <f ca="1"/>
      </c>
      <c r="HI191">
        <f ca="1"/>
      </c>
      <c r="HJ191">
        <f ca="1"/>
      </c>
      <c r="HK191">
        <f ca="1"/>
      </c>
      <c r="HL191">
        <f ca="1"/>
      </c>
      <c r="HM191">
        <f ca="1"/>
      </c>
      <c r="HN191">
        <f ca="1"/>
      </c>
      <c r="HO191">
        <f ca="1"/>
      </c>
      <c r="HP191">
        <f ca="1"/>
      </c>
      <c r="HQ191">
        <f ca="1"/>
      </c>
      <c r="HR191">
        <f ca="1"/>
      </c>
      <c r="HS191">
        <f ca="1"/>
      </c>
      <c r="HT191">
        <f ca="1"/>
      </c>
      <c r="HU191">
        <f ca="1"/>
      </c>
      <c r="HV191">
        <f ca="1"/>
      </c>
      <c r="HW191">
        <f ca="1"/>
      </c>
      <c r="HX191">
        <f ca="1"/>
      </c>
      <c r="HY191">
        <f ca="1"/>
      </c>
      <c r="HZ191">
        <f ca="1"/>
      </c>
      <c r="IA191">
        <f ca="1"/>
      </c>
      <c r="IB191">
        <f ca="1"/>
      </c>
      <c r="IC191">
        <f ca="1"/>
      </c>
      <c r="ID191">
        <f ca="1"/>
      </c>
      <c r="IE191">
        <f ca="1"/>
      </c>
      <c r="IF191">
        <f ca="1"/>
      </c>
      <c r="IG191">
        <f ca="1"/>
      </c>
      <c r="IH191">
        <f ca="1"/>
      </c>
      <c r="II191">
        <f ca="1"/>
      </c>
      <c r="IJ191">
        <f ca="1"/>
      </c>
      <c r="IK191">
        <f ca="1"/>
      </c>
      <c r="IL191">
        <f ca="1"/>
      </c>
      <c r="IM191">
        <f ca="1"/>
      </c>
      <c r="IN191">
        <f ca="1"/>
      </c>
      <c r="IO191">
        <f ca="1"/>
      </c>
      <c r="IP191">
        <f ca="1"/>
      </c>
      <c r="IQ191">
        <f ca="1"/>
      </c>
      <c r="IR191">
        <f ca="1"/>
      </c>
      <c r="IS191">
        <f ca="1"/>
      </c>
      <c r="IT191">
        <f ca="1"/>
      </c>
      <c r="IU191">
        <f ca="1"/>
      </c>
      <c r="IV191">
        <f ca="1"/>
      </c>
      <c r="IW191">
        <f ca="1"/>
      </c>
      <c r="IX191">
        <f ca="1"/>
      </c>
      <c r="IY191">
        <f ca="1"/>
      </c>
      <c r="IZ191">
        <f ca="1"/>
      </c>
      <c r="JA191">
        <f ca="1"/>
      </c>
      <c r="JB191">
        <f ca="1"/>
      </c>
      <c r="LA191">
        <f ca="1"/>
      </c>
      <c r="LB191">
        <f ca="1"/>
      </c>
      <c r="LC191">
        <f ca="1"/>
      </c>
    </row>
    <row r="192" spans="58:315" x14ac:dyDescent="0.55000000000000004">
      <c r="BF192">
        <f ca="1"/>
      </c>
      <c r="BG192">
        <f ca="1"/>
      </c>
      <c r="BI192">
        <f ca="1"/>
      </c>
      <c r="BJ192" s="11">
        <f ca="1"/>
      </c>
      <c r="BK192" s="11">
        <f ca="1"/>
      </c>
      <c r="BL192" s="11">
        <f ca="1"/>
      </c>
      <c r="BM192" s="11">
        <f ca="1"/>
      </c>
      <c r="BN192" s="11">
        <f ca="1"/>
      </c>
      <c r="BP192">
        <f ca="1"/>
      </c>
      <c r="BQ192">
        <f ca="1"/>
      </c>
      <c r="BR192">
        <f ca="1"/>
      </c>
      <c r="BS192">
        <f ca="1"/>
      </c>
      <c r="BT192">
        <f ca="1"/>
      </c>
      <c r="BU192">
        <f ca="1"/>
      </c>
      <c r="BV192">
        <f ca="1"/>
      </c>
      <c r="BW192">
        <f ca="1"/>
      </c>
      <c r="BX192">
        <f ca="1"/>
      </c>
      <c r="BY192">
        <f ca="1"/>
      </c>
      <c r="BZ192">
        <f ca="1"/>
      </c>
      <c r="CA192">
        <f ca="1"/>
      </c>
      <c r="CB192">
        <f ca="1"/>
      </c>
      <c r="CC192">
        <f ca="1"/>
      </c>
      <c r="CD192">
        <f ca="1"/>
      </c>
      <c r="CE192">
        <f ca="1"/>
      </c>
      <c r="CF192">
        <f ca="1"/>
      </c>
      <c r="CG192">
        <f ca="1"/>
      </c>
      <c r="CH192">
        <f ca="1"/>
      </c>
      <c r="CI192">
        <f ca="1"/>
      </c>
      <c r="CJ192">
        <f ca="1"/>
      </c>
      <c r="CK192">
        <f ca="1"/>
      </c>
      <c r="CL192">
        <f ca="1"/>
      </c>
      <c r="CM192">
        <f ca="1"/>
      </c>
      <c r="CN192">
        <f ca="1"/>
      </c>
      <c r="CO192">
        <f ca="1"/>
      </c>
      <c r="CP192">
        <f ca="1"/>
      </c>
      <c r="CQ192">
        <f ca="1"/>
      </c>
      <c r="CR192">
        <f ca="1"/>
      </c>
      <c r="CS192">
        <f ca="1"/>
      </c>
      <c r="CT192">
        <f ca="1"/>
      </c>
      <c r="CU192">
        <f ca="1"/>
      </c>
      <c r="CV192">
        <f ca="1"/>
      </c>
      <c r="CW192">
        <f ca="1"/>
      </c>
      <c r="CX192">
        <f ca="1"/>
      </c>
      <c r="CY192">
        <f ca="1"/>
      </c>
      <c r="CZ192">
        <f ca="1"/>
      </c>
      <c r="DA192">
        <f ca="1"/>
      </c>
      <c r="DB192">
        <f ca="1"/>
      </c>
      <c r="DC192">
        <f ca="1"/>
      </c>
      <c r="DD192">
        <f ca="1"/>
      </c>
      <c r="DE192">
        <f ca="1"/>
      </c>
      <c r="DF192">
        <f ca="1"/>
      </c>
      <c r="DG192">
        <f ca="1"/>
      </c>
      <c r="DH192">
        <f ca="1"/>
      </c>
      <c r="DI192">
        <f ca="1"/>
      </c>
      <c r="DJ192">
        <f ca="1"/>
      </c>
      <c r="DK192">
        <f ca="1"/>
      </c>
      <c r="DL192">
        <f ca="1"/>
      </c>
      <c r="DM192">
        <f ca="1"/>
      </c>
      <c r="DN192">
        <f ca="1"/>
      </c>
      <c r="DO192">
        <f ca="1"/>
      </c>
      <c r="DP192">
        <f ca="1"/>
      </c>
      <c r="DQ192">
        <f ca="1"/>
      </c>
      <c r="DR192">
        <f ca="1"/>
      </c>
      <c r="DS192">
        <f ca="1"/>
      </c>
      <c r="DT192">
        <f ca="1"/>
      </c>
      <c r="DU192">
        <f ca="1"/>
      </c>
      <c r="DV192">
        <f ca="1"/>
      </c>
      <c r="DW192">
        <f ca="1"/>
      </c>
      <c r="DX192">
        <f ca="1"/>
      </c>
      <c r="DY192">
        <f ca="1"/>
      </c>
      <c r="DZ192">
        <f ca="1"/>
      </c>
      <c r="EA192">
        <f ca="1"/>
      </c>
      <c r="EB192">
        <f ca="1"/>
      </c>
      <c r="EC192">
        <f ca="1"/>
      </c>
      <c r="ED192">
        <f ca="1"/>
      </c>
      <c r="EE192">
        <f ca="1"/>
      </c>
      <c r="EF192">
        <f ca="1"/>
      </c>
      <c r="EG192">
        <f ca="1"/>
      </c>
      <c r="EH192">
        <f ca="1"/>
      </c>
      <c r="EI192">
        <f ca="1"/>
      </c>
      <c r="EJ192">
        <f ca="1"/>
      </c>
      <c r="EK192">
        <f ca="1"/>
      </c>
      <c r="EL192">
        <f ca="1"/>
      </c>
      <c r="EM192">
        <f ca="1"/>
      </c>
      <c r="EN192">
        <f ca="1"/>
      </c>
      <c r="EO192">
        <f ca="1"/>
      </c>
      <c r="EP192">
        <f ca="1"/>
      </c>
      <c r="EQ192">
        <f ca="1"/>
      </c>
      <c r="ER192">
        <f ca="1"/>
      </c>
      <c r="ES192">
        <f ca="1"/>
      </c>
      <c r="ET192">
        <f ca="1"/>
      </c>
      <c r="EU192">
        <f ca="1"/>
      </c>
      <c r="EV192">
        <f ca="1"/>
      </c>
      <c r="EW192">
        <f ca="1"/>
      </c>
      <c r="EX192">
        <f ca="1"/>
      </c>
      <c r="EY192">
        <f ca="1"/>
      </c>
      <c r="EZ192">
        <f ca="1"/>
      </c>
      <c r="FA192">
        <f ca="1"/>
      </c>
      <c r="FB192">
        <f ca="1"/>
      </c>
      <c r="FC192">
        <f ca="1"/>
      </c>
      <c r="FD192">
        <f ca="1"/>
      </c>
      <c r="FE192">
        <f ca="1"/>
      </c>
      <c r="FF192">
        <f ca="1"/>
      </c>
      <c r="FG192">
        <f ca="1"/>
      </c>
      <c r="FH192">
        <f ca="1"/>
      </c>
      <c r="FI192">
        <f ca="1"/>
      </c>
      <c r="FJ192">
        <f ca="1"/>
      </c>
      <c r="FK192">
        <f ca="1"/>
      </c>
      <c r="FL192">
        <f ca="1"/>
      </c>
      <c r="FM192">
        <f ca="1"/>
      </c>
      <c r="FN192">
        <f ca="1"/>
      </c>
      <c r="FO192">
        <f ca="1"/>
      </c>
      <c r="FP192">
        <f ca="1"/>
      </c>
      <c r="FQ192">
        <f ca="1"/>
      </c>
      <c r="FR192">
        <f ca="1"/>
      </c>
      <c r="FS192">
        <f ca="1"/>
      </c>
      <c r="FT192">
        <f ca="1"/>
      </c>
      <c r="FU192">
        <f ca="1"/>
      </c>
      <c r="FV192">
        <f ca="1"/>
      </c>
      <c r="FW192">
        <f ca="1"/>
      </c>
      <c r="FX192">
        <f ca="1"/>
      </c>
      <c r="FY192">
        <f ca="1"/>
      </c>
      <c r="FZ192">
        <f ca="1"/>
      </c>
      <c r="GA192">
        <f ca="1"/>
      </c>
      <c r="GB192">
        <f ca="1"/>
      </c>
      <c r="GC192">
        <f ca="1"/>
      </c>
      <c r="GD192">
        <f ca="1"/>
      </c>
      <c r="GE192">
        <f ca="1"/>
      </c>
      <c r="GF192">
        <f ca="1"/>
      </c>
      <c r="GG192">
        <f ca="1"/>
      </c>
      <c r="GH192">
        <f ca="1"/>
      </c>
      <c r="GI192">
        <f ca="1"/>
      </c>
      <c r="GJ192">
        <f ca="1"/>
      </c>
      <c r="GK192">
        <f ca="1"/>
      </c>
      <c r="GL192">
        <f ca="1"/>
      </c>
      <c r="GM192">
        <f ca="1"/>
      </c>
      <c r="GN192">
        <f ca="1"/>
      </c>
      <c r="GO192">
        <f ca="1"/>
      </c>
      <c r="GP192">
        <f ca="1"/>
      </c>
      <c r="GQ192">
        <f ca="1"/>
      </c>
      <c r="GR192">
        <f ca="1"/>
      </c>
      <c r="GS192">
        <f ca="1"/>
      </c>
      <c r="GT192">
        <f ca="1"/>
      </c>
      <c r="GU192">
        <f ca="1"/>
      </c>
      <c r="GV192">
        <f ca="1"/>
      </c>
      <c r="GW192">
        <f ca="1"/>
      </c>
      <c r="GX192">
        <f ca="1"/>
      </c>
      <c r="GY192">
        <f ca="1"/>
      </c>
      <c r="GZ192">
        <f ca="1"/>
      </c>
      <c r="HA192">
        <f ca="1"/>
      </c>
      <c r="HB192">
        <f ca="1"/>
      </c>
      <c r="HC192">
        <f ca="1"/>
      </c>
      <c r="HD192">
        <f ca="1"/>
      </c>
      <c r="HE192">
        <f ca="1"/>
      </c>
      <c r="HF192">
        <f ca="1"/>
      </c>
      <c r="HG192">
        <f ca="1"/>
      </c>
      <c r="HH192">
        <f ca="1"/>
      </c>
      <c r="HI192">
        <f ca="1"/>
      </c>
      <c r="HJ192">
        <f ca="1"/>
      </c>
      <c r="HK192">
        <f ca="1"/>
      </c>
      <c r="HL192">
        <f ca="1"/>
      </c>
      <c r="HM192">
        <f ca="1"/>
      </c>
      <c r="HN192">
        <f ca="1"/>
      </c>
      <c r="HO192">
        <f ca="1"/>
      </c>
      <c r="HP192">
        <f ca="1"/>
      </c>
      <c r="HQ192">
        <f ca="1"/>
      </c>
      <c r="HR192">
        <f ca="1"/>
      </c>
      <c r="HS192">
        <f ca="1"/>
      </c>
      <c r="HT192">
        <f ca="1"/>
      </c>
      <c r="HU192">
        <f ca="1"/>
      </c>
      <c r="HV192">
        <f ca="1"/>
      </c>
      <c r="HW192">
        <f ca="1"/>
      </c>
      <c r="HX192">
        <f ca="1"/>
      </c>
      <c r="HY192">
        <f ca="1"/>
      </c>
      <c r="HZ192">
        <f ca="1"/>
      </c>
      <c r="IA192">
        <f ca="1"/>
      </c>
      <c r="IB192">
        <f ca="1"/>
      </c>
      <c r="IC192">
        <f ca="1"/>
      </c>
      <c r="ID192">
        <f ca="1"/>
      </c>
      <c r="IE192">
        <f ca="1"/>
      </c>
      <c r="IF192">
        <f ca="1"/>
      </c>
      <c r="IG192">
        <f ca="1"/>
      </c>
      <c r="IH192">
        <f ca="1"/>
      </c>
      <c r="II192">
        <f ca="1"/>
      </c>
      <c r="IJ192">
        <f ca="1"/>
      </c>
      <c r="IK192">
        <f ca="1"/>
      </c>
      <c r="IL192">
        <f ca="1"/>
      </c>
      <c r="IM192">
        <f ca="1"/>
      </c>
      <c r="IN192">
        <f ca="1"/>
      </c>
      <c r="IO192">
        <f ca="1"/>
      </c>
      <c r="IP192">
        <f ca="1"/>
      </c>
      <c r="IQ192">
        <f ca="1"/>
      </c>
      <c r="IR192">
        <f ca="1"/>
      </c>
      <c r="IS192">
        <f ca="1"/>
      </c>
      <c r="IT192">
        <f ca="1"/>
      </c>
      <c r="IU192">
        <f ca="1"/>
      </c>
      <c r="IV192">
        <f ca="1"/>
      </c>
      <c r="IW192">
        <f ca="1"/>
      </c>
      <c r="IX192">
        <f ca="1"/>
      </c>
      <c r="IY192">
        <f ca="1"/>
      </c>
      <c r="IZ192">
        <f ca="1"/>
      </c>
      <c r="JA192">
        <f ca="1"/>
      </c>
      <c r="JB192">
        <f ca="1"/>
      </c>
      <c r="LA192">
        <f ca="1"/>
      </c>
      <c r="LB192">
        <f ca="1"/>
      </c>
      <c r="LC192">
        <f ca="1"/>
      </c>
    </row>
    <row r="193" spans="58:315" x14ac:dyDescent="0.55000000000000004">
      <c r="BF193">
        <f ca="1"/>
      </c>
      <c r="BG193">
        <f ca="1"/>
      </c>
      <c r="BI193">
        <f ca="1"/>
      </c>
      <c r="BJ193" s="11">
        <f ca="1"/>
      </c>
      <c r="BK193" s="11">
        <f ca="1"/>
      </c>
      <c r="BL193" s="11">
        <f ca="1"/>
      </c>
      <c r="BM193" s="11">
        <f ca="1"/>
      </c>
      <c r="BN193" s="11">
        <f ca="1"/>
      </c>
      <c r="BP193">
        <f ca="1"/>
      </c>
      <c r="BQ193">
        <f ca="1"/>
      </c>
      <c r="BR193">
        <f ca="1"/>
      </c>
      <c r="BS193">
        <f ca="1"/>
      </c>
      <c r="BT193">
        <f ca="1"/>
      </c>
      <c r="BU193">
        <f ca="1"/>
      </c>
      <c r="BV193">
        <f ca="1"/>
      </c>
      <c r="BW193">
        <f ca="1"/>
      </c>
      <c r="BX193">
        <f ca="1"/>
      </c>
      <c r="BY193">
        <f ca="1"/>
      </c>
      <c r="BZ193">
        <f ca="1"/>
      </c>
      <c r="CA193">
        <f ca="1"/>
      </c>
      <c r="CB193">
        <f ca="1"/>
      </c>
      <c r="CC193">
        <f ca="1"/>
      </c>
      <c r="CD193">
        <f ca="1"/>
      </c>
      <c r="CE193">
        <f ca="1"/>
      </c>
      <c r="CF193">
        <f ca="1"/>
      </c>
      <c r="CG193">
        <f ca="1"/>
      </c>
      <c r="CH193">
        <f ca="1"/>
      </c>
      <c r="CI193">
        <f ca="1"/>
      </c>
      <c r="CJ193">
        <f ca="1"/>
      </c>
      <c r="CK193">
        <f ca="1"/>
      </c>
      <c r="CL193">
        <f ca="1"/>
      </c>
      <c r="CM193">
        <f ca="1"/>
      </c>
      <c r="CN193">
        <f ca="1"/>
      </c>
      <c r="CO193">
        <f ca="1"/>
      </c>
      <c r="CP193">
        <f ca="1"/>
      </c>
      <c r="CQ193">
        <f ca="1"/>
      </c>
      <c r="CR193">
        <f ca="1"/>
      </c>
      <c r="CS193">
        <f ca="1"/>
      </c>
      <c r="CT193">
        <f ca="1"/>
      </c>
      <c r="CU193">
        <f ca="1"/>
      </c>
      <c r="CV193">
        <f ca="1"/>
      </c>
      <c r="CW193">
        <f ca="1"/>
      </c>
      <c r="CX193">
        <f ca="1"/>
      </c>
      <c r="CY193">
        <f ca="1"/>
      </c>
      <c r="CZ193">
        <f ca="1"/>
      </c>
      <c r="DA193">
        <f ca="1"/>
      </c>
      <c r="DB193">
        <f ca="1"/>
      </c>
      <c r="DC193">
        <f ca="1"/>
      </c>
      <c r="DD193">
        <f ca="1"/>
      </c>
      <c r="DE193">
        <f ca="1"/>
      </c>
      <c r="DF193">
        <f ca="1"/>
      </c>
      <c r="DG193">
        <f ca="1"/>
      </c>
      <c r="DH193">
        <f ca="1"/>
      </c>
      <c r="DI193">
        <f ca="1"/>
      </c>
      <c r="DJ193">
        <f ca="1"/>
      </c>
      <c r="DK193">
        <f ca="1"/>
      </c>
      <c r="DL193">
        <f ca="1"/>
      </c>
      <c r="DM193">
        <f ca="1"/>
      </c>
      <c r="DN193">
        <f ca="1"/>
      </c>
      <c r="DO193">
        <f ca="1"/>
      </c>
      <c r="DP193">
        <f ca="1"/>
      </c>
      <c r="DQ193">
        <f ca="1"/>
      </c>
      <c r="DR193">
        <f ca="1"/>
      </c>
      <c r="DS193">
        <f ca="1"/>
      </c>
      <c r="DT193">
        <f ca="1"/>
      </c>
      <c r="DU193">
        <f ca="1"/>
      </c>
      <c r="DV193">
        <f ca="1"/>
      </c>
      <c r="DW193">
        <f ca="1"/>
      </c>
      <c r="DX193">
        <f ca="1"/>
      </c>
      <c r="DY193">
        <f ca="1"/>
      </c>
      <c r="DZ193">
        <f ca="1"/>
      </c>
      <c r="EA193">
        <f ca="1"/>
      </c>
      <c r="EB193">
        <f ca="1"/>
      </c>
      <c r="EC193">
        <f ca="1"/>
      </c>
      <c r="ED193">
        <f ca="1"/>
      </c>
      <c r="EE193">
        <f ca="1"/>
      </c>
      <c r="EF193">
        <f ca="1"/>
      </c>
      <c r="EG193">
        <f ca="1"/>
      </c>
      <c r="EH193">
        <f ca="1"/>
      </c>
      <c r="EI193">
        <f ca="1"/>
      </c>
      <c r="EJ193">
        <f ca="1"/>
      </c>
      <c r="EK193">
        <f ca="1"/>
      </c>
      <c r="EL193">
        <f ca="1"/>
      </c>
      <c r="EM193">
        <f ca="1"/>
      </c>
      <c r="EN193">
        <f ca="1"/>
      </c>
      <c r="EO193">
        <f ca="1"/>
      </c>
      <c r="EP193">
        <f ca="1"/>
      </c>
      <c r="EQ193">
        <f ca="1"/>
      </c>
      <c r="ER193">
        <f ca="1"/>
      </c>
      <c r="ES193">
        <f ca="1"/>
      </c>
      <c r="ET193">
        <f ca="1"/>
      </c>
      <c r="EU193">
        <f ca="1"/>
      </c>
      <c r="EV193">
        <f ca="1"/>
      </c>
      <c r="EW193">
        <f ca="1"/>
      </c>
      <c r="EX193">
        <f ca="1"/>
      </c>
      <c r="EY193">
        <f ca="1"/>
      </c>
      <c r="EZ193">
        <f ca="1"/>
      </c>
      <c r="FA193">
        <f ca="1"/>
      </c>
      <c r="FB193">
        <f ca="1"/>
      </c>
      <c r="FC193">
        <f ca="1"/>
      </c>
      <c r="FD193">
        <f ca="1"/>
      </c>
      <c r="FE193">
        <f ca="1"/>
      </c>
      <c r="FF193">
        <f ca="1"/>
      </c>
      <c r="FG193">
        <f ca="1"/>
      </c>
      <c r="FH193">
        <f ca="1"/>
      </c>
      <c r="FI193">
        <f ca="1"/>
      </c>
      <c r="FJ193">
        <f ca="1"/>
      </c>
      <c r="FK193">
        <f ca="1"/>
      </c>
      <c r="FL193">
        <f ca="1"/>
      </c>
      <c r="FM193">
        <f ca="1"/>
      </c>
      <c r="FN193">
        <f ca="1"/>
      </c>
      <c r="FO193">
        <f ca="1"/>
      </c>
      <c r="FP193">
        <f ca="1"/>
      </c>
      <c r="FQ193">
        <f ca="1"/>
      </c>
      <c r="FR193">
        <f ca="1"/>
      </c>
      <c r="FS193">
        <f ca="1"/>
      </c>
      <c r="FT193">
        <f ca="1"/>
      </c>
      <c r="FU193">
        <f ca="1"/>
      </c>
      <c r="FV193">
        <f ca="1"/>
      </c>
      <c r="FW193">
        <f ca="1"/>
      </c>
      <c r="FX193">
        <f ca="1"/>
      </c>
      <c r="FY193">
        <f ca="1"/>
      </c>
      <c r="FZ193">
        <f ca="1"/>
      </c>
      <c r="GA193">
        <f ca="1"/>
      </c>
      <c r="GB193">
        <f ca="1"/>
      </c>
      <c r="GC193">
        <f ca="1"/>
      </c>
      <c r="GD193">
        <f ca="1"/>
      </c>
      <c r="GE193">
        <f ca="1"/>
      </c>
      <c r="GF193">
        <f ca="1"/>
      </c>
      <c r="GG193">
        <f ca="1"/>
      </c>
      <c r="GH193">
        <f ca="1"/>
      </c>
      <c r="GI193">
        <f ca="1"/>
      </c>
      <c r="GJ193">
        <f ca="1"/>
      </c>
      <c r="GK193">
        <f ca="1"/>
      </c>
      <c r="GL193">
        <f ca="1"/>
      </c>
      <c r="GM193">
        <f ca="1"/>
      </c>
      <c r="GN193">
        <f ca="1"/>
      </c>
      <c r="GO193">
        <f ca="1"/>
      </c>
      <c r="GP193">
        <f ca="1"/>
      </c>
      <c r="GQ193">
        <f ca="1"/>
      </c>
      <c r="GR193">
        <f ca="1"/>
      </c>
      <c r="GS193">
        <f ca="1"/>
      </c>
      <c r="GT193">
        <f ca="1"/>
      </c>
      <c r="GU193">
        <f ca="1"/>
      </c>
      <c r="GV193">
        <f ca="1"/>
      </c>
      <c r="GW193">
        <f ca="1"/>
      </c>
      <c r="GX193">
        <f ca="1"/>
      </c>
      <c r="GY193">
        <f ca="1"/>
      </c>
      <c r="GZ193">
        <f ca="1"/>
      </c>
      <c r="HA193">
        <f ca="1"/>
      </c>
      <c r="HB193">
        <f ca="1"/>
      </c>
      <c r="HC193">
        <f ca="1"/>
      </c>
      <c r="HD193">
        <f ca="1"/>
      </c>
      <c r="HE193">
        <f ca="1"/>
      </c>
      <c r="HF193">
        <f ca="1"/>
      </c>
      <c r="HG193">
        <f ca="1"/>
      </c>
      <c r="HH193">
        <f ca="1"/>
      </c>
      <c r="HI193">
        <f ca="1"/>
      </c>
      <c r="HJ193">
        <f ca="1"/>
      </c>
      <c r="HK193">
        <f ca="1"/>
      </c>
      <c r="HL193">
        <f ca="1"/>
      </c>
      <c r="HM193">
        <f ca="1"/>
      </c>
      <c r="HN193">
        <f ca="1"/>
      </c>
      <c r="HO193">
        <f ca="1"/>
      </c>
      <c r="HP193">
        <f ca="1"/>
      </c>
      <c r="HQ193">
        <f ca="1"/>
      </c>
      <c r="HR193">
        <f ca="1"/>
      </c>
      <c r="HS193">
        <f ca="1"/>
      </c>
      <c r="HT193">
        <f ca="1"/>
      </c>
      <c r="HU193">
        <f ca="1"/>
      </c>
      <c r="HV193">
        <f ca="1"/>
      </c>
      <c r="HW193">
        <f ca="1"/>
      </c>
      <c r="HX193">
        <f ca="1"/>
      </c>
      <c r="HY193">
        <f ca="1"/>
      </c>
      <c r="HZ193">
        <f ca="1"/>
      </c>
      <c r="IA193">
        <f ca="1"/>
      </c>
      <c r="IB193">
        <f ca="1"/>
      </c>
      <c r="IC193">
        <f ca="1"/>
      </c>
      <c r="ID193">
        <f ca="1"/>
      </c>
      <c r="IE193">
        <f ca="1"/>
      </c>
      <c r="IF193">
        <f ca="1"/>
      </c>
      <c r="IG193">
        <f ca="1"/>
      </c>
      <c r="IH193">
        <f ca="1"/>
      </c>
      <c r="II193">
        <f ca="1"/>
      </c>
      <c r="IJ193">
        <f ca="1"/>
      </c>
      <c r="IK193">
        <f ca="1"/>
      </c>
      <c r="IL193">
        <f ca="1"/>
      </c>
      <c r="IM193">
        <f ca="1"/>
      </c>
      <c r="IN193">
        <f ca="1"/>
      </c>
      <c r="IO193">
        <f ca="1"/>
      </c>
      <c r="IP193">
        <f ca="1"/>
      </c>
      <c r="IQ193">
        <f ca="1"/>
      </c>
      <c r="IR193">
        <f ca="1"/>
      </c>
      <c r="IS193">
        <f ca="1"/>
      </c>
      <c r="IT193">
        <f ca="1"/>
      </c>
      <c r="IU193">
        <f ca="1"/>
      </c>
      <c r="IV193">
        <f ca="1"/>
      </c>
      <c r="IW193">
        <f ca="1"/>
      </c>
      <c r="IX193">
        <f ca="1"/>
      </c>
      <c r="IY193">
        <f ca="1"/>
      </c>
      <c r="IZ193">
        <f ca="1"/>
      </c>
      <c r="JA193">
        <f ca="1"/>
      </c>
      <c r="JB193">
        <f ca="1"/>
      </c>
      <c r="LA193">
        <f ca="1"/>
      </c>
      <c r="LB193">
        <f ca="1"/>
      </c>
      <c r="LC193">
        <f ca="1"/>
      </c>
    </row>
    <row r="194" spans="58:315" x14ac:dyDescent="0.55000000000000004">
      <c r="BF194">
        <f ca="1"/>
      </c>
      <c r="BG194">
        <f ca="1"/>
      </c>
      <c r="BI194">
        <f ca="1"/>
      </c>
      <c r="BJ194" s="11">
        <f ca="1"/>
      </c>
      <c r="BK194" s="11">
        <f ca="1"/>
      </c>
      <c r="BL194" s="11">
        <f ca="1"/>
      </c>
      <c r="BM194" s="11">
        <f ca="1"/>
      </c>
      <c r="BN194" s="11">
        <f ca="1"/>
      </c>
      <c r="BP194">
        <f ca="1"/>
      </c>
      <c r="BQ194">
        <f ca="1"/>
      </c>
      <c r="BR194">
        <f ca="1"/>
      </c>
      <c r="BS194">
        <f ca="1"/>
      </c>
      <c r="BT194">
        <f ca="1"/>
      </c>
      <c r="BU194">
        <f ca="1"/>
      </c>
      <c r="BV194">
        <f ca="1"/>
      </c>
      <c r="BW194">
        <f ca="1"/>
      </c>
      <c r="BX194">
        <f ca="1"/>
      </c>
      <c r="BY194">
        <f ca="1"/>
      </c>
      <c r="BZ194">
        <f ca="1"/>
      </c>
      <c r="CA194">
        <f ca="1"/>
      </c>
      <c r="CB194">
        <f ca="1"/>
      </c>
      <c r="CC194">
        <f ca="1"/>
      </c>
      <c r="CD194">
        <f ca="1"/>
      </c>
      <c r="CE194">
        <f ca="1"/>
      </c>
      <c r="CF194">
        <f ca="1"/>
      </c>
      <c r="CG194">
        <f ca="1"/>
      </c>
      <c r="CH194">
        <f ca="1"/>
      </c>
      <c r="CI194">
        <f ca="1"/>
      </c>
      <c r="CJ194">
        <f ca="1"/>
      </c>
      <c r="CK194">
        <f ca="1"/>
      </c>
      <c r="CL194">
        <f ca="1"/>
      </c>
      <c r="CM194">
        <f ca="1"/>
      </c>
      <c r="CN194">
        <f ca="1"/>
      </c>
      <c r="CO194">
        <f ca="1"/>
      </c>
      <c r="CP194">
        <f ca="1"/>
      </c>
      <c r="CQ194">
        <f ca="1"/>
      </c>
      <c r="CR194">
        <f ca="1"/>
      </c>
      <c r="CS194">
        <f ca="1"/>
      </c>
      <c r="CT194">
        <f ca="1"/>
      </c>
      <c r="CU194">
        <f ca="1"/>
      </c>
      <c r="CV194">
        <f ca="1"/>
      </c>
      <c r="CW194">
        <f ca="1"/>
      </c>
      <c r="CX194">
        <f ca="1"/>
      </c>
      <c r="CY194">
        <f ca="1"/>
      </c>
      <c r="CZ194">
        <f ca="1"/>
      </c>
      <c r="DA194">
        <f ca="1"/>
      </c>
      <c r="DB194">
        <f ca="1"/>
      </c>
      <c r="DC194">
        <f ca="1"/>
      </c>
      <c r="DD194">
        <f ca="1"/>
      </c>
      <c r="DE194">
        <f ca="1"/>
      </c>
      <c r="DF194">
        <f ca="1"/>
      </c>
      <c r="DG194">
        <f ca="1"/>
      </c>
      <c r="DH194">
        <f ca="1"/>
      </c>
      <c r="DI194">
        <f ca="1"/>
      </c>
      <c r="DJ194">
        <f ca="1"/>
      </c>
      <c r="DK194">
        <f ca="1"/>
      </c>
      <c r="DL194">
        <f ca="1"/>
      </c>
      <c r="DM194">
        <f ca="1"/>
      </c>
      <c r="DN194">
        <f ca="1"/>
      </c>
      <c r="DO194">
        <f ca="1"/>
      </c>
      <c r="DP194">
        <f ca="1"/>
      </c>
      <c r="DQ194">
        <f ca="1"/>
      </c>
      <c r="DR194">
        <f ca="1"/>
      </c>
      <c r="DS194">
        <f ca="1"/>
      </c>
      <c r="DT194">
        <f ca="1"/>
      </c>
      <c r="DU194">
        <f ca="1"/>
      </c>
      <c r="DV194">
        <f ca="1"/>
      </c>
      <c r="DW194">
        <f ca="1"/>
      </c>
      <c r="DX194">
        <f ca="1"/>
      </c>
      <c r="DY194">
        <f ca="1"/>
      </c>
      <c r="DZ194">
        <f ca="1"/>
      </c>
      <c r="EA194">
        <f ca="1"/>
      </c>
      <c r="EB194">
        <f ca="1"/>
      </c>
      <c r="EC194">
        <f ca="1"/>
      </c>
      <c r="ED194">
        <f ca="1"/>
      </c>
      <c r="EE194">
        <f ca="1"/>
      </c>
      <c r="EF194">
        <f ca="1"/>
      </c>
      <c r="EG194">
        <f ca="1"/>
      </c>
      <c r="EH194">
        <f ca="1"/>
      </c>
      <c r="EI194">
        <f ca="1"/>
      </c>
      <c r="EJ194">
        <f ca="1"/>
      </c>
      <c r="EK194">
        <f ca="1"/>
      </c>
      <c r="EL194">
        <f ca="1"/>
      </c>
      <c r="EM194">
        <f ca="1"/>
      </c>
      <c r="EN194">
        <f ca="1"/>
      </c>
      <c r="EO194">
        <f ca="1"/>
      </c>
      <c r="EP194">
        <f ca="1"/>
      </c>
      <c r="EQ194">
        <f ca="1"/>
      </c>
      <c r="ER194">
        <f ca="1"/>
      </c>
      <c r="ES194">
        <f ca="1"/>
      </c>
      <c r="ET194">
        <f ca="1"/>
      </c>
      <c r="EU194">
        <f ca="1"/>
      </c>
      <c r="EV194">
        <f ca="1"/>
      </c>
      <c r="EW194">
        <f ca="1"/>
      </c>
      <c r="EX194">
        <f ca="1"/>
      </c>
      <c r="EY194">
        <f ca="1"/>
      </c>
      <c r="EZ194">
        <f ca="1"/>
      </c>
      <c r="FA194">
        <f ca="1"/>
      </c>
      <c r="FB194">
        <f ca="1"/>
      </c>
      <c r="FC194">
        <f ca="1"/>
      </c>
      <c r="FD194">
        <f ca="1"/>
      </c>
      <c r="FE194">
        <f ca="1"/>
      </c>
      <c r="FF194">
        <f ca="1"/>
      </c>
      <c r="FG194">
        <f ca="1"/>
      </c>
      <c r="FH194">
        <f ca="1"/>
      </c>
      <c r="FI194">
        <f ca="1"/>
      </c>
      <c r="FJ194">
        <f ca="1"/>
      </c>
      <c r="FK194">
        <f ca="1"/>
      </c>
      <c r="FL194">
        <f ca="1"/>
      </c>
      <c r="FM194">
        <f ca="1"/>
      </c>
      <c r="FN194">
        <f ca="1"/>
      </c>
      <c r="FO194">
        <f ca="1"/>
      </c>
      <c r="FP194">
        <f ca="1"/>
      </c>
      <c r="FQ194">
        <f ca="1"/>
      </c>
      <c r="FR194">
        <f ca="1"/>
      </c>
      <c r="FS194">
        <f ca="1"/>
      </c>
      <c r="FT194">
        <f ca="1"/>
      </c>
      <c r="FU194">
        <f ca="1"/>
      </c>
      <c r="FV194">
        <f ca="1"/>
      </c>
      <c r="FW194">
        <f ca="1"/>
      </c>
      <c r="FX194">
        <f ca="1"/>
      </c>
      <c r="FY194">
        <f ca="1"/>
      </c>
      <c r="FZ194">
        <f ca="1"/>
      </c>
      <c r="GA194">
        <f ca="1"/>
      </c>
      <c r="GB194">
        <f ca="1"/>
      </c>
      <c r="GC194">
        <f ca="1"/>
      </c>
      <c r="GD194">
        <f ca="1"/>
      </c>
      <c r="GE194">
        <f ca="1"/>
      </c>
      <c r="GF194">
        <f ca="1"/>
      </c>
      <c r="GG194">
        <f ca="1"/>
      </c>
      <c r="GH194">
        <f ca="1"/>
      </c>
      <c r="GI194">
        <f ca="1"/>
      </c>
      <c r="GJ194">
        <f ca="1"/>
      </c>
      <c r="GK194">
        <f ca="1"/>
      </c>
      <c r="GL194">
        <f ca="1"/>
      </c>
      <c r="GM194">
        <f ca="1"/>
      </c>
      <c r="GN194">
        <f ca="1"/>
      </c>
      <c r="GO194">
        <f ca="1"/>
      </c>
      <c r="GP194">
        <f ca="1"/>
      </c>
      <c r="GQ194">
        <f ca="1"/>
      </c>
      <c r="GR194">
        <f ca="1"/>
      </c>
      <c r="GS194">
        <f ca="1"/>
      </c>
      <c r="GT194">
        <f ca="1"/>
      </c>
      <c r="GU194">
        <f ca="1"/>
      </c>
      <c r="GV194">
        <f ca="1"/>
      </c>
      <c r="GW194">
        <f ca="1"/>
      </c>
      <c r="GX194">
        <f ca="1"/>
      </c>
      <c r="GY194">
        <f ca="1"/>
      </c>
      <c r="GZ194">
        <f ca="1"/>
      </c>
      <c r="HA194">
        <f ca="1"/>
      </c>
      <c r="HB194">
        <f ca="1"/>
      </c>
      <c r="HC194">
        <f ca="1"/>
      </c>
      <c r="HD194">
        <f ca="1"/>
      </c>
      <c r="HE194">
        <f ca="1"/>
      </c>
      <c r="HF194">
        <f ca="1"/>
      </c>
      <c r="HG194">
        <f ca="1"/>
      </c>
      <c r="HH194">
        <f ca="1"/>
      </c>
      <c r="HI194">
        <f ca="1"/>
      </c>
      <c r="HJ194">
        <f ca="1"/>
      </c>
      <c r="HK194">
        <f ca="1"/>
      </c>
      <c r="HL194">
        <f ca="1"/>
      </c>
      <c r="HM194">
        <f ca="1"/>
      </c>
      <c r="HN194">
        <f ca="1"/>
      </c>
      <c r="HO194">
        <f ca="1"/>
      </c>
      <c r="HP194">
        <f ca="1"/>
      </c>
      <c r="HQ194">
        <f ca="1"/>
      </c>
      <c r="HR194">
        <f ca="1"/>
      </c>
      <c r="HS194">
        <f ca="1"/>
      </c>
      <c r="HT194">
        <f ca="1"/>
      </c>
      <c r="HU194">
        <f ca="1"/>
      </c>
      <c r="HV194">
        <f ca="1"/>
      </c>
      <c r="HW194">
        <f ca="1"/>
      </c>
      <c r="HX194">
        <f ca="1"/>
      </c>
      <c r="HY194">
        <f ca="1"/>
      </c>
      <c r="HZ194">
        <f ca="1"/>
      </c>
      <c r="IA194">
        <f ca="1"/>
      </c>
      <c r="IB194">
        <f ca="1"/>
      </c>
      <c r="IC194">
        <f ca="1"/>
      </c>
      <c r="ID194">
        <f ca="1"/>
      </c>
      <c r="IE194">
        <f ca="1"/>
      </c>
      <c r="IF194">
        <f ca="1"/>
      </c>
      <c r="IG194">
        <f ca="1"/>
      </c>
      <c r="IH194">
        <f ca="1"/>
      </c>
      <c r="II194">
        <f ca="1"/>
      </c>
      <c r="IJ194">
        <f ca="1"/>
      </c>
      <c r="IK194">
        <f ca="1"/>
      </c>
      <c r="IL194">
        <f ca="1"/>
      </c>
      <c r="IM194">
        <f ca="1"/>
      </c>
      <c r="IN194">
        <f ca="1"/>
      </c>
      <c r="IO194">
        <f ca="1"/>
      </c>
      <c r="IP194">
        <f ca="1"/>
      </c>
      <c r="IQ194">
        <f ca="1"/>
      </c>
      <c r="IR194">
        <f ca="1"/>
      </c>
      <c r="IS194">
        <f ca="1"/>
      </c>
      <c r="IT194">
        <f ca="1"/>
      </c>
      <c r="IU194">
        <f ca="1"/>
      </c>
      <c r="IV194">
        <f ca="1"/>
      </c>
      <c r="IW194">
        <f ca="1"/>
      </c>
      <c r="IX194">
        <f ca="1"/>
      </c>
      <c r="IY194">
        <f ca="1"/>
      </c>
      <c r="IZ194">
        <f ca="1"/>
      </c>
      <c r="JA194">
        <f ca="1"/>
      </c>
      <c r="JB194">
        <f ca="1"/>
      </c>
      <c r="LA194">
        <f ca="1"/>
      </c>
      <c r="LB194">
        <f ca="1"/>
      </c>
      <c r="LC194">
        <f ca="1"/>
      </c>
    </row>
    <row r="195" spans="58:315" x14ac:dyDescent="0.55000000000000004">
      <c r="BF195">
        <f ca="1"/>
      </c>
      <c r="BG195">
        <f ca="1"/>
      </c>
      <c r="BI195">
        <f ca="1"/>
      </c>
      <c r="BJ195" s="11">
        <f ca="1"/>
      </c>
      <c r="BK195" s="11">
        <f ca="1"/>
      </c>
      <c r="BL195" s="11">
        <f ca="1"/>
      </c>
      <c r="BM195" s="11">
        <f ca="1"/>
      </c>
      <c r="BN195" s="11">
        <f ca="1"/>
      </c>
      <c r="BP195">
        <f ca="1"/>
      </c>
      <c r="BQ195">
        <f ca="1"/>
      </c>
      <c r="BR195">
        <f ca="1"/>
      </c>
      <c r="BS195">
        <f ca="1"/>
      </c>
      <c r="BT195">
        <f ca="1"/>
      </c>
      <c r="BU195">
        <f ca="1"/>
      </c>
      <c r="BV195">
        <f ca="1"/>
      </c>
      <c r="BW195">
        <f ca="1"/>
      </c>
      <c r="BX195">
        <f ca="1"/>
      </c>
      <c r="BY195">
        <f ca="1"/>
      </c>
      <c r="BZ195">
        <f ca="1"/>
      </c>
      <c r="CA195">
        <f ca="1"/>
      </c>
      <c r="CB195">
        <f ca="1"/>
      </c>
      <c r="CC195">
        <f ca="1"/>
      </c>
      <c r="CD195">
        <f ca="1"/>
      </c>
      <c r="CE195">
        <f ca="1"/>
      </c>
      <c r="CF195">
        <f ca="1"/>
      </c>
      <c r="CG195">
        <f ca="1"/>
      </c>
      <c r="CH195">
        <f ca="1"/>
      </c>
      <c r="CI195">
        <f ca="1"/>
      </c>
      <c r="CJ195">
        <f ca="1"/>
      </c>
      <c r="CK195">
        <f ca="1"/>
      </c>
      <c r="CL195">
        <f ca="1"/>
      </c>
      <c r="CM195">
        <f ca="1"/>
      </c>
      <c r="CN195">
        <f ca="1"/>
      </c>
      <c r="CO195">
        <f ca="1"/>
      </c>
      <c r="CP195">
        <f ca="1"/>
      </c>
      <c r="CQ195">
        <f ca="1"/>
      </c>
      <c r="CR195">
        <f ca="1"/>
      </c>
      <c r="CS195">
        <f ca="1"/>
      </c>
      <c r="CT195">
        <f ca="1"/>
      </c>
      <c r="CU195">
        <f ca="1"/>
      </c>
      <c r="CV195">
        <f ca="1"/>
      </c>
      <c r="CW195">
        <f ca="1"/>
      </c>
      <c r="CX195">
        <f ca="1"/>
      </c>
      <c r="CY195">
        <f ca="1"/>
      </c>
      <c r="CZ195">
        <f ca="1"/>
      </c>
      <c r="DA195">
        <f ca="1"/>
      </c>
      <c r="DB195">
        <f ca="1"/>
      </c>
      <c r="DC195">
        <f ca="1"/>
      </c>
      <c r="DD195">
        <f ca="1"/>
      </c>
      <c r="DE195">
        <f ca="1"/>
      </c>
      <c r="DF195">
        <f ca="1"/>
      </c>
      <c r="DG195">
        <f ca="1"/>
      </c>
      <c r="DH195">
        <f ca="1"/>
      </c>
      <c r="DI195">
        <f ca="1"/>
      </c>
      <c r="DJ195">
        <f ca="1"/>
      </c>
      <c r="DK195">
        <f ca="1"/>
      </c>
      <c r="DL195">
        <f ca="1"/>
      </c>
      <c r="DM195">
        <f ca="1"/>
      </c>
      <c r="DN195">
        <f ca="1"/>
      </c>
      <c r="DO195">
        <f ca="1"/>
      </c>
      <c r="DP195">
        <f ca="1"/>
      </c>
      <c r="DQ195">
        <f ca="1"/>
      </c>
      <c r="DR195">
        <f ca="1"/>
      </c>
      <c r="DS195">
        <f ca="1"/>
      </c>
      <c r="DT195">
        <f ca="1"/>
      </c>
      <c r="DU195">
        <f ca="1"/>
      </c>
      <c r="DV195">
        <f ca="1"/>
      </c>
      <c r="DW195">
        <f ca="1"/>
      </c>
      <c r="DX195">
        <f ca="1"/>
      </c>
      <c r="DY195">
        <f ca="1"/>
      </c>
      <c r="DZ195">
        <f ca="1"/>
      </c>
      <c r="EA195">
        <f ca="1"/>
      </c>
      <c r="EB195">
        <f ca="1"/>
      </c>
      <c r="EC195">
        <f ca="1"/>
      </c>
      <c r="ED195">
        <f ca="1"/>
      </c>
      <c r="EE195">
        <f ca="1"/>
      </c>
      <c r="EF195">
        <f ca="1"/>
      </c>
      <c r="EG195">
        <f ca="1"/>
      </c>
      <c r="EH195">
        <f ca="1"/>
      </c>
      <c r="EI195">
        <f ca="1"/>
      </c>
      <c r="EJ195">
        <f ca="1"/>
      </c>
      <c r="EK195">
        <f ca="1"/>
      </c>
      <c r="EL195">
        <f ca="1"/>
      </c>
      <c r="EM195">
        <f ca="1"/>
      </c>
      <c r="EN195">
        <f ca="1"/>
      </c>
      <c r="EO195">
        <f ca="1"/>
      </c>
      <c r="EP195">
        <f ca="1"/>
      </c>
      <c r="EQ195">
        <f ca="1"/>
      </c>
      <c r="ER195">
        <f ca="1"/>
      </c>
      <c r="ES195">
        <f ca="1"/>
      </c>
      <c r="ET195">
        <f ca="1"/>
      </c>
      <c r="EU195">
        <f ca="1"/>
      </c>
      <c r="EV195">
        <f ca="1"/>
      </c>
      <c r="EW195">
        <f ca="1"/>
      </c>
      <c r="EX195">
        <f ca="1"/>
      </c>
      <c r="EY195">
        <f ca="1"/>
      </c>
      <c r="EZ195">
        <f ca="1"/>
      </c>
      <c r="FA195">
        <f ca="1"/>
      </c>
      <c r="FB195">
        <f ca="1"/>
      </c>
      <c r="FC195">
        <f ca="1"/>
      </c>
      <c r="FD195">
        <f ca="1"/>
      </c>
      <c r="FE195">
        <f ca="1"/>
      </c>
      <c r="FF195">
        <f ca="1"/>
      </c>
      <c r="FG195">
        <f ca="1"/>
      </c>
      <c r="FH195">
        <f ca="1"/>
      </c>
      <c r="FI195">
        <f ca="1"/>
      </c>
      <c r="FJ195">
        <f ca="1"/>
      </c>
      <c r="FK195">
        <f ca="1"/>
      </c>
      <c r="FL195">
        <f ca="1"/>
      </c>
      <c r="FM195">
        <f ca="1"/>
      </c>
      <c r="FN195">
        <f ca="1"/>
      </c>
      <c r="FO195">
        <f ca="1"/>
      </c>
      <c r="FP195">
        <f ca="1"/>
      </c>
      <c r="FQ195">
        <f ca="1"/>
      </c>
      <c r="FR195">
        <f ca="1"/>
      </c>
      <c r="FS195">
        <f ca="1"/>
      </c>
      <c r="FT195">
        <f ca="1"/>
      </c>
      <c r="FU195">
        <f ca="1"/>
      </c>
      <c r="FV195">
        <f ca="1"/>
      </c>
      <c r="FW195">
        <f ca="1"/>
      </c>
      <c r="FX195">
        <f ca="1"/>
      </c>
      <c r="FY195">
        <f ca="1"/>
      </c>
      <c r="FZ195">
        <f ca="1"/>
      </c>
      <c r="GA195">
        <f ca="1"/>
      </c>
      <c r="GB195">
        <f ca="1"/>
      </c>
      <c r="GC195">
        <f ca="1"/>
      </c>
      <c r="GD195">
        <f ca="1"/>
      </c>
      <c r="GE195">
        <f ca="1"/>
      </c>
      <c r="GF195">
        <f ca="1"/>
      </c>
      <c r="GG195">
        <f ca="1"/>
      </c>
      <c r="GH195">
        <f ca="1"/>
      </c>
      <c r="GI195">
        <f ca="1"/>
      </c>
      <c r="GJ195">
        <f ca="1"/>
      </c>
      <c r="GK195">
        <f ca="1"/>
      </c>
      <c r="GL195">
        <f ca="1"/>
      </c>
      <c r="GM195">
        <f ca="1"/>
      </c>
      <c r="GN195">
        <f ca="1"/>
      </c>
      <c r="GO195">
        <f ca="1"/>
      </c>
      <c r="GP195">
        <f ca="1"/>
      </c>
      <c r="GQ195">
        <f ca="1"/>
      </c>
      <c r="GR195">
        <f ca="1"/>
      </c>
      <c r="GS195">
        <f ca="1"/>
      </c>
      <c r="GT195">
        <f ca="1"/>
      </c>
      <c r="GU195">
        <f ca="1"/>
      </c>
      <c r="GV195">
        <f ca="1"/>
      </c>
      <c r="GW195">
        <f ca="1"/>
      </c>
      <c r="GX195">
        <f ca="1"/>
      </c>
      <c r="GY195">
        <f ca="1"/>
      </c>
      <c r="GZ195">
        <f ca="1"/>
      </c>
      <c r="HA195">
        <f ca="1"/>
      </c>
      <c r="HB195">
        <f ca="1"/>
      </c>
      <c r="HC195">
        <f ca="1"/>
      </c>
      <c r="HD195">
        <f ca="1"/>
      </c>
      <c r="HE195">
        <f ca="1"/>
      </c>
      <c r="HF195">
        <f ca="1"/>
      </c>
      <c r="HG195">
        <f ca="1"/>
      </c>
      <c r="HH195">
        <f ca="1"/>
      </c>
      <c r="HI195">
        <f ca="1"/>
      </c>
      <c r="HJ195">
        <f ca="1"/>
      </c>
      <c r="HK195">
        <f ca="1"/>
      </c>
      <c r="HL195">
        <f ca="1"/>
      </c>
      <c r="HM195">
        <f ca="1"/>
      </c>
      <c r="HN195">
        <f ca="1"/>
      </c>
      <c r="HO195">
        <f ca="1"/>
      </c>
      <c r="HP195">
        <f ca="1"/>
      </c>
      <c r="HQ195">
        <f ca="1"/>
      </c>
      <c r="HR195">
        <f ca="1"/>
      </c>
      <c r="HS195">
        <f ca="1"/>
      </c>
      <c r="HT195">
        <f ca="1"/>
      </c>
      <c r="HU195">
        <f ca="1"/>
      </c>
      <c r="HV195">
        <f ca="1"/>
      </c>
      <c r="HW195">
        <f ca="1"/>
      </c>
      <c r="HX195">
        <f ca="1"/>
      </c>
      <c r="HY195">
        <f ca="1"/>
      </c>
      <c r="HZ195">
        <f ca="1"/>
      </c>
      <c r="IA195">
        <f ca="1"/>
      </c>
      <c r="IB195">
        <f ca="1"/>
      </c>
      <c r="IC195">
        <f ca="1"/>
      </c>
      <c r="ID195">
        <f ca="1"/>
      </c>
      <c r="IE195">
        <f ca="1"/>
      </c>
      <c r="IF195">
        <f ca="1"/>
      </c>
      <c r="IG195">
        <f ca="1"/>
      </c>
      <c r="IH195">
        <f ca="1"/>
      </c>
      <c r="II195">
        <f ca="1"/>
      </c>
      <c r="IJ195">
        <f ca="1"/>
      </c>
      <c r="IK195">
        <f ca="1"/>
      </c>
      <c r="IL195">
        <f ca="1"/>
      </c>
      <c r="IM195">
        <f ca="1"/>
      </c>
      <c r="IN195">
        <f ca="1"/>
      </c>
      <c r="IO195">
        <f ca="1"/>
      </c>
      <c r="IP195">
        <f ca="1"/>
      </c>
      <c r="IQ195">
        <f ca="1"/>
      </c>
      <c r="IR195">
        <f ca="1"/>
      </c>
      <c r="IS195">
        <f ca="1"/>
      </c>
      <c r="IT195">
        <f ca="1"/>
      </c>
      <c r="IU195">
        <f ca="1"/>
      </c>
      <c r="IV195">
        <f ca="1"/>
      </c>
      <c r="IW195">
        <f ca="1"/>
      </c>
      <c r="IX195">
        <f ca="1"/>
      </c>
      <c r="IY195">
        <f ca="1"/>
      </c>
      <c r="IZ195">
        <f ca="1"/>
      </c>
      <c r="JA195">
        <f ca="1"/>
      </c>
      <c r="JB195">
        <f ca="1"/>
      </c>
    </row>
    <row r="196" spans="58:315" x14ac:dyDescent="0.55000000000000004">
      <c r="BF196">
        <f ca="1"/>
      </c>
      <c r="BG196">
        <f ca="1"/>
      </c>
      <c r="BI196">
        <f ca="1"/>
      </c>
      <c r="BJ196" s="11">
        <f ca="1"/>
      </c>
      <c r="BK196" s="11">
        <f ca="1"/>
      </c>
      <c r="BL196" s="11">
        <f ca="1"/>
      </c>
      <c r="BM196" s="11">
        <f ca="1"/>
      </c>
      <c r="BN196" s="11">
        <f ca="1"/>
      </c>
      <c r="BP196">
        <f ca="1"/>
      </c>
      <c r="BQ196">
        <f ca="1"/>
      </c>
      <c r="BR196">
        <f ca="1"/>
      </c>
      <c r="BS196">
        <f ca="1"/>
      </c>
      <c r="BT196">
        <f ca="1"/>
      </c>
      <c r="BU196">
        <f ca="1"/>
      </c>
      <c r="BV196">
        <f ca="1"/>
      </c>
      <c r="BW196">
        <f ca="1"/>
      </c>
      <c r="BX196">
        <f ca="1"/>
      </c>
      <c r="BY196">
        <f ca="1"/>
      </c>
      <c r="BZ196">
        <f ca="1"/>
      </c>
      <c r="CA196">
        <f ca="1"/>
      </c>
      <c r="CB196">
        <f ca="1"/>
      </c>
      <c r="CC196">
        <f ca="1"/>
      </c>
      <c r="CD196">
        <f ca="1"/>
      </c>
      <c r="CE196">
        <f ca="1"/>
      </c>
      <c r="CF196">
        <f ca="1"/>
      </c>
      <c r="CG196">
        <f ca="1"/>
      </c>
      <c r="CH196">
        <f ca="1"/>
      </c>
      <c r="CI196">
        <f ca="1"/>
      </c>
      <c r="CJ196">
        <f ca="1"/>
      </c>
      <c r="CK196">
        <f ca="1"/>
      </c>
      <c r="CL196">
        <f ca="1"/>
      </c>
      <c r="CM196">
        <f ca="1"/>
      </c>
      <c r="CN196">
        <f ca="1"/>
      </c>
      <c r="CO196">
        <f ca="1"/>
      </c>
      <c r="CP196">
        <f ca="1"/>
      </c>
      <c r="CQ196">
        <f ca="1"/>
      </c>
      <c r="CR196">
        <f ca="1"/>
      </c>
      <c r="CS196">
        <f ca="1"/>
      </c>
      <c r="CT196">
        <f ca="1"/>
      </c>
      <c r="CU196">
        <f ca="1"/>
      </c>
      <c r="CV196">
        <f ca="1"/>
      </c>
      <c r="CW196">
        <f ca="1"/>
      </c>
      <c r="CX196">
        <f ca="1"/>
      </c>
      <c r="CY196">
        <f ca="1"/>
      </c>
      <c r="CZ196">
        <f ca="1"/>
      </c>
      <c r="DA196">
        <f ca="1"/>
      </c>
      <c r="DB196">
        <f ca="1"/>
      </c>
      <c r="DC196">
        <f ca="1"/>
      </c>
      <c r="DD196">
        <f ca="1"/>
      </c>
      <c r="DE196">
        <f ca="1"/>
      </c>
      <c r="DF196">
        <f ca="1"/>
      </c>
      <c r="DG196">
        <f ca="1"/>
      </c>
      <c r="DH196">
        <f ca="1"/>
      </c>
      <c r="DI196">
        <f ca="1"/>
      </c>
      <c r="DJ196">
        <f ca="1"/>
      </c>
      <c r="DK196">
        <f ca="1"/>
      </c>
      <c r="DL196">
        <f ca="1"/>
      </c>
      <c r="DM196">
        <f ca="1"/>
      </c>
      <c r="DN196">
        <f ca="1"/>
      </c>
      <c r="DO196">
        <f ca="1"/>
      </c>
      <c r="DP196">
        <f ca="1"/>
      </c>
      <c r="DQ196">
        <f ca="1"/>
      </c>
      <c r="DR196">
        <f ca="1"/>
      </c>
      <c r="DS196">
        <f ca="1"/>
      </c>
      <c r="DT196">
        <f ca="1"/>
      </c>
      <c r="DU196">
        <f ca="1"/>
      </c>
      <c r="DV196">
        <f ca="1"/>
      </c>
      <c r="DW196">
        <f ca="1"/>
      </c>
      <c r="DX196">
        <f ca="1"/>
      </c>
      <c r="DY196">
        <f ca="1"/>
      </c>
      <c r="DZ196">
        <f ca="1"/>
      </c>
      <c r="EA196">
        <f ca="1"/>
      </c>
      <c r="EB196">
        <f ca="1"/>
      </c>
      <c r="EC196">
        <f ca="1"/>
      </c>
      <c r="ED196">
        <f ca="1"/>
      </c>
      <c r="EE196">
        <f ca="1"/>
      </c>
      <c r="EF196">
        <f ca="1"/>
      </c>
      <c r="EG196">
        <f ca="1"/>
      </c>
      <c r="EH196">
        <f ca="1"/>
      </c>
      <c r="EI196">
        <f ca="1"/>
      </c>
      <c r="EJ196">
        <f ca="1"/>
      </c>
      <c r="EK196">
        <f ca="1"/>
      </c>
      <c r="EL196">
        <f ca="1"/>
      </c>
      <c r="EM196">
        <f ca="1"/>
      </c>
      <c r="EN196">
        <f ca="1"/>
      </c>
      <c r="EO196">
        <f ca="1"/>
      </c>
      <c r="EP196">
        <f ca="1"/>
      </c>
      <c r="EQ196">
        <f ca="1"/>
      </c>
      <c r="ER196">
        <f ca="1"/>
      </c>
      <c r="ES196">
        <f ca="1"/>
      </c>
      <c r="ET196">
        <f ca="1"/>
      </c>
      <c r="EU196">
        <f ca="1"/>
      </c>
      <c r="EV196">
        <f ca="1"/>
      </c>
      <c r="EW196">
        <f ca="1"/>
      </c>
      <c r="EX196">
        <f ca="1"/>
      </c>
      <c r="EY196">
        <f ca="1"/>
      </c>
      <c r="EZ196">
        <f ca="1"/>
      </c>
      <c r="FA196">
        <f ca="1"/>
      </c>
      <c r="FB196">
        <f ca="1"/>
      </c>
      <c r="FC196">
        <f ca="1"/>
      </c>
      <c r="FD196">
        <f ca="1"/>
      </c>
      <c r="FE196">
        <f ca="1"/>
      </c>
      <c r="FF196">
        <f ca="1"/>
      </c>
      <c r="FG196">
        <f ca="1"/>
      </c>
      <c r="FH196">
        <f ca="1"/>
      </c>
      <c r="FI196">
        <f ca="1"/>
      </c>
      <c r="FJ196">
        <f ca="1"/>
      </c>
      <c r="FK196">
        <f ca="1"/>
      </c>
      <c r="FL196">
        <f ca="1"/>
      </c>
      <c r="FM196">
        <f ca="1"/>
      </c>
      <c r="FN196">
        <f ca="1"/>
      </c>
      <c r="FO196">
        <f ca="1"/>
      </c>
      <c r="FP196">
        <f ca="1"/>
      </c>
      <c r="FQ196">
        <f ca="1"/>
      </c>
      <c r="FR196">
        <f ca="1"/>
      </c>
      <c r="FS196">
        <f ca="1"/>
      </c>
      <c r="FT196">
        <f ca="1"/>
      </c>
      <c r="FU196">
        <f ca="1"/>
      </c>
      <c r="FV196">
        <f ca="1"/>
      </c>
      <c r="FW196">
        <f ca="1"/>
      </c>
      <c r="FX196">
        <f ca="1"/>
      </c>
      <c r="FY196">
        <f ca="1"/>
      </c>
      <c r="FZ196">
        <f ca="1"/>
      </c>
      <c r="GA196">
        <f ca="1"/>
      </c>
      <c r="GB196">
        <f ca="1"/>
      </c>
      <c r="GC196">
        <f ca="1"/>
      </c>
      <c r="GD196">
        <f ca="1"/>
      </c>
      <c r="GE196">
        <f ca="1"/>
      </c>
      <c r="GF196">
        <f ca="1"/>
      </c>
      <c r="GG196">
        <f ca="1"/>
      </c>
      <c r="GH196">
        <f ca="1"/>
      </c>
      <c r="GI196">
        <f ca="1"/>
      </c>
      <c r="GJ196">
        <f ca="1"/>
      </c>
      <c r="GK196">
        <f ca="1"/>
      </c>
      <c r="GL196">
        <f ca="1"/>
      </c>
      <c r="GM196">
        <f ca="1"/>
      </c>
      <c r="GN196">
        <f ca="1"/>
      </c>
      <c r="GO196">
        <f ca="1"/>
      </c>
      <c r="GP196">
        <f ca="1"/>
      </c>
      <c r="GQ196">
        <f ca="1"/>
      </c>
      <c r="GR196">
        <f ca="1"/>
      </c>
      <c r="GS196">
        <f ca="1"/>
      </c>
      <c r="GT196">
        <f ca="1"/>
      </c>
      <c r="GU196">
        <f ca="1"/>
      </c>
      <c r="GV196">
        <f ca="1"/>
      </c>
      <c r="GW196">
        <f ca="1"/>
      </c>
      <c r="GX196">
        <f ca="1"/>
      </c>
      <c r="GY196">
        <f ca="1"/>
      </c>
      <c r="GZ196">
        <f ca="1"/>
      </c>
      <c r="HA196">
        <f ca="1"/>
      </c>
      <c r="HB196">
        <f ca="1"/>
      </c>
      <c r="HC196">
        <f ca="1"/>
      </c>
      <c r="HD196">
        <f ca="1"/>
      </c>
      <c r="HE196">
        <f ca="1"/>
      </c>
      <c r="HF196">
        <f ca="1"/>
      </c>
      <c r="HG196">
        <f ca="1"/>
      </c>
      <c r="HH196">
        <f ca="1"/>
      </c>
      <c r="HI196">
        <f ca="1"/>
      </c>
      <c r="HJ196">
        <f ca="1"/>
      </c>
      <c r="HK196">
        <f ca="1"/>
      </c>
      <c r="HL196">
        <f ca="1"/>
      </c>
      <c r="HM196">
        <f ca="1"/>
      </c>
      <c r="HN196">
        <f ca="1"/>
      </c>
      <c r="HO196">
        <f ca="1"/>
      </c>
      <c r="HP196">
        <f ca="1"/>
      </c>
      <c r="HQ196">
        <f ca="1"/>
      </c>
      <c r="HR196">
        <f ca="1"/>
      </c>
      <c r="HS196">
        <f ca="1"/>
      </c>
      <c r="HT196">
        <f ca="1"/>
      </c>
      <c r="HU196">
        <f ca="1"/>
      </c>
      <c r="HV196">
        <f ca="1"/>
      </c>
      <c r="HW196">
        <f ca="1"/>
      </c>
      <c r="HX196">
        <f ca="1"/>
      </c>
      <c r="HY196">
        <f ca="1"/>
      </c>
      <c r="HZ196">
        <f ca="1"/>
      </c>
      <c r="IA196">
        <f ca="1"/>
      </c>
      <c r="IB196">
        <f ca="1"/>
      </c>
      <c r="IC196">
        <f ca="1"/>
      </c>
      <c r="ID196">
        <f ca="1"/>
      </c>
      <c r="IE196">
        <f ca="1"/>
      </c>
      <c r="IF196">
        <f ca="1"/>
      </c>
      <c r="IG196">
        <f ca="1"/>
      </c>
      <c r="IH196">
        <f ca="1"/>
      </c>
      <c r="II196">
        <f ca="1"/>
      </c>
      <c r="IJ196">
        <f ca="1"/>
      </c>
      <c r="IK196">
        <f ca="1"/>
      </c>
      <c r="IL196">
        <f ca="1"/>
      </c>
      <c r="IM196">
        <f ca="1"/>
      </c>
      <c r="IN196">
        <f ca="1"/>
      </c>
      <c r="IO196">
        <f ca="1"/>
      </c>
      <c r="IP196">
        <f ca="1"/>
      </c>
      <c r="IQ196">
        <f ca="1"/>
      </c>
      <c r="IR196">
        <f ca="1"/>
      </c>
      <c r="IS196">
        <f ca="1"/>
      </c>
      <c r="IT196">
        <f ca="1"/>
      </c>
      <c r="IU196">
        <f ca="1"/>
      </c>
      <c r="IV196">
        <f ca="1"/>
      </c>
      <c r="IW196">
        <f ca="1"/>
      </c>
      <c r="IX196">
        <f ca="1"/>
      </c>
      <c r="IY196">
        <f ca="1"/>
      </c>
      <c r="IZ196">
        <f ca="1"/>
      </c>
      <c r="JA196">
        <f ca="1"/>
      </c>
      <c r="JB196">
        <f ca="1"/>
      </c>
    </row>
    <row r="197" spans="58:315" x14ac:dyDescent="0.55000000000000004">
      <c r="BF197">
        <f ca="1"/>
      </c>
      <c r="BG197">
        <f ca="1"/>
      </c>
      <c r="BJ197" s="11"/>
      <c r="BK197" s="11"/>
      <c r="BL197" s="11"/>
      <c r="BM197" s="11"/>
      <c r="BN197" s="11"/>
    </row>
    <row r="198" spans="58:315" x14ac:dyDescent="0.55000000000000004">
      <c r="BF198">
        <f ca="1"/>
      </c>
      <c r="BG198">
        <f ca="1"/>
      </c>
      <c r="BJ198" s="11"/>
      <c r="BK198" s="11"/>
      <c r="BL198" s="11"/>
      <c r="BM198" s="11"/>
      <c r="BN198" s="11"/>
    </row>
    <row r="199" spans="58:315" x14ac:dyDescent="0.55000000000000004">
      <c r="BF199">
        <f ca="1"/>
      </c>
      <c r="BG199">
        <f ca="1"/>
      </c>
      <c r="BJ199" s="11"/>
      <c r="BK199" s="11"/>
      <c r="BL199" s="11"/>
      <c r="BM199" s="11"/>
      <c r="BN199" s="11"/>
    </row>
    <row r="200" spans="58:315" x14ac:dyDescent="0.55000000000000004">
      <c r="BF200">
        <f ca="1"/>
      </c>
      <c r="BG200">
        <f ca="1"/>
      </c>
      <c r="BJ200" s="11"/>
      <c r="BK200" s="11"/>
      <c r="BL200" s="11"/>
      <c r="BM200" s="11"/>
      <c r="BN200" s="11"/>
    </row>
    <row r="201" spans="58:315" x14ac:dyDescent="0.55000000000000004">
      <c r="BF201">
        <f ca="1"/>
      </c>
      <c r="BG201">
        <f ca="1"/>
      </c>
      <c r="BJ201" s="11"/>
      <c r="BK201" s="11"/>
      <c r="BL201" s="11"/>
      <c r="BM201" s="11"/>
      <c r="BN201" s="11"/>
    </row>
    <row r="202" spans="58:315" x14ac:dyDescent="0.55000000000000004">
      <c r="BF202">
        <f ca="1"/>
      </c>
      <c r="BG202">
        <f ca="1"/>
      </c>
      <c r="BJ202" s="11"/>
      <c r="BK202" s="11"/>
      <c r="BL202" s="11"/>
      <c r="BM202" s="11"/>
      <c r="BN202" s="11"/>
    </row>
    <row r="203" spans="58:315" x14ac:dyDescent="0.55000000000000004">
      <c r="BF203">
        <f ca="1"/>
      </c>
      <c r="BG203">
        <f ca="1"/>
      </c>
      <c r="BJ203" s="11"/>
      <c r="BK203" s="11"/>
      <c r="BL203" s="11"/>
      <c r="BM203" s="11"/>
      <c r="BN203" s="11"/>
    </row>
    <row r="204" spans="58:315" x14ac:dyDescent="0.55000000000000004">
      <c r="BF204">
        <f ca="1"/>
      </c>
      <c r="BG204">
        <f ca="1"/>
      </c>
      <c r="BJ204" s="11"/>
      <c r="BK204" s="11"/>
      <c r="BL204" s="11"/>
      <c r="BM204" s="11"/>
      <c r="BN204" s="11"/>
    </row>
    <row r="205" spans="58:315" x14ac:dyDescent="0.55000000000000004">
      <c r="BF205">
        <f ca="1"/>
      </c>
      <c r="BG205">
        <f ca="1"/>
      </c>
      <c r="BJ205" s="11"/>
      <c r="BK205" s="11"/>
      <c r="BL205" s="11"/>
      <c r="BM205" s="11"/>
      <c r="BN205" s="11"/>
    </row>
    <row r="206" spans="58:315" x14ac:dyDescent="0.55000000000000004">
      <c r="BF206">
        <f ca="1"/>
      </c>
      <c r="BG206">
        <f ca="1"/>
      </c>
      <c r="BJ206" s="11"/>
      <c r="BK206" s="11"/>
      <c r="BL206" s="11"/>
      <c r="BM206" s="11"/>
      <c r="BN206" s="11"/>
    </row>
    <row r="207" spans="58:315" x14ac:dyDescent="0.55000000000000004">
      <c r="BF207">
        <f ca="1"/>
      </c>
      <c r="BG207">
        <f ca="1"/>
      </c>
      <c r="BJ207" s="11"/>
      <c r="BK207" s="11"/>
      <c r="BL207" s="11"/>
      <c r="BM207" s="11"/>
      <c r="BN207" s="11"/>
    </row>
    <row r="208" spans="58:315" x14ac:dyDescent="0.55000000000000004">
      <c r="BF208">
        <f ca="1"/>
      </c>
      <c r="BG208">
        <f ca="1"/>
      </c>
      <c r="BJ208" s="11"/>
      <c r="BK208" s="11"/>
      <c r="BL208" s="11"/>
      <c r="BM208" s="11"/>
      <c r="BN208" s="11"/>
    </row>
    <row r="209" spans="58:66" x14ac:dyDescent="0.55000000000000004">
      <c r="BF209">
        <f ca="1"/>
      </c>
      <c r="BG209">
        <f ca="1"/>
      </c>
      <c r="BJ209" s="11"/>
      <c r="BK209" s="11"/>
      <c r="BL209" s="11"/>
      <c r="BM209" s="11"/>
      <c r="BN209" s="11"/>
    </row>
    <row r="210" spans="58:66" x14ac:dyDescent="0.55000000000000004">
      <c r="BJ210" s="11"/>
      <c r="BK210" s="11"/>
      <c r="BL210" s="11"/>
      <c r="BM210" s="11"/>
      <c r="BN210" s="11"/>
    </row>
    <row r="211" spans="58:66" x14ac:dyDescent="0.55000000000000004">
      <c r="BJ211" s="11"/>
      <c r="BK211" s="11"/>
      <c r="BL211" s="11"/>
      <c r="BM211" s="11"/>
      <c r="BN211" s="11"/>
    </row>
    <row r="212" spans="58:66" x14ac:dyDescent="0.55000000000000004">
      <c r="BJ212" s="11"/>
      <c r="BK212" s="11"/>
      <c r="BL212" s="11"/>
      <c r="BM212" s="11"/>
      <c r="BN212" s="11"/>
    </row>
    <row r="213" spans="58:66" x14ac:dyDescent="0.55000000000000004">
      <c r="BJ213" s="11"/>
      <c r="BK213" s="11"/>
      <c r="BL213" s="11"/>
      <c r="BM213" s="11"/>
      <c r="BN213" s="11"/>
    </row>
    <row r="214" spans="58:66" x14ac:dyDescent="0.55000000000000004">
      <c r="BJ214" s="11"/>
      <c r="BK214" s="11"/>
      <c r="BL214" s="11"/>
      <c r="BM214" s="11"/>
      <c r="BN214" s="11"/>
    </row>
    <row r="215" spans="58:66" x14ac:dyDescent="0.55000000000000004">
      <c r="BJ215" s="11"/>
      <c r="BK215" s="11"/>
      <c r="BL215" s="11"/>
      <c r="BM215" s="11"/>
      <c r="BN215" s="11"/>
    </row>
    <row r="216" spans="58:66" x14ac:dyDescent="0.55000000000000004">
      <c r="BJ216" s="11"/>
      <c r="BK216" s="11"/>
      <c r="BL216" s="11"/>
      <c r="BM216" s="11"/>
      <c r="BN216" s="11"/>
    </row>
    <row r="217" spans="58:66" x14ac:dyDescent="0.55000000000000004">
      <c r="BJ217" s="11"/>
      <c r="BK217" s="11"/>
      <c r="BL217" s="11"/>
      <c r="BM217" s="11"/>
      <c r="BN217" s="11"/>
    </row>
    <row r="218" spans="58:66" x14ac:dyDescent="0.55000000000000004">
      <c r="BJ218" s="11"/>
      <c r="BK218" s="11"/>
      <c r="BL218" s="11"/>
      <c r="BM218" s="11"/>
      <c r="BN218" s="11"/>
    </row>
    <row r="219" spans="58:66" x14ac:dyDescent="0.55000000000000004">
      <c r="BJ219" s="11"/>
      <c r="BK219" s="11"/>
      <c r="BL219" s="11"/>
      <c r="BM219" s="11"/>
      <c r="BN219" s="11"/>
    </row>
    <row r="220" spans="58:66" x14ac:dyDescent="0.55000000000000004">
      <c r="BJ220" s="11"/>
      <c r="BK220" s="11"/>
      <c r="BL220" s="11"/>
      <c r="BM220" s="11"/>
      <c r="BN220" s="11"/>
    </row>
    <row r="221" spans="58:66" x14ac:dyDescent="0.55000000000000004">
      <c r="BJ221" s="11"/>
      <c r="BK221" s="11"/>
      <c r="BL221" s="11"/>
      <c r="BM221" s="11"/>
      <c r="BN221" s="11"/>
    </row>
    <row r="222" spans="58:66" x14ac:dyDescent="0.55000000000000004">
      <c r="BJ222" s="11"/>
      <c r="BK222" s="11"/>
      <c r="BL222" s="11"/>
      <c r="BM222" s="11"/>
      <c r="BN222" s="11"/>
    </row>
    <row r="223" spans="58:66" x14ac:dyDescent="0.55000000000000004">
      <c r="BJ223" s="11"/>
      <c r="BK223" s="11"/>
      <c r="BL223" s="11"/>
      <c r="BM223" s="11"/>
      <c r="BN223" s="11"/>
    </row>
    <row r="224" spans="58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windowの最終日。空欄=比較日より前の直近(当日は推定に使わない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空欄=今日(RealTimeのライブの値)。日付=DBのその日の引け値。推定基準日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  <dataValidation type="list" allowBlank="1" showInputMessage="1" showErrorMessage="1" prompt="Level=水準のPCA / Change=前営業日からの変化のPCA" sqref="B6" xr:uid="{C5CF4F13-3B4B-4DCA-ACF3-21CE36C9858D}">
      <formula1>"Level,Change"</formula1>
    </dataValidation>
    <dataValidation type="list" allowBlank="1" showInputMessage="1" showErrorMessage="1" prompt="No=分散共分散(bp)のPCA / Yes=z-score(相関行列)のPCA" sqref="B7" xr:uid="{4678EF58-67AC-4A61-AE62-7E2075D5FC8F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58</v>
      </c>
      <c r="B1" s="2" t="s">
        <v>53</v>
      </c>
      <c r="C1" t="s">
        <v>59</v>
      </c>
      <c r="D1" s="19" cm="1">
        <f t="array" aca="1" ref="D1" ca="1">LiveInfo("vol",_xlfn.ANCHORARRAY($BB$3))</f>
      </c>
      <c r="E1" t="s">
        <v>60</v>
      </c>
    </row>
    <row r="2" spans="1:63" ht="20" x14ac:dyDescent="0.55000000000000004">
      <c r="A2" s="20" t="s">
        <v>61</v>
      </c>
      <c r="AB2" s="4" t="s">
        <v>74</v>
      </c>
      <c r="AL2" s="23"/>
      <c r="AV2" s="24" t="s">
        <v>90</v>
      </c>
      <c r="BB2" s="4" t="s">
        <v>91</v>
      </c>
      <c r="BF2" s="23" t="s">
        <v>92</v>
      </c>
      <c r="BG2" s="24"/>
      <c r="BH2" s="24"/>
      <c r="BI2" s="24"/>
      <c r="BJ2" s="24"/>
      <c r="BK2" s="24"/>
    </row>
    <row r="3" spans="1:63" x14ac:dyDescent="0.55000000000000004">
      <c r="A3" s="4" t="s">
        <v>62</v>
      </c>
      <c r="F3" s="4" t="s">
        <v>93</v>
      </c>
      <c r="AB3" cm="1">
        <f t="array" aca="1" ref="AB3:AH467" ca="1">VolHistory($B$5:$B$7)</f>
      </c>
      <c r="AC3">
        <f ca="1"/>
      </c>
      <c r="AD3">
        <f ca="1"/>
      </c>
      <c r="AE3">
        <f ca="1"/>
      </c>
      <c r="AF3">
        <f ca="1"/>
      </c>
      <c r="AG3">
        <f ca="1"/>
      </c>
      <c r="AH3">
        <f ca="1"/>
      </c>
      <c r="AL3" s="23" t="s">
        <v>75</v>
      </c>
      <c r="AM3" s="24" t="s">
        <v>76</v>
      </c>
      <c r="AN3" s="24" t="s">
        <v>77</v>
      </c>
      <c r="AO3" s="24" t="s">
        <v>78</v>
      </c>
      <c r="AP3" s="24" t="s">
        <v>79</v>
      </c>
      <c r="AQ3" s="24" t="s">
        <v>80</v>
      </c>
      <c r="AR3" s="24" t="s">
        <v>81</v>
      </c>
      <c r="AS3" s="24" t="s">
        <v>82</v>
      </c>
      <c r="AT3" s="24" t="s">
        <v>83</v>
      </c>
      <c r="AU3" s="24" t="s">
        <v>84</v>
      </c>
      <c r="AV3" s="24" t="s">
        <v>85</v>
      </c>
      <c r="AW3" s="24" t="s">
        <v>86</v>
      </c>
      <c r="AX3" s="24" t="s">
        <v>87</v>
      </c>
      <c r="AY3" s="24" t="s">
        <v>88</v>
      </c>
      <c r="AZ3" s="24" t="s">
        <v>89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75</v>
      </c>
      <c r="BG3" s="24" t="s">
        <v>85</v>
      </c>
      <c r="BH3" s="24" t="s">
        <v>86</v>
      </c>
      <c r="BI3" s="24" t="s">
        <v>87</v>
      </c>
      <c r="BJ3" s="24" t="s">
        <v>88</v>
      </c>
      <c r="BK3" s="24" t="s">
        <v>89</v>
      </c>
    </row>
    <row r="4" spans="1:63" x14ac:dyDescent="0.55000000000000004">
      <c r="A4" s="4" t="s">
        <v>63</v>
      </c>
      <c r="B4" s="4" t="s">
        <v>64</v>
      </c>
      <c r="C4" s="4" t="s">
        <v>65</v>
      </c>
      <c r="D4" s="4" t="s">
        <v>66</v>
      </c>
      <c r="F4" s="25"/>
      <c r="G4" s="26" t="s">
        <v>94</v>
      </c>
      <c r="H4" s="26" t="s">
        <v>95</v>
      </c>
      <c r="I4" s="26" t="s">
        <v>96</v>
      </c>
      <c r="J4" s="26" t="s">
        <v>97</v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L4" s="7" cm="1">
        <f t="array" aca="1" ref="AL4:AL467" ca="1">_xlfn.DROP(_xlfn.TAKE(VHV_Data,,1),1)</f>
      </c>
      <c r="AM4" s="14" cm="1">
        <f t="array" aca="1" ref="AM4:AM467" ca="1">IF($B$5="",NA(),_xlfn.LET(_xlpm.h,_xlfn.TAKE(VHV_Data,1),_xlpm.v,_xlfn.DROP(_xlfn.CHOOSECOLS(VHV_Data,_xlfn.XMATCH($B$5&amp;" IV",_xlpm.h)),1),IF(_xlpm.v="",NA(),_xlpm.v)))</f>
      </c>
      <c r="AN4" s="14" cm="1">
        <f t="array" aca="1" ref="AN4:AN467" ca="1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aca="1" ref="AO4:AO467" ca="1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aca="1" ref="AP4:AP467" ca="1">IF($B$6="",NA(),_xlfn.LET(_xlpm.h,_xlfn.TAKE(VHV_Data,1),_xlpm.v,_xlfn.DROP(_xlfn.CHOOSECOLS(VHV_Data,_xlfn.XMATCH($B$6&amp;" IV",_xlpm.h)),1),IF(_xlpm.v="",NA(),_xlpm.v)))</f>
      </c>
      <c r="AQ4" s="14" cm="1">
        <f t="array" aca="1" ref="AQ4:AQ467" ca="1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aca="1" ref="AR4:AR467" ca="1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aca="1" ref="AS4" ca="1">IF($B$7="",NA(),_xlfn.LET(_xlpm.h,_xlfn.TAKE(VHV_Data,1),_xlpm.v,_xlfn.DROP(_xlfn.CHOOSECOLS(VHV_Data,_xlfn.XMATCH($B$7&amp;" IV",_xlpm.h)),1),IF(_xlpm.v="",NA(),_xlpm.v)))</f>
      </c>
      <c r="AT4" s="14" cm="1">
        <f t="array" aca="1" ref="AT4" ca="1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aca="1" ref="AU4" ca="1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aca="1" ref="AV4:AV467" ca="1">IF($B$5="",0,$C$5*_xlfn.ANCHORARRAY(AM4))+IF($B$6="",0,$C$6*_xlfn.ANCHORARRAY(AP4))+IF($B$7="",0,$C$7*_xlfn.ANCHORARRAY(AS4))</f>
      </c>
      <c r="AW4" s="14" cm="1">
        <f t="array" aca="1" ref="AW4:AW467" ca="1">IF($B$5="",0,$C$5*_xlfn.ANCHORARRAY(AN4))+IF($B$6="",0,$C$6*_xlfn.ANCHORARRAY(AQ4))+IF($B$7="",0,$C$7*_xlfn.ANCHORARRAY(AT4))</f>
      </c>
      <c r="AX4" s="14" cm="1">
        <f t="array" aca="1" ref="AX4:AX467" ca="1">IF($B$5="",0,$C$5*_xlfn.ANCHORARRAY(AO4))+IF($B$6="",0,$C$6*_xlfn.ANCHORARRAY(AR4))+IF($B$7="",0,$C$7*_xlfn.ANCHORARRAY(AU4))</f>
      </c>
      <c r="AY4" s="14" cm="1">
        <f t="array" aca="1" ref="AY4:AY467" ca="1">_xlfn.ANCHORARRAY(AV4)-_xlfn.ANCHORARRAY(AW4)</f>
      </c>
      <c r="AZ4" s="14" cm="1">
        <f t="array" aca="1" ref="AZ4:AZ467" ca="1">_xlfn.ANCHORARRAY(AV4)-_xlfn.ANCHORARRAY(AX4)</f>
      </c>
      <c r="BB4">
        <f ca="1"/>
      </c>
      <c r="BC4">
        <f ca="1"/>
      </c>
      <c r="BD4">
        <f ca="1"/>
      </c>
      <c r="BF4" s="7" cm="1">
        <f t="array" aca="1" ref="BF4:BF467" ca="1">_xlfn._xlws.FILTER(_xlfn.ANCHORARRAY(AL4),_xlfn.ANCHORARRAY(AL4)&gt;=IF(VHV_From="",0,VHV_From))</f>
      </c>
      <c r="BG4" s="14" cm="1">
        <f t="array" aca="1" ref="BG4:BG467" ca="1">_xlfn._xlws.FILTER(_xlfn.ANCHORARRAY(AV4),_xlfn.ANCHORARRAY(AL4)&gt;=IF(VHV_From="",0,VHV_From))</f>
      </c>
      <c r="BH4" s="14" cm="1">
        <f t="array" aca="1" ref="BH4:BH467" ca="1">_xlfn._xlws.FILTER(_xlfn.ANCHORARRAY(AW4),_xlfn.ANCHORARRAY(AL4)&gt;=IF(VHV_From="",0,VHV_From))</f>
      </c>
      <c r="BI4" s="14" cm="1">
        <f t="array" aca="1" ref="BI4:BI467" ca="1">_xlfn._xlws.FILTER(_xlfn.ANCHORARRAY(AX4),_xlfn.ANCHORARRAY(AL4)&gt;=IF(VHV_From="",0,VHV_From))</f>
      </c>
      <c r="BJ4" s="14" cm="1">
        <f t="array" aca="1" ref="BJ4:BJ467" ca="1">_xlfn._xlws.FILTER(_xlfn.ANCHORARRAY(AY4),_xlfn.ANCHORARRAY(AL4)&gt;=IF(VHV_From="",0,VHV_From))</f>
      </c>
      <c r="BK4" s="14" cm="1">
        <f t="array" aca="1" ref="BK4:BK467" ca="1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107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64</v>
      </c>
      <c r="G5" s="27">
        <f>IF($B$5="","",$B$5)</f>
      </c>
      <c r="H5" s="27">
        <f>IF($B$6="","",$B$6)</f>
      </c>
      <c r="I5" s="27">
        <f>IF($B$7="","",$B$7)</f>
      </c>
      <c r="J5" s="27" t="s">
        <v>106</v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L5" s="7">
        <f ca="1"/>
      </c>
      <c r="AM5" s="14">
        <f ca="1"/>
      </c>
      <c r="AN5" s="14">
        <f ca="1"/>
      </c>
      <c r="AO5" s="14">
        <f ca="1"/>
      </c>
      <c r="AP5" s="14">
        <f ca="1"/>
      </c>
      <c r="AQ5" s="14">
        <f ca="1"/>
      </c>
      <c r="AR5" s="14">
        <f ca="1"/>
      </c>
      <c r="AV5" s="14">
        <f ca="1"/>
      </c>
      <c r="AW5" s="14">
        <f ca="1"/>
      </c>
      <c r="AX5" s="14">
        <f ca="1"/>
      </c>
      <c r="AY5" s="14">
        <f ca="1"/>
      </c>
      <c r="AZ5" s="14">
        <f ca="1"/>
      </c>
      <c r="BB5">
        <f ca="1"/>
      </c>
      <c r="BC5">
        <f ca="1"/>
      </c>
      <c r="BD5">
        <f ca="1"/>
      </c>
      <c r="BF5" s="7">
        <f ca="1"/>
      </c>
      <c r="BG5" s="14">
        <f ca="1"/>
      </c>
      <c r="BH5" s="14">
        <f ca="1"/>
      </c>
      <c r="BI5" s="14">
        <f ca="1"/>
      </c>
      <c r="BJ5" s="14">
        <f ca="1"/>
      </c>
      <c r="BK5" s="14">
        <f ca="1"/>
      </c>
    </row>
    <row r="6" spans="1:63" x14ac:dyDescent="0.55000000000000004">
      <c r="A6" s="21">
        <v>2</v>
      </c>
      <c r="B6" s="2" t="s">
        <v>108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98</v>
      </c>
      <c r="G6" s="28">
        <f ca="1">IF($B$5="","",MAX(VHV_Date))</f>
      </c>
      <c r="H6" s="28">
        <f ca="1">IF($B$6="","",MAX(VHV_Date))</f>
      </c>
      <c r="I6" s="28">
        <f ca="1">IF($B$7="","",MAX(VHV_Date))</f>
      </c>
      <c r="J6" s="28">
        <f ca="1">MAX(VHV_Date)</f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L6" s="7">
        <f ca="1"/>
      </c>
      <c r="AM6" s="14">
        <f ca="1"/>
      </c>
      <c r="AN6" s="14">
        <f ca="1"/>
      </c>
      <c r="AO6" s="14">
        <f ca="1"/>
      </c>
      <c r="AP6" s="14">
        <f ca="1"/>
      </c>
      <c r="AQ6" s="14">
        <f ca="1"/>
      </c>
      <c r="AR6" s="14">
        <f ca="1"/>
      </c>
      <c r="AV6" s="14">
        <f ca="1"/>
      </c>
      <c r="AW6" s="14">
        <f ca="1"/>
      </c>
      <c r="AX6" s="14">
        <f ca="1"/>
      </c>
      <c r="AY6" s="14">
        <f ca="1"/>
      </c>
      <c r="AZ6" s="14">
        <f ca="1"/>
      </c>
      <c r="BB6">
        <f ca="1"/>
      </c>
      <c r="BC6">
        <f ca="1"/>
      </c>
      <c r="BD6">
        <f ca="1"/>
      </c>
      <c r="BF6" s="7">
        <f ca="1"/>
      </c>
      <c r="BG6" s="14">
        <f ca="1"/>
      </c>
      <c r="BH6" s="14">
        <f ca="1"/>
      </c>
      <c r="BI6" s="14">
        <f ca="1"/>
      </c>
      <c r="BJ6" s="14">
        <f ca="1"/>
      </c>
      <c r="BK6" s="14">
        <f ca="1"/>
      </c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99</v>
      </c>
      <c r="G7" s="29" cm="1">
        <f t="array" aca="1" ref="G7" ca="1">IF($B$5="","",_xlfn.TAKE(_xlfn.ANCHORARRAY(AM4),-1))</f>
      </c>
      <c r="H7" s="29" cm="1">
        <f t="array" aca="1" ref="H7" ca="1">IF($B$6="","",_xlfn.TAKE(_xlfn.ANCHORARRAY(AP4),-1))</f>
      </c>
      <c r="I7" s="29" cm="1">
        <f t="array" aca="1" ref="I7" ca="1">IF($B$7="","",_xlfn.TAKE(_xlfn.ANCHORARRAY(AS4),-1))</f>
      </c>
      <c r="J7" s="29" cm="1">
        <f t="array" aca="1" ref="J7" ca="1">_xlfn.TAKE(_xlfn.ANCHORARRAY(AV4),-1)</f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L7" s="7">
        <f ca="1"/>
      </c>
      <c r="AM7" s="14">
        <f ca="1"/>
      </c>
      <c r="AN7" s="14">
        <f ca="1"/>
      </c>
      <c r="AO7" s="14">
        <f ca="1"/>
      </c>
      <c r="AP7" s="14">
        <f ca="1"/>
      </c>
      <c r="AQ7" s="14">
        <f ca="1"/>
      </c>
      <c r="AR7" s="14">
        <f ca="1"/>
      </c>
      <c r="AV7" s="14">
        <f ca="1"/>
      </c>
      <c r="AW7" s="14">
        <f ca="1"/>
      </c>
      <c r="AX7" s="14">
        <f ca="1"/>
      </c>
      <c r="AY7" s="14">
        <f ca="1"/>
      </c>
      <c r="AZ7" s="14">
        <f ca="1"/>
      </c>
      <c r="BB7">
        <f ca="1"/>
      </c>
      <c r="BC7">
        <f ca="1"/>
      </c>
      <c r="BD7">
        <f ca="1"/>
      </c>
      <c r="BF7" s="7">
        <f ca="1"/>
      </c>
      <c r="BG7" s="14">
        <f ca="1"/>
      </c>
      <c r="BH7" s="14">
        <f ca="1"/>
      </c>
      <c r="BI7" s="14">
        <f ca="1"/>
      </c>
      <c r="BJ7" s="14">
        <f ca="1"/>
      </c>
      <c r="BK7" s="14">
        <f ca="1"/>
      </c>
    </row>
    <row r="8" spans="1:63" x14ac:dyDescent="0.55000000000000004">
      <c r="F8" s="25" t="s">
        <v>100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aca="1" ref="I8" ca="1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L8" s="7">
        <f ca="1"/>
      </c>
      <c r="AM8" s="14">
        <f ca="1"/>
      </c>
      <c r="AN8" s="14">
        <f ca="1"/>
      </c>
      <c r="AO8" s="14">
        <f ca="1"/>
      </c>
      <c r="AP8" s="14">
        <f ca="1"/>
      </c>
      <c r="AQ8" s="14">
        <f ca="1"/>
      </c>
      <c r="AR8" s="14">
        <f ca="1"/>
      </c>
      <c r="AV8" s="14">
        <f ca="1"/>
      </c>
      <c r="AW8" s="14">
        <f ca="1"/>
      </c>
      <c r="AX8" s="14">
        <f ca="1"/>
      </c>
      <c r="AY8" s="14">
        <f ca="1"/>
      </c>
      <c r="AZ8" s="14">
        <f ca="1"/>
      </c>
      <c r="BB8">
        <f ca="1"/>
      </c>
      <c r="BC8">
        <f ca="1"/>
      </c>
      <c r="BD8">
        <f ca="1"/>
      </c>
      <c r="BF8" s="7">
        <f ca="1"/>
      </c>
      <c r="BG8" s="14">
        <f ca="1"/>
      </c>
      <c r="BH8" s="14">
        <f ca="1"/>
      </c>
      <c r="BI8" s="14">
        <f ca="1"/>
      </c>
      <c r="BJ8" s="14">
        <f ca="1"/>
      </c>
      <c r="BK8" s="14">
        <f ca="1"/>
      </c>
    </row>
    <row r="9" spans="1:63" x14ac:dyDescent="0.55000000000000004">
      <c r="A9" t="s">
        <v>66</v>
      </c>
      <c r="B9" s="2" t="s">
        <v>67</v>
      </c>
      <c r="F9" s="25" t="s">
        <v>101</v>
      </c>
      <c r="G9" s="29" cm="1">
        <f t="array" aca="1" ref="G9" ca="1">IF($B$5="","",_xlfn.TAKE(_xlfn.ANCHORARRAY(AN4),-1))</f>
      </c>
      <c r="H9" s="29" cm="1">
        <f t="array" aca="1" ref="H9" ca="1">IF($B$6="","",_xlfn.TAKE(_xlfn.ANCHORARRAY(AQ4),-1))</f>
      </c>
      <c r="I9" s="29" cm="1">
        <f t="array" aca="1" ref="I9" ca="1">IF($B$7="","",_xlfn.TAKE(_xlfn.ANCHORARRAY(AT4),-1))</f>
      </c>
      <c r="J9" s="29" cm="1">
        <f t="array" aca="1" ref="J9" ca="1">_xlfn.TAKE(_xlfn.ANCHORARRAY(AW4),-1)</f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L9" s="7">
        <f ca="1"/>
      </c>
      <c r="AM9" s="14">
        <f ca="1"/>
      </c>
      <c r="AN9" s="14">
        <f ca="1"/>
      </c>
      <c r="AO9" s="14">
        <f ca="1"/>
      </c>
      <c r="AP9" s="14">
        <f ca="1"/>
      </c>
      <c r="AQ9" s="14">
        <f ca="1"/>
      </c>
      <c r="AR9" s="14">
        <f ca="1"/>
      </c>
      <c r="AV9" s="14">
        <f ca="1"/>
      </c>
      <c r="AW9" s="14">
        <f ca="1"/>
      </c>
      <c r="AX9" s="14">
        <f ca="1"/>
      </c>
      <c r="AY9" s="14">
        <f ca="1"/>
      </c>
      <c r="AZ9" s="14">
        <f ca="1"/>
      </c>
      <c r="BB9">
        <f ca="1"/>
      </c>
      <c r="BC9">
        <f ca="1"/>
      </c>
      <c r="BD9">
        <f ca="1"/>
      </c>
      <c r="BF9" s="7">
        <f ca="1"/>
      </c>
      <c r="BG9" s="14">
        <f ca="1"/>
      </c>
      <c r="BH9" s="14">
        <f ca="1"/>
      </c>
      <c r="BI9" s="14">
        <f ca="1"/>
      </c>
      <c r="BJ9" s="14">
        <f ca="1"/>
      </c>
      <c r="BK9" s="14">
        <f ca="1"/>
      </c>
    </row>
    <row r="10" spans="1:63" x14ac:dyDescent="0.55000000000000004">
      <c r="A10" t="s">
        <v>68</v>
      </c>
      <c r="B10" s="2">
        <v>126</v>
      </c>
      <c r="F10" s="25" t="s">
        <v>102</v>
      </c>
      <c r="G10" s="29" cm="1">
        <f t="array" aca="1" ref="G10" ca="1">IF($B$5="","",_xlfn.TAKE(_xlfn.ANCHORARRAY(AO4),-1))</f>
      </c>
      <c r="H10" s="29" cm="1">
        <f t="array" aca="1" ref="H10" ca="1">IF($B$6="","",_xlfn.TAKE(_xlfn.ANCHORARRAY(AR4),-1))</f>
      </c>
      <c r="I10" s="29" cm="1">
        <f t="array" aca="1" ref="I10" ca="1">IF($B$7="","",_xlfn.TAKE(_xlfn.ANCHORARRAY(AU4),-1))</f>
      </c>
      <c r="J10" s="29" cm="1">
        <f t="array" aca="1" ref="J10" ca="1">_xlfn.TAKE(_xlfn.ANCHORARRAY(AX4),-1)</f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L10" s="7">
        <f ca="1"/>
      </c>
      <c r="AM10" s="14">
        <f ca="1"/>
      </c>
      <c r="AN10" s="14">
        <f ca="1"/>
      </c>
      <c r="AO10" s="14">
        <f ca="1"/>
      </c>
      <c r="AP10" s="14">
        <f ca="1"/>
      </c>
      <c r="AQ10" s="14">
        <f ca="1"/>
      </c>
      <c r="AR10" s="14">
        <f ca="1"/>
      </c>
      <c r="AV10" s="14">
        <f ca="1"/>
      </c>
      <c r="AW10" s="14">
        <f ca="1"/>
      </c>
      <c r="AX10" s="14">
        <f ca="1"/>
      </c>
      <c r="AY10" s="14">
        <f ca="1"/>
      </c>
      <c r="AZ10" s="14">
        <f ca="1"/>
      </c>
      <c r="BB10">
        <f ca="1"/>
      </c>
      <c r="BC10">
        <f ca="1"/>
      </c>
      <c r="BD10">
        <f ca="1"/>
      </c>
      <c r="BF10" s="7">
        <f ca="1"/>
      </c>
      <c r="BG10" s="14">
        <f ca="1"/>
      </c>
      <c r="BH10" s="14">
        <f ca="1"/>
      </c>
      <c r="BI10" s="14">
        <f ca="1"/>
      </c>
      <c r="BJ10" s="14">
        <f ca="1"/>
      </c>
      <c r="BK10" s="14">
        <f ca="1"/>
      </c>
    </row>
    <row r="11" spans="1:63" x14ac:dyDescent="0.55000000000000004">
      <c r="A11" t="s">
        <v>69</v>
      </c>
      <c r="B11" s="2">
        <v>20</v>
      </c>
      <c r="F11" s="25" t="s">
        <v>88</v>
      </c>
      <c r="G11" s="29">
        <f ca="1">IF($B$5="","",G7-G9)</f>
      </c>
      <c r="H11" s="29">
        <f ca="1">IF($B$6="","",H7-H9)</f>
      </c>
      <c r="I11" s="29">
        <f ca="1">IF($B$7="","",I7-I9)</f>
      </c>
      <c r="J11" s="29">
        <f ca="1">J7-J9</f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L11" s="7">
        <f ca="1"/>
      </c>
      <c r="AM11" s="14">
        <f ca="1"/>
      </c>
      <c r="AN11" s="14">
        <f ca="1"/>
      </c>
      <c r="AO11" s="14">
        <f ca="1"/>
      </c>
      <c r="AP11" s="14">
        <f ca="1"/>
      </c>
      <c r="AQ11" s="14">
        <f ca="1"/>
      </c>
      <c r="AR11" s="14">
        <f ca="1"/>
      </c>
      <c r="AV11" s="14">
        <f ca="1"/>
      </c>
      <c r="AW11" s="14">
        <f ca="1"/>
      </c>
      <c r="AX11" s="14">
        <f ca="1"/>
      </c>
      <c r="AY11" s="14">
        <f ca="1"/>
      </c>
      <c r="AZ11" s="14">
        <f ca="1"/>
      </c>
      <c r="BB11">
        <f ca="1"/>
      </c>
      <c r="BC11">
        <f ca="1"/>
      </c>
      <c r="BD11">
        <f ca="1"/>
      </c>
      <c r="BF11" s="7">
        <f ca="1"/>
      </c>
      <c r="BG11" s="14">
        <f ca="1"/>
      </c>
      <c r="BH11" s="14">
        <f ca="1"/>
      </c>
      <c r="BI11" s="14">
        <f ca="1"/>
      </c>
      <c r="BJ11" s="14">
        <f ca="1"/>
      </c>
      <c r="BK11" s="14">
        <f ca="1"/>
      </c>
    </row>
    <row r="12" spans="1:63" x14ac:dyDescent="0.55000000000000004">
      <c r="A12" t="s">
        <v>70</v>
      </c>
      <c r="B12" s="2">
        <v>252</v>
      </c>
      <c r="F12" s="25" t="s">
        <v>103</v>
      </c>
      <c r="G12" s="29">
        <f ca="1">IF($B$5="","",G8-G9)</f>
      </c>
      <c r="H12" s="29">
        <f ca="1">IF($B$6="","",H8-H9)</f>
      </c>
      <c r="I12" s="29">
        <f ca="1">IF($B$7="","",I8-I9)</f>
      </c>
      <c r="J12" s="29">
        <f ca="1">J8-J9</f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L12" s="7">
        <f ca="1"/>
      </c>
      <c r="AM12" s="14">
        <f ca="1"/>
      </c>
      <c r="AN12" s="14">
        <f ca="1"/>
      </c>
      <c r="AO12" s="14">
        <f ca="1"/>
      </c>
      <c r="AP12" s="14">
        <f ca="1"/>
      </c>
      <c r="AQ12" s="14">
        <f ca="1"/>
      </c>
      <c r="AR12" s="14">
        <f ca="1"/>
      </c>
      <c r="AV12" s="14">
        <f ca="1"/>
      </c>
      <c r="AW12" s="14">
        <f ca="1"/>
      </c>
      <c r="AX12" s="14">
        <f ca="1"/>
      </c>
      <c r="AY12" s="14">
        <f ca="1"/>
      </c>
      <c r="AZ12" s="14">
        <f ca="1"/>
      </c>
      <c r="BB12">
        <f ca="1"/>
      </c>
      <c r="BC12">
        <f ca="1"/>
      </c>
      <c r="BD12">
        <f ca="1"/>
      </c>
      <c r="BF12" s="7">
        <f ca="1"/>
      </c>
      <c r="BG12" s="14">
        <f ca="1"/>
      </c>
      <c r="BH12" s="14">
        <f ca="1"/>
      </c>
      <c r="BI12" s="14">
        <f ca="1"/>
      </c>
      <c r="BJ12" s="14">
        <f ca="1"/>
      </c>
      <c r="BK12" s="14">
        <f ca="1"/>
      </c>
    </row>
    <row r="13" spans="1:63" x14ac:dyDescent="0.55000000000000004">
      <c r="A13" t="s">
        <v>71</v>
      </c>
      <c r="B13" s="3"/>
      <c r="F13" s="25" t="s">
        <v>89</v>
      </c>
      <c r="G13" s="29">
        <f ca="1">IF($B$5="","",G7-G10)</f>
      </c>
      <c r="H13" s="29">
        <f ca="1">IF($B$6="","",H7-H10)</f>
      </c>
      <c r="I13" s="29">
        <f ca="1">IF($B$7="","",I7-I10)</f>
      </c>
      <c r="J13" s="29">
        <f ca="1">J7-J10</f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L13" s="7">
        <f ca="1"/>
      </c>
      <c r="AM13" s="14">
        <f ca="1"/>
      </c>
      <c r="AN13" s="14">
        <f ca="1"/>
      </c>
      <c r="AO13" s="14">
        <f ca="1"/>
      </c>
      <c r="AP13" s="14">
        <f ca="1"/>
      </c>
      <c r="AQ13" s="14">
        <f ca="1"/>
      </c>
      <c r="AR13" s="14">
        <f ca="1"/>
      </c>
      <c r="AV13" s="14">
        <f ca="1"/>
      </c>
      <c r="AW13" s="14">
        <f ca="1"/>
      </c>
      <c r="AX13" s="14">
        <f ca="1"/>
      </c>
      <c r="AY13" s="14">
        <f ca="1"/>
      </c>
      <c r="AZ13" s="14">
        <f ca="1"/>
      </c>
      <c r="BB13">
        <f ca="1"/>
      </c>
      <c r="BC13">
        <f ca="1"/>
      </c>
      <c r="BD13">
        <f ca="1"/>
      </c>
      <c r="BF13" s="7">
        <f ca="1"/>
      </c>
      <c r="BG13" s="14">
        <f ca="1"/>
      </c>
      <c r="BH13" s="14">
        <f ca="1"/>
      </c>
      <c r="BI13" s="14">
        <f ca="1"/>
      </c>
      <c r="BJ13" s="14">
        <f ca="1"/>
      </c>
      <c r="BK13" s="14">
        <f ca="1"/>
      </c>
    </row>
    <row r="14" spans="1:63" x14ac:dyDescent="0.55000000000000004">
      <c r="F14" s="25" t="s">
        <v>104</v>
      </c>
      <c r="G14" s="30" cm="1">
        <f t="array" aca="1" ref="G14" ca="1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aca="1" ref="H14" ca="1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aca="1" ref="I14" ca="1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aca="1" ref="J14" ca="1">_xlfn.LET(_xlpm.s,_xlfn._xlws.FILTER(VHV_ChGap,ISNUMBER(VHV_ChGap)),SUM(--(_xlpm.s&lt;=J11))/ROWS(_xlpm.s))</f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L14" s="7">
        <f ca="1"/>
      </c>
      <c r="AM14" s="14">
        <f ca="1"/>
      </c>
      <c r="AN14" s="14">
        <f ca="1"/>
      </c>
      <c r="AO14" s="14">
        <f ca="1"/>
      </c>
      <c r="AP14" s="14">
        <f ca="1"/>
      </c>
      <c r="AQ14" s="14">
        <f ca="1"/>
      </c>
      <c r="AR14" s="14">
        <f ca="1"/>
      </c>
      <c r="AV14" s="14">
        <f ca="1"/>
      </c>
      <c r="AW14" s="14">
        <f ca="1"/>
      </c>
      <c r="AX14" s="14">
        <f ca="1"/>
      </c>
      <c r="AY14" s="14">
        <f ca="1"/>
      </c>
      <c r="AZ14" s="14">
        <f ca="1"/>
      </c>
      <c r="BB14">
        <f ca="1"/>
      </c>
      <c r="BC14">
        <f ca="1"/>
      </c>
      <c r="BD14">
        <f ca="1"/>
      </c>
      <c r="BF14" s="7">
        <f ca="1"/>
      </c>
      <c r="BG14" s="14">
        <f ca="1"/>
      </c>
      <c r="BH14" s="14">
        <f ca="1"/>
      </c>
      <c r="BI14" s="14">
        <f ca="1"/>
      </c>
      <c r="BJ14" s="14">
        <f ca="1"/>
      </c>
      <c r="BK14" s="14">
        <f ca="1"/>
      </c>
    </row>
    <row r="15" spans="1:63" x14ac:dyDescent="0.55000000000000004">
      <c r="A15" s="22" t="s">
        <v>72</v>
      </c>
      <c r="F15" s="25" t="s">
        <v>105</v>
      </c>
      <c r="G15" s="30" cm="1">
        <f t="array" aca="1" ref="G15" ca="1">IF($B$5="","",_xlfn.LET(_xlpm.g,_xlfn.ANCHORARRAY(AM4),_xlpm.s,_xlfn._xlws.FILTER(_xlpm.g,ISNUMBER(_xlpm.g)*(VHV_Date&gt;=IF(VHV_From="",0,VHV_From))),SUM(--(_xlpm.s&lt;=G7))/ROWS(_xlpm.s)))</f>
      </c>
      <c r="H15" s="30" cm="1">
        <f t="array" aca="1" ref="H15" ca="1">IF($B$6="","",_xlfn.LET(_xlpm.g,_xlfn.ANCHORARRAY(AP4),_xlpm.s,_xlfn._xlws.FILTER(_xlpm.g,ISNUMBER(_xlpm.g)*(VHV_Date&gt;=IF(VHV_From="",0,VHV_From))),SUM(--(_xlpm.s&lt;=H7))/ROWS(_xlpm.s)))</f>
      </c>
      <c r="I15" s="30" cm="1">
        <f t="array" aca="1" ref="I15" ca="1">IF($B$7="","",_xlfn.LET(_xlpm.g,_xlfn.ANCHORARRAY(AS4),_xlpm.s,_xlfn._xlws.FILTER(_xlpm.g,ISNUMBER(_xlpm.g)*(VHV_Date&gt;=IF(VHV_From="",0,VHV_From))),SUM(--(_xlpm.s&lt;=I7))/ROWS(_xlpm.s)))</f>
      </c>
      <c r="J15" s="30" cm="1">
        <f t="array" aca="1" ref="J15" ca="1">_xlfn.LET(_xlpm.s,_xlfn._xlws.FILTER(VHV_ChIV,ISNUMBER(VHV_ChIV)),SUM(--(_xlpm.s&lt;=J7))/ROWS(_xlpm.s))</f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L15" s="7">
        <f ca="1"/>
      </c>
      <c r="AM15" s="14">
        <f ca="1"/>
      </c>
      <c r="AN15" s="14">
        <f ca="1"/>
      </c>
      <c r="AO15" s="14">
        <f ca="1"/>
      </c>
      <c r="AP15" s="14">
        <f ca="1"/>
      </c>
      <c r="AQ15" s="14">
        <f ca="1"/>
      </c>
      <c r="AR15" s="14">
        <f ca="1"/>
      </c>
      <c r="AV15" s="14">
        <f ca="1"/>
      </c>
      <c r="AW15" s="14">
        <f ca="1"/>
      </c>
      <c r="AX15" s="14">
        <f ca="1"/>
      </c>
      <c r="AY15" s="14">
        <f ca="1"/>
      </c>
      <c r="AZ15" s="14">
        <f ca="1"/>
      </c>
      <c r="BB15">
        <f ca="1"/>
      </c>
      <c r="BC15">
        <f ca="1"/>
      </c>
      <c r="BD15">
        <f ca="1"/>
      </c>
      <c r="BF15" s="7">
        <f ca="1"/>
      </c>
      <c r="BG15" s="14">
        <f ca="1"/>
      </c>
      <c r="BH15" s="14">
        <f ca="1"/>
      </c>
      <c r="BI15" s="14">
        <f ca="1"/>
      </c>
      <c r="BJ15" s="14">
        <f ca="1"/>
      </c>
      <c r="BK15" s="14">
        <f ca="1"/>
      </c>
    </row>
    <row r="16" spans="1:63" x14ac:dyDescent="0.55000000000000004">
      <c r="A16" s="22" t="s">
        <v>73</v>
      </c>
      <c r="F16" s="25" t="s">
        <v>66</v>
      </c>
      <c r="G16" s="31">
        <f>IF($B$5="","",$D$5)</f>
      </c>
      <c r="H16" s="31">
        <f>IF($B$6="","",$D$6)</f>
      </c>
      <c r="I16" s="31">
        <f>IF($B$7="","",$D$7)</f>
      </c>
      <c r="J16" s="31"/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L16" s="7">
        <f ca="1"/>
      </c>
      <c r="AM16" s="14">
        <f ca="1"/>
      </c>
      <c r="AN16" s="14">
        <f ca="1"/>
      </c>
      <c r="AO16" s="14">
        <f ca="1"/>
      </c>
      <c r="AP16" s="14">
        <f ca="1"/>
      </c>
      <c r="AQ16" s="14">
        <f ca="1"/>
      </c>
      <c r="AR16" s="14">
        <f ca="1"/>
      </c>
      <c r="AV16" s="14">
        <f ca="1"/>
      </c>
      <c r="AW16" s="14">
        <f ca="1"/>
      </c>
      <c r="AX16" s="14">
        <f ca="1"/>
      </c>
      <c r="AY16" s="14">
        <f ca="1"/>
      </c>
      <c r="AZ16" s="14">
        <f ca="1"/>
      </c>
      <c r="BB16">
        <f ca="1"/>
      </c>
      <c r="BC16">
        <f ca="1"/>
      </c>
      <c r="BD16">
        <f ca="1"/>
      </c>
      <c r="BF16" s="7">
        <f ca="1"/>
      </c>
      <c r="BG16" s="14">
        <f ca="1"/>
      </c>
      <c r="BH16" s="14">
        <f ca="1"/>
      </c>
      <c r="BI16" s="14">
        <f ca="1"/>
      </c>
      <c r="BJ16" s="14">
        <f ca="1"/>
      </c>
      <c r="BK16" s="14">
        <f ca="1"/>
      </c>
    </row>
    <row r="17" spans="28:63" x14ac:dyDescent="0.55000000000000004"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L17" s="7">
        <f ca="1"/>
      </c>
      <c r="AM17" s="14">
        <f ca="1"/>
      </c>
      <c r="AN17" s="14">
        <f ca="1"/>
      </c>
      <c r="AO17" s="14">
        <f ca="1"/>
      </c>
      <c r="AP17" s="14">
        <f ca="1"/>
      </c>
      <c r="AQ17" s="14">
        <f ca="1"/>
      </c>
      <c r="AR17" s="14">
        <f ca="1"/>
      </c>
      <c r="AV17" s="14">
        <f ca="1"/>
      </c>
      <c r="AW17" s="14">
        <f ca="1"/>
      </c>
      <c r="AX17" s="14">
        <f ca="1"/>
      </c>
      <c r="AY17" s="14">
        <f ca="1"/>
      </c>
      <c r="AZ17" s="14">
        <f ca="1"/>
      </c>
      <c r="BB17">
        <f ca="1"/>
      </c>
      <c r="BC17">
        <f ca="1"/>
      </c>
      <c r="BD17">
        <f ca="1"/>
      </c>
      <c r="BF17" s="7">
        <f ca="1"/>
      </c>
      <c r="BG17" s="14">
        <f ca="1"/>
      </c>
      <c r="BH17" s="14">
        <f ca="1"/>
      </c>
      <c r="BI17" s="14">
        <f ca="1"/>
      </c>
      <c r="BJ17" s="14">
        <f ca="1"/>
      </c>
      <c r="BK17" s="14">
        <f ca="1"/>
      </c>
    </row>
    <row r="18" spans="28:63" x14ac:dyDescent="0.55000000000000004"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L18" s="7">
        <f ca="1"/>
      </c>
      <c r="AM18" s="14">
        <f ca="1"/>
      </c>
      <c r="AN18" s="14">
        <f ca="1"/>
      </c>
      <c r="AO18" s="14">
        <f ca="1"/>
      </c>
      <c r="AP18" s="14">
        <f ca="1"/>
      </c>
      <c r="AQ18" s="14">
        <f ca="1"/>
      </c>
      <c r="AR18" s="14">
        <f ca="1"/>
      </c>
      <c r="AV18" s="14">
        <f ca="1"/>
      </c>
      <c r="AW18" s="14">
        <f ca="1"/>
      </c>
      <c r="AX18" s="14">
        <f ca="1"/>
      </c>
      <c r="AY18" s="14">
        <f ca="1"/>
      </c>
      <c r="AZ18" s="14">
        <f ca="1"/>
      </c>
      <c r="BB18">
        <f ca="1"/>
      </c>
      <c r="BC18">
        <f ca="1"/>
      </c>
      <c r="BD18">
        <f ca="1"/>
      </c>
      <c r="BF18" s="7">
        <f ca="1"/>
      </c>
      <c r="BG18" s="14">
        <f ca="1"/>
      </c>
      <c r="BH18" s="14">
        <f ca="1"/>
      </c>
      <c r="BI18" s="14">
        <f ca="1"/>
      </c>
      <c r="BJ18" s="14">
        <f ca="1"/>
      </c>
      <c r="BK18" s="14">
        <f ca="1"/>
      </c>
    </row>
    <row r="19" spans="28:63" x14ac:dyDescent="0.55000000000000004"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L19" s="7">
        <f ca="1"/>
      </c>
      <c r="AM19" s="14">
        <f ca="1"/>
      </c>
      <c r="AN19" s="14">
        <f ca="1"/>
      </c>
      <c r="AO19" s="14">
        <f ca="1"/>
      </c>
      <c r="AP19" s="14">
        <f ca="1"/>
      </c>
      <c r="AQ19" s="14">
        <f ca="1"/>
      </c>
      <c r="AR19" s="14">
        <f ca="1"/>
      </c>
      <c r="AV19" s="14">
        <f ca="1"/>
      </c>
      <c r="AW19" s="14">
        <f ca="1"/>
      </c>
      <c r="AX19" s="14">
        <f ca="1"/>
      </c>
      <c r="AY19" s="14">
        <f ca="1"/>
      </c>
      <c r="AZ19" s="14">
        <f ca="1"/>
      </c>
      <c r="BB19">
        <f ca="1"/>
      </c>
      <c r="BC19">
        <f ca="1"/>
      </c>
      <c r="BD19">
        <f ca="1"/>
      </c>
      <c r="BF19" s="7">
        <f ca="1"/>
      </c>
      <c r="BG19" s="14">
        <f ca="1"/>
      </c>
      <c r="BH19" s="14">
        <f ca="1"/>
      </c>
      <c r="BI19" s="14">
        <f ca="1"/>
      </c>
      <c r="BJ19" s="14">
        <f ca="1"/>
      </c>
      <c r="BK19" s="14">
        <f ca="1"/>
      </c>
    </row>
    <row r="20" spans="28:63" x14ac:dyDescent="0.55000000000000004"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L20" s="7">
        <f ca="1"/>
      </c>
      <c r="AM20" s="14">
        <f ca="1"/>
      </c>
      <c r="AN20" s="14">
        <f ca="1"/>
      </c>
      <c r="AO20" s="14">
        <f ca="1"/>
      </c>
      <c r="AP20" s="14">
        <f ca="1"/>
      </c>
      <c r="AQ20" s="14">
        <f ca="1"/>
      </c>
      <c r="AR20" s="14">
        <f ca="1"/>
      </c>
      <c r="AV20" s="14">
        <f ca="1"/>
      </c>
      <c r="AW20" s="14">
        <f ca="1"/>
      </c>
      <c r="AX20" s="14">
        <f ca="1"/>
      </c>
      <c r="AY20" s="14">
        <f ca="1"/>
      </c>
      <c r="AZ20" s="14">
        <f ca="1"/>
      </c>
      <c r="BB20">
        <f ca="1"/>
      </c>
      <c r="BC20">
        <f ca="1"/>
      </c>
      <c r="BD20">
        <f ca="1"/>
      </c>
      <c r="BF20" s="7">
        <f ca="1"/>
      </c>
      <c r="BG20" s="14">
        <f ca="1"/>
      </c>
      <c r="BH20" s="14">
        <f ca="1"/>
      </c>
      <c r="BI20" s="14">
        <f ca="1"/>
      </c>
      <c r="BJ20" s="14">
        <f ca="1"/>
      </c>
      <c r="BK20" s="14">
        <f ca="1"/>
      </c>
    </row>
    <row r="21" spans="28:63" x14ac:dyDescent="0.55000000000000004"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L21" s="7">
        <f ca="1"/>
      </c>
      <c r="AM21" s="14">
        <f ca="1"/>
      </c>
      <c r="AN21" s="14">
        <f ca="1"/>
      </c>
      <c r="AO21" s="14">
        <f ca="1"/>
      </c>
      <c r="AP21" s="14">
        <f ca="1"/>
      </c>
      <c r="AQ21" s="14">
        <f ca="1"/>
      </c>
      <c r="AR21" s="14">
        <f ca="1"/>
      </c>
      <c r="AV21" s="14">
        <f ca="1"/>
      </c>
      <c r="AW21" s="14">
        <f ca="1"/>
      </c>
      <c r="AX21" s="14">
        <f ca="1"/>
      </c>
      <c r="AY21" s="14">
        <f ca="1"/>
      </c>
      <c r="AZ21" s="14">
        <f ca="1"/>
      </c>
      <c r="BB21">
        <f ca="1"/>
      </c>
      <c r="BC21">
        <f ca="1"/>
      </c>
      <c r="BD21">
        <f ca="1"/>
      </c>
      <c r="BF21" s="7">
        <f ca="1"/>
      </c>
      <c r="BG21" s="14">
        <f ca="1"/>
      </c>
      <c r="BH21" s="14">
        <f ca="1"/>
      </c>
      <c r="BI21" s="14">
        <f ca="1"/>
      </c>
      <c r="BJ21" s="14">
        <f ca="1"/>
      </c>
      <c r="BK21" s="14">
        <f ca="1"/>
      </c>
    </row>
    <row r="22" spans="28:63" x14ac:dyDescent="0.55000000000000004"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L22" s="7">
        <f ca="1"/>
      </c>
      <c r="AM22" s="14">
        <f ca="1"/>
      </c>
      <c r="AN22" s="14">
        <f ca="1"/>
      </c>
      <c r="AO22" s="14">
        <f ca="1"/>
      </c>
      <c r="AP22" s="14">
        <f ca="1"/>
      </c>
      <c r="AQ22" s="14">
        <f ca="1"/>
      </c>
      <c r="AR22" s="14">
        <f ca="1"/>
      </c>
      <c r="AV22" s="14">
        <f ca="1"/>
      </c>
      <c r="AW22" s="14">
        <f ca="1"/>
      </c>
      <c r="AX22" s="14">
        <f ca="1"/>
      </c>
      <c r="AY22" s="14">
        <f ca="1"/>
      </c>
      <c r="AZ22" s="14">
        <f ca="1"/>
      </c>
      <c r="BB22">
        <f ca="1"/>
      </c>
      <c r="BC22">
        <f ca="1"/>
      </c>
      <c r="BD22">
        <f ca="1"/>
      </c>
      <c r="BF22" s="7">
        <f ca="1"/>
      </c>
      <c r="BG22" s="14">
        <f ca="1"/>
      </c>
      <c r="BH22" s="14">
        <f ca="1"/>
      </c>
      <c r="BI22" s="14">
        <f ca="1"/>
      </c>
      <c r="BJ22" s="14">
        <f ca="1"/>
      </c>
      <c r="BK22" s="14">
        <f ca="1"/>
      </c>
    </row>
    <row r="23" spans="28:63" x14ac:dyDescent="0.55000000000000004"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L23" s="7">
        <f ca="1"/>
      </c>
      <c r="AM23" s="14">
        <f ca="1"/>
      </c>
      <c r="AN23" s="14">
        <f ca="1"/>
      </c>
      <c r="AO23" s="14">
        <f ca="1"/>
      </c>
      <c r="AP23" s="14">
        <f ca="1"/>
      </c>
      <c r="AQ23" s="14">
        <f ca="1"/>
      </c>
      <c r="AR23" s="14">
        <f ca="1"/>
      </c>
      <c r="AV23" s="14">
        <f ca="1"/>
      </c>
      <c r="AW23" s="14">
        <f ca="1"/>
      </c>
      <c r="AX23" s="14">
        <f ca="1"/>
      </c>
      <c r="AY23" s="14">
        <f ca="1"/>
      </c>
      <c r="AZ23" s="14">
        <f ca="1"/>
      </c>
      <c r="BB23">
        <f ca="1"/>
      </c>
      <c r="BC23">
        <f ca="1"/>
      </c>
      <c r="BD23">
        <f ca="1"/>
      </c>
      <c r="BF23" s="7">
        <f ca="1"/>
      </c>
      <c r="BG23" s="14">
        <f ca="1"/>
      </c>
      <c r="BH23" s="14">
        <f ca="1"/>
      </c>
      <c r="BI23" s="14">
        <f ca="1"/>
      </c>
      <c r="BJ23" s="14">
        <f ca="1"/>
      </c>
      <c r="BK23" s="14">
        <f ca="1"/>
      </c>
    </row>
    <row r="24" spans="28:63" x14ac:dyDescent="0.55000000000000004"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L24" s="7">
        <f ca="1"/>
      </c>
      <c r="AM24" s="14">
        <f ca="1"/>
      </c>
      <c r="AN24" s="14">
        <f ca="1"/>
      </c>
      <c r="AO24" s="14">
        <f ca="1"/>
      </c>
      <c r="AP24" s="14">
        <f ca="1"/>
      </c>
      <c r="AQ24" s="14">
        <f ca="1"/>
      </c>
      <c r="AR24" s="14">
        <f ca="1"/>
      </c>
      <c r="AV24" s="14">
        <f ca="1"/>
      </c>
      <c r="AW24" s="14">
        <f ca="1"/>
      </c>
      <c r="AX24" s="14">
        <f ca="1"/>
      </c>
      <c r="AY24" s="14">
        <f ca="1"/>
      </c>
      <c r="AZ24" s="14">
        <f ca="1"/>
      </c>
      <c r="BB24">
        <f ca="1"/>
      </c>
      <c r="BC24">
        <f ca="1"/>
      </c>
      <c r="BD24">
        <f ca="1"/>
      </c>
      <c r="BF24" s="7">
        <f ca="1"/>
      </c>
      <c r="BG24" s="14">
        <f ca="1"/>
      </c>
      <c r="BH24" s="14">
        <f ca="1"/>
      </c>
      <c r="BI24" s="14">
        <f ca="1"/>
      </c>
      <c r="BJ24" s="14">
        <f ca="1"/>
      </c>
      <c r="BK24" s="14">
        <f ca="1"/>
      </c>
    </row>
    <row r="25" spans="28:63" x14ac:dyDescent="0.55000000000000004"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L25" s="7">
        <f ca="1"/>
      </c>
      <c r="AM25" s="14">
        <f ca="1"/>
      </c>
      <c r="AN25" s="14">
        <f ca="1"/>
      </c>
      <c r="AO25" s="14">
        <f ca="1"/>
      </c>
      <c r="AP25" s="14">
        <f ca="1"/>
      </c>
      <c r="AQ25" s="14">
        <f ca="1"/>
      </c>
      <c r="AR25" s="14">
        <f ca="1"/>
      </c>
      <c r="AV25" s="14">
        <f ca="1"/>
      </c>
      <c r="AW25" s="14">
        <f ca="1"/>
      </c>
      <c r="AX25" s="14">
        <f ca="1"/>
      </c>
      <c r="AY25" s="14">
        <f ca="1"/>
      </c>
      <c r="AZ25" s="14">
        <f ca="1"/>
      </c>
      <c r="BB25">
        <f ca="1"/>
      </c>
      <c r="BC25">
        <f ca="1"/>
      </c>
      <c r="BD25">
        <f ca="1"/>
      </c>
      <c r="BF25" s="7">
        <f ca="1"/>
      </c>
      <c r="BG25" s="14">
        <f ca="1"/>
      </c>
      <c r="BH25" s="14">
        <f ca="1"/>
      </c>
      <c r="BI25" s="14">
        <f ca="1"/>
      </c>
      <c r="BJ25" s="14">
        <f ca="1"/>
      </c>
      <c r="BK25" s="14">
        <f ca="1"/>
      </c>
    </row>
    <row r="26" spans="28:63" x14ac:dyDescent="0.55000000000000004"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L26" s="7">
        <f ca="1"/>
      </c>
      <c r="AM26" s="14">
        <f ca="1"/>
      </c>
      <c r="AN26" s="14">
        <f ca="1"/>
      </c>
      <c r="AO26" s="14">
        <f ca="1"/>
      </c>
      <c r="AP26" s="14">
        <f ca="1"/>
      </c>
      <c r="AQ26" s="14">
        <f ca="1"/>
      </c>
      <c r="AR26" s="14">
        <f ca="1"/>
      </c>
      <c r="AV26" s="14">
        <f ca="1"/>
      </c>
      <c r="AW26" s="14">
        <f ca="1"/>
      </c>
      <c r="AX26" s="14">
        <f ca="1"/>
      </c>
      <c r="AY26" s="14">
        <f ca="1"/>
      </c>
      <c r="AZ26" s="14">
        <f ca="1"/>
      </c>
      <c r="BB26">
        <f ca="1"/>
      </c>
      <c r="BC26">
        <f ca="1"/>
      </c>
      <c r="BD26">
        <f ca="1"/>
      </c>
      <c r="BF26" s="7">
        <f ca="1"/>
      </c>
      <c r="BG26" s="14">
        <f ca="1"/>
      </c>
      <c r="BH26" s="14">
        <f ca="1"/>
      </c>
      <c r="BI26" s="14">
        <f ca="1"/>
      </c>
      <c r="BJ26" s="14">
        <f ca="1"/>
      </c>
      <c r="BK26" s="14">
        <f ca="1"/>
      </c>
    </row>
    <row r="27" spans="28:63" x14ac:dyDescent="0.55000000000000004"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L27" s="7">
        <f ca="1"/>
      </c>
      <c r="AM27" s="14">
        <f ca="1"/>
      </c>
      <c r="AN27" s="14">
        <f ca="1"/>
      </c>
      <c r="AO27" s="14">
        <f ca="1"/>
      </c>
      <c r="AP27" s="14">
        <f ca="1"/>
      </c>
      <c r="AQ27" s="14">
        <f ca="1"/>
      </c>
      <c r="AR27" s="14">
        <f ca="1"/>
      </c>
      <c r="AV27" s="14">
        <f ca="1"/>
      </c>
      <c r="AW27" s="14">
        <f ca="1"/>
      </c>
      <c r="AX27" s="14">
        <f ca="1"/>
      </c>
      <c r="AY27" s="14">
        <f ca="1"/>
      </c>
      <c r="AZ27" s="14">
        <f ca="1"/>
      </c>
      <c r="BB27">
        <f ca="1"/>
      </c>
      <c r="BC27">
        <f ca="1"/>
      </c>
      <c r="BD27">
        <f ca="1"/>
      </c>
      <c r="BF27" s="7">
        <f ca="1"/>
      </c>
      <c r="BG27" s="14">
        <f ca="1"/>
      </c>
      <c r="BH27" s="14">
        <f ca="1"/>
      </c>
      <c r="BI27" s="14">
        <f ca="1"/>
      </c>
      <c r="BJ27" s="14">
        <f ca="1"/>
      </c>
      <c r="BK27" s="14">
        <f ca="1"/>
      </c>
    </row>
    <row r="28" spans="28:63" x14ac:dyDescent="0.55000000000000004"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L28" s="7">
        <f ca="1"/>
      </c>
      <c r="AM28" s="14">
        <f ca="1"/>
      </c>
      <c r="AN28" s="14">
        <f ca="1"/>
      </c>
      <c r="AO28" s="14">
        <f ca="1"/>
      </c>
      <c r="AP28" s="14">
        <f ca="1"/>
      </c>
      <c r="AQ28" s="14">
        <f ca="1"/>
      </c>
      <c r="AR28" s="14">
        <f ca="1"/>
      </c>
      <c r="AV28" s="14">
        <f ca="1"/>
      </c>
      <c r="AW28" s="14">
        <f ca="1"/>
      </c>
      <c r="AX28" s="14">
        <f ca="1"/>
      </c>
      <c r="AY28" s="14">
        <f ca="1"/>
      </c>
      <c r="AZ28" s="14">
        <f ca="1"/>
      </c>
      <c r="BB28">
        <f ca="1"/>
      </c>
      <c r="BC28">
        <f ca="1"/>
      </c>
      <c r="BD28">
        <f ca="1"/>
      </c>
      <c r="BF28" s="7">
        <f ca="1"/>
      </c>
      <c r="BG28" s="14">
        <f ca="1"/>
      </c>
      <c r="BH28" s="14">
        <f ca="1"/>
      </c>
      <c r="BI28" s="14">
        <f ca="1"/>
      </c>
      <c r="BJ28" s="14">
        <f ca="1"/>
      </c>
      <c r="BK28" s="14">
        <f ca="1"/>
      </c>
    </row>
    <row r="29" spans="28:63" x14ac:dyDescent="0.55000000000000004"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L29" s="7">
        <f ca="1"/>
      </c>
      <c r="AM29" s="14">
        <f ca="1"/>
      </c>
      <c r="AN29" s="14">
        <f ca="1"/>
      </c>
      <c r="AO29" s="14">
        <f ca="1"/>
      </c>
      <c r="AP29" s="14">
        <f ca="1"/>
      </c>
      <c r="AQ29" s="14">
        <f ca="1"/>
      </c>
      <c r="AR29" s="14">
        <f ca="1"/>
      </c>
      <c r="AV29" s="14">
        <f ca="1"/>
      </c>
      <c r="AW29" s="14">
        <f ca="1"/>
      </c>
      <c r="AX29" s="14">
        <f ca="1"/>
      </c>
      <c r="AY29" s="14">
        <f ca="1"/>
      </c>
      <c r="AZ29" s="14">
        <f ca="1"/>
      </c>
      <c r="BB29">
        <f ca="1"/>
      </c>
      <c r="BC29">
        <f ca="1"/>
      </c>
      <c r="BD29">
        <f ca="1"/>
      </c>
      <c r="BF29" s="7">
        <f ca="1"/>
      </c>
      <c r="BG29" s="14">
        <f ca="1"/>
      </c>
      <c r="BH29" s="14">
        <f ca="1"/>
      </c>
      <c r="BI29" s="14">
        <f ca="1"/>
      </c>
      <c r="BJ29" s="14">
        <f ca="1"/>
      </c>
      <c r="BK29" s="14">
        <f ca="1"/>
      </c>
    </row>
    <row r="30" spans="28:63" x14ac:dyDescent="0.55000000000000004"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L30" s="7">
        <f ca="1"/>
      </c>
      <c r="AM30" s="14">
        <f ca="1"/>
      </c>
      <c r="AN30" s="14">
        <f ca="1"/>
      </c>
      <c r="AO30" s="14">
        <f ca="1"/>
      </c>
      <c r="AP30" s="14">
        <f ca="1"/>
      </c>
      <c r="AQ30" s="14">
        <f ca="1"/>
      </c>
      <c r="AR30" s="14">
        <f ca="1"/>
      </c>
      <c r="AV30" s="14">
        <f ca="1"/>
      </c>
      <c r="AW30" s="14">
        <f ca="1"/>
      </c>
      <c r="AX30" s="14">
        <f ca="1"/>
      </c>
      <c r="AY30" s="14">
        <f ca="1"/>
      </c>
      <c r="AZ30" s="14">
        <f ca="1"/>
      </c>
      <c r="BB30">
        <f ca="1"/>
      </c>
      <c r="BC30">
        <f ca="1"/>
      </c>
      <c r="BD30">
        <f ca="1"/>
      </c>
      <c r="BF30" s="7">
        <f ca="1"/>
      </c>
      <c r="BG30" s="14">
        <f ca="1"/>
      </c>
      <c r="BH30" s="14">
        <f ca="1"/>
      </c>
      <c r="BI30" s="14">
        <f ca="1"/>
      </c>
      <c r="BJ30" s="14">
        <f ca="1"/>
      </c>
      <c r="BK30" s="14">
        <f ca="1"/>
      </c>
    </row>
    <row r="31" spans="28:63" x14ac:dyDescent="0.55000000000000004"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L31" s="7">
        <f ca="1"/>
      </c>
      <c r="AM31" s="14">
        <f ca="1"/>
      </c>
      <c r="AN31" s="14">
        <f ca="1"/>
      </c>
      <c r="AO31" s="14">
        <f ca="1"/>
      </c>
      <c r="AP31" s="14">
        <f ca="1"/>
      </c>
      <c r="AQ31" s="14">
        <f ca="1"/>
      </c>
      <c r="AR31" s="14">
        <f ca="1"/>
      </c>
      <c r="AV31" s="14">
        <f ca="1"/>
      </c>
      <c r="AW31" s="14">
        <f ca="1"/>
      </c>
      <c r="AX31" s="14">
        <f ca="1"/>
      </c>
      <c r="AY31" s="14">
        <f ca="1"/>
      </c>
      <c r="AZ31" s="14">
        <f ca="1"/>
      </c>
      <c r="BB31">
        <f ca="1"/>
      </c>
      <c r="BC31">
        <f ca="1"/>
      </c>
      <c r="BD31">
        <f ca="1"/>
      </c>
      <c r="BF31" s="7">
        <f ca="1"/>
      </c>
      <c r="BG31" s="14">
        <f ca="1"/>
      </c>
      <c r="BH31" s="14">
        <f ca="1"/>
      </c>
      <c r="BI31" s="14">
        <f ca="1"/>
      </c>
      <c r="BJ31" s="14">
        <f ca="1"/>
      </c>
      <c r="BK31" s="14">
        <f ca="1"/>
      </c>
    </row>
    <row r="32" spans="28:63" x14ac:dyDescent="0.55000000000000004"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L32" s="7">
        <f ca="1"/>
      </c>
      <c r="AM32" s="14">
        <f ca="1"/>
      </c>
      <c r="AN32" s="14">
        <f ca="1"/>
      </c>
      <c r="AO32" s="14">
        <f ca="1"/>
      </c>
      <c r="AP32" s="14">
        <f ca="1"/>
      </c>
      <c r="AQ32" s="14">
        <f ca="1"/>
      </c>
      <c r="AR32" s="14">
        <f ca="1"/>
      </c>
      <c r="AV32" s="14">
        <f ca="1"/>
      </c>
      <c r="AW32" s="14">
        <f ca="1"/>
      </c>
      <c r="AX32" s="14">
        <f ca="1"/>
      </c>
      <c r="AY32" s="14">
        <f ca="1"/>
      </c>
      <c r="AZ32" s="14">
        <f ca="1"/>
      </c>
      <c r="BB32">
        <f ca="1"/>
      </c>
      <c r="BC32">
        <f ca="1"/>
      </c>
      <c r="BD32">
        <f ca="1"/>
      </c>
      <c r="BF32" s="7">
        <f ca="1"/>
      </c>
      <c r="BG32" s="14">
        <f ca="1"/>
      </c>
      <c r="BH32" s="14">
        <f ca="1"/>
      </c>
      <c r="BI32" s="14">
        <f ca="1"/>
      </c>
      <c r="BJ32" s="14">
        <f ca="1"/>
      </c>
      <c r="BK32" s="14">
        <f ca="1"/>
      </c>
    </row>
    <row r="33" spans="28:63" x14ac:dyDescent="0.55000000000000004"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L33" s="7">
        <f ca="1"/>
      </c>
      <c r="AM33" s="14">
        <f ca="1"/>
      </c>
      <c r="AN33" s="14">
        <f ca="1"/>
      </c>
      <c r="AO33" s="14">
        <f ca="1"/>
      </c>
      <c r="AP33" s="14">
        <f ca="1"/>
      </c>
      <c r="AQ33" s="14">
        <f ca="1"/>
      </c>
      <c r="AR33" s="14">
        <f ca="1"/>
      </c>
      <c r="AV33" s="14">
        <f ca="1"/>
      </c>
      <c r="AW33" s="14">
        <f ca="1"/>
      </c>
      <c r="AX33" s="14">
        <f ca="1"/>
      </c>
      <c r="AY33" s="14">
        <f ca="1"/>
      </c>
      <c r="AZ33" s="14">
        <f ca="1"/>
      </c>
      <c r="BB33">
        <f ca="1"/>
      </c>
      <c r="BC33">
        <f ca="1"/>
      </c>
      <c r="BD33">
        <f ca="1"/>
      </c>
      <c r="BF33" s="7">
        <f ca="1"/>
      </c>
      <c r="BG33" s="14">
        <f ca="1"/>
      </c>
      <c r="BH33" s="14">
        <f ca="1"/>
      </c>
      <c r="BI33" s="14">
        <f ca="1"/>
      </c>
      <c r="BJ33" s="14">
        <f ca="1"/>
      </c>
      <c r="BK33" s="14">
        <f ca="1"/>
      </c>
    </row>
    <row r="34" spans="28:63" x14ac:dyDescent="0.55000000000000004"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L34" s="7">
        <f ca="1"/>
      </c>
      <c r="AM34" s="14">
        <f ca="1"/>
      </c>
      <c r="AN34" s="14">
        <f ca="1"/>
      </c>
      <c r="AO34" s="14">
        <f ca="1"/>
      </c>
      <c r="AP34" s="14">
        <f ca="1"/>
      </c>
      <c r="AQ34" s="14">
        <f ca="1"/>
      </c>
      <c r="AR34" s="14">
        <f ca="1"/>
      </c>
      <c r="AV34" s="14">
        <f ca="1"/>
      </c>
      <c r="AW34" s="14">
        <f ca="1"/>
      </c>
      <c r="AX34" s="14">
        <f ca="1"/>
      </c>
      <c r="AY34" s="14">
        <f ca="1"/>
      </c>
      <c r="AZ34" s="14">
        <f ca="1"/>
      </c>
      <c r="BB34">
        <f ca="1"/>
      </c>
      <c r="BC34">
        <f ca="1"/>
      </c>
      <c r="BD34">
        <f ca="1"/>
      </c>
      <c r="BF34" s="7">
        <f ca="1"/>
      </c>
      <c r="BG34" s="14">
        <f ca="1"/>
      </c>
      <c r="BH34" s="14">
        <f ca="1"/>
      </c>
      <c r="BI34" s="14">
        <f ca="1"/>
      </c>
      <c r="BJ34" s="14">
        <f ca="1"/>
      </c>
      <c r="BK34" s="14">
        <f ca="1"/>
      </c>
    </row>
    <row r="35" spans="28:63" x14ac:dyDescent="0.55000000000000004"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L35" s="7">
        <f ca="1"/>
      </c>
      <c r="AM35" s="14">
        <f ca="1"/>
      </c>
      <c r="AN35" s="14">
        <f ca="1"/>
      </c>
      <c r="AO35" s="14">
        <f ca="1"/>
      </c>
      <c r="AP35" s="14">
        <f ca="1"/>
      </c>
      <c r="AQ35" s="14">
        <f ca="1"/>
      </c>
      <c r="AR35" s="14">
        <f ca="1"/>
      </c>
      <c r="AV35" s="14">
        <f ca="1"/>
      </c>
      <c r="AW35" s="14">
        <f ca="1"/>
      </c>
      <c r="AX35" s="14">
        <f ca="1"/>
      </c>
      <c r="AY35" s="14">
        <f ca="1"/>
      </c>
      <c r="AZ35" s="14">
        <f ca="1"/>
      </c>
      <c r="BB35">
        <f ca="1"/>
      </c>
      <c r="BC35">
        <f ca="1"/>
      </c>
      <c r="BD35">
        <f ca="1"/>
      </c>
      <c r="BF35" s="7">
        <f ca="1"/>
      </c>
      <c r="BG35" s="14">
        <f ca="1"/>
      </c>
      <c r="BH35" s="14">
        <f ca="1"/>
      </c>
      <c r="BI35" s="14">
        <f ca="1"/>
      </c>
      <c r="BJ35" s="14">
        <f ca="1"/>
      </c>
      <c r="BK35" s="14">
        <f ca="1"/>
      </c>
    </row>
    <row r="36" spans="28:63" x14ac:dyDescent="0.55000000000000004"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L36" s="7">
        <f ca="1"/>
      </c>
      <c r="AM36" s="14">
        <f ca="1"/>
      </c>
      <c r="AN36" s="14">
        <f ca="1"/>
      </c>
      <c r="AO36" s="14">
        <f ca="1"/>
      </c>
      <c r="AP36" s="14">
        <f ca="1"/>
      </c>
      <c r="AQ36" s="14">
        <f ca="1"/>
      </c>
      <c r="AR36" s="14">
        <f ca="1"/>
      </c>
      <c r="AV36" s="14">
        <f ca="1"/>
      </c>
      <c r="AW36" s="14">
        <f ca="1"/>
      </c>
      <c r="AX36" s="14">
        <f ca="1"/>
      </c>
      <c r="AY36" s="14">
        <f ca="1"/>
      </c>
      <c r="AZ36" s="14">
        <f ca="1"/>
      </c>
      <c r="BB36">
        <f ca="1"/>
      </c>
      <c r="BC36">
        <f ca="1"/>
      </c>
      <c r="BD36">
        <f ca="1"/>
      </c>
      <c r="BF36" s="7">
        <f ca="1"/>
      </c>
      <c r="BG36" s="14">
        <f ca="1"/>
      </c>
      <c r="BH36" s="14">
        <f ca="1"/>
      </c>
      <c r="BI36" s="14">
        <f ca="1"/>
      </c>
      <c r="BJ36" s="14">
        <f ca="1"/>
      </c>
      <c r="BK36" s="14">
        <f ca="1"/>
      </c>
    </row>
    <row r="37" spans="28:63" x14ac:dyDescent="0.55000000000000004"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L37" s="7">
        <f ca="1"/>
      </c>
      <c r="AM37" s="14">
        <f ca="1"/>
      </c>
      <c r="AN37" s="14">
        <f ca="1"/>
      </c>
      <c r="AO37" s="14">
        <f ca="1"/>
      </c>
      <c r="AP37" s="14">
        <f ca="1"/>
      </c>
      <c r="AQ37" s="14">
        <f ca="1"/>
      </c>
      <c r="AR37" s="14">
        <f ca="1"/>
      </c>
      <c r="AV37" s="14">
        <f ca="1"/>
      </c>
      <c r="AW37" s="14">
        <f ca="1"/>
      </c>
      <c r="AX37" s="14">
        <f ca="1"/>
      </c>
      <c r="AY37" s="14">
        <f ca="1"/>
      </c>
      <c r="AZ37" s="14">
        <f ca="1"/>
      </c>
      <c r="BB37">
        <f ca="1"/>
      </c>
      <c r="BC37">
        <f ca="1"/>
      </c>
      <c r="BD37">
        <f ca="1"/>
      </c>
      <c r="BF37" s="7">
        <f ca="1"/>
      </c>
      <c r="BG37" s="14">
        <f ca="1"/>
      </c>
      <c r="BH37" s="14">
        <f ca="1"/>
      </c>
      <c r="BI37" s="14">
        <f ca="1"/>
      </c>
      <c r="BJ37" s="14">
        <f ca="1"/>
      </c>
      <c r="BK37" s="14">
        <f ca="1"/>
      </c>
    </row>
    <row r="38" spans="28:63" x14ac:dyDescent="0.55000000000000004"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L38" s="7">
        <f ca="1"/>
      </c>
      <c r="AM38" s="14">
        <f ca="1"/>
      </c>
      <c r="AN38" s="14">
        <f ca="1"/>
      </c>
      <c r="AO38" s="14">
        <f ca="1"/>
      </c>
      <c r="AP38" s="14">
        <f ca="1"/>
      </c>
      <c r="AQ38" s="14">
        <f ca="1"/>
      </c>
      <c r="AR38" s="14">
        <f ca="1"/>
      </c>
      <c r="AV38" s="14">
        <f ca="1"/>
      </c>
      <c r="AW38" s="14">
        <f ca="1"/>
      </c>
      <c r="AX38" s="14">
        <f ca="1"/>
      </c>
      <c r="AY38" s="14">
        <f ca="1"/>
      </c>
      <c r="AZ38" s="14">
        <f ca="1"/>
      </c>
      <c r="BB38">
        <f ca="1"/>
      </c>
      <c r="BC38">
        <f ca="1"/>
      </c>
      <c r="BD38">
        <f ca="1"/>
      </c>
      <c r="BF38" s="7">
        <f ca="1"/>
      </c>
      <c r="BG38" s="14">
        <f ca="1"/>
      </c>
      <c r="BH38" s="14">
        <f ca="1"/>
      </c>
      <c r="BI38" s="14">
        <f ca="1"/>
      </c>
      <c r="BJ38" s="14">
        <f ca="1"/>
      </c>
      <c r="BK38" s="14">
        <f ca="1"/>
      </c>
    </row>
    <row r="39" spans="28:63" x14ac:dyDescent="0.55000000000000004">
      <c r="AB39">
        <f ca="1"/>
      </c>
      <c r="AC39">
        <f ca="1"/>
      </c>
      <c r="AD39">
        <f ca="1"/>
      </c>
      <c r="AE39">
        <f ca="1"/>
      </c>
      <c r="AF39">
        <f ca="1"/>
      </c>
      <c r="AG39">
        <f ca="1"/>
      </c>
      <c r="AH39">
        <f ca="1"/>
      </c>
      <c r="AL39" s="7">
        <f ca="1"/>
      </c>
      <c r="AM39" s="14">
        <f ca="1"/>
      </c>
      <c r="AN39" s="14">
        <f ca="1"/>
      </c>
      <c r="AO39" s="14">
        <f ca="1"/>
      </c>
      <c r="AP39" s="14">
        <f ca="1"/>
      </c>
      <c r="AQ39" s="14">
        <f ca="1"/>
      </c>
      <c r="AR39" s="14">
        <f ca="1"/>
      </c>
      <c r="AV39" s="14">
        <f ca="1"/>
      </c>
      <c r="AW39" s="14">
        <f ca="1"/>
      </c>
      <c r="AX39" s="14">
        <f ca="1"/>
      </c>
      <c r="AY39" s="14">
        <f ca="1"/>
      </c>
      <c r="AZ39" s="14">
        <f ca="1"/>
      </c>
      <c r="BB39">
        <f ca="1"/>
      </c>
      <c r="BC39">
        <f ca="1"/>
      </c>
      <c r="BD39">
        <f ca="1"/>
      </c>
      <c r="BF39" s="7">
        <f ca="1"/>
      </c>
      <c r="BG39" s="14">
        <f ca="1"/>
      </c>
      <c r="BH39" s="14">
        <f ca="1"/>
      </c>
      <c r="BI39" s="14">
        <f ca="1"/>
      </c>
      <c r="BJ39" s="14">
        <f ca="1"/>
      </c>
      <c r="BK39" s="14">
        <f ca="1"/>
      </c>
    </row>
    <row r="40" spans="28:63" x14ac:dyDescent="0.55000000000000004">
      <c r="AB40">
        <f ca="1"/>
      </c>
      <c r="AC40">
        <f ca="1"/>
      </c>
      <c r="AD40">
        <f ca="1"/>
      </c>
      <c r="AE40">
        <f ca="1"/>
      </c>
      <c r="AF40">
        <f ca="1"/>
      </c>
      <c r="AG40">
        <f ca="1"/>
      </c>
      <c r="AH40">
        <f ca="1"/>
      </c>
      <c r="AL40" s="7">
        <f ca="1"/>
      </c>
      <c r="AM40" s="14">
        <f ca="1"/>
      </c>
      <c r="AN40" s="14">
        <f ca="1"/>
      </c>
      <c r="AO40" s="14">
        <f ca="1"/>
      </c>
      <c r="AP40" s="14">
        <f ca="1"/>
      </c>
      <c r="AQ40" s="14">
        <f ca="1"/>
      </c>
      <c r="AR40" s="14">
        <f ca="1"/>
      </c>
      <c r="AV40" s="14">
        <f ca="1"/>
      </c>
      <c r="AW40" s="14">
        <f ca="1"/>
      </c>
      <c r="AX40" s="14">
        <f ca="1"/>
      </c>
      <c r="AY40" s="14">
        <f ca="1"/>
      </c>
      <c r="AZ40" s="14">
        <f ca="1"/>
      </c>
      <c r="BB40">
        <f ca="1"/>
      </c>
      <c r="BC40">
        <f ca="1"/>
      </c>
      <c r="BD40">
        <f ca="1"/>
      </c>
      <c r="BF40" s="7">
        <f ca="1"/>
      </c>
      <c r="BG40" s="14">
        <f ca="1"/>
      </c>
      <c r="BH40" s="14">
        <f ca="1"/>
      </c>
      <c r="BI40" s="14">
        <f ca="1"/>
      </c>
      <c r="BJ40" s="14">
        <f ca="1"/>
      </c>
      <c r="BK40" s="14">
        <f ca="1"/>
      </c>
    </row>
    <row r="41" spans="28:63" x14ac:dyDescent="0.55000000000000004">
      <c r="AB41">
        <f ca="1"/>
      </c>
      <c r="AC41">
        <f ca="1"/>
      </c>
      <c r="AD41">
        <f ca="1"/>
      </c>
      <c r="AE41">
        <f ca="1"/>
      </c>
      <c r="AF41">
        <f ca="1"/>
      </c>
      <c r="AG41">
        <f ca="1"/>
      </c>
      <c r="AH41">
        <f ca="1"/>
      </c>
      <c r="AL41" s="7">
        <f ca="1"/>
      </c>
      <c r="AM41" s="14">
        <f ca="1"/>
      </c>
      <c r="AN41" s="14">
        <f ca="1"/>
      </c>
      <c r="AO41" s="14">
        <f ca="1"/>
      </c>
      <c r="AP41" s="14">
        <f ca="1"/>
      </c>
      <c r="AQ41" s="14">
        <f ca="1"/>
      </c>
      <c r="AR41" s="14">
        <f ca="1"/>
      </c>
      <c r="AV41" s="14">
        <f ca="1"/>
      </c>
      <c r="AW41" s="14">
        <f ca="1"/>
      </c>
      <c r="AX41" s="14">
        <f ca="1"/>
      </c>
      <c r="AY41" s="14">
        <f ca="1"/>
      </c>
      <c r="AZ41" s="14">
        <f ca="1"/>
      </c>
      <c r="BB41">
        <f ca="1"/>
      </c>
      <c r="BC41">
        <f ca="1"/>
      </c>
      <c r="BD41">
        <f ca="1"/>
      </c>
      <c r="BF41" s="7">
        <f ca="1"/>
      </c>
      <c r="BG41" s="14">
        <f ca="1"/>
      </c>
      <c r="BH41" s="14">
        <f ca="1"/>
      </c>
      <c r="BI41" s="14">
        <f ca="1"/>
      </c>
      <c r="BJ41" s="14">
        <f ca="1"/>
      </c>
      <c r="BK41" s="14">
        <f ca="1"/>
      </c>
    </row>
    <row r="42" spans="28:63" x14ac:dyDescent="0.55000000000000004">
      <c r="AB42">
        <f ca="1"/>
      </c>
      <c r="AC42">
        <f ca="1"/>
      </c>
      <c r="AD42">
        <f ca="1"/>
      </c>
      <c r="AE42">
        <f ca="1"/>
      </c>
      <c r="AF42">
        <f ca="1"/>
      </c>
      <c r="AG42">
        <f ca="1"/>
      </c>
      <c r="AH42">
        <f ca="1"/>
      </c>
      <c r="AL42" s="7">
        <f ca="1"/>
      </c>
      <c r="AM42" s="14">
        <f ca="1"/>
      </c>
      <c r="AN42" s="14">
        <f ca="1"/>
      </c>
      <c r="AO42" s="14">
        <f ca="1"/>
      </c>
      <c r="AP42" s="14">
        <f ca="1"/>
      </c>
      <c r="AQ42" s="14">
        <f ca="1"/>
      </c>
      <c r="AR42" s="14">
        <f ca="1"/>
      </c>
      <c r="AV42" s="14">
        <f ca="1"/>
      </c>
      <c r="AW42" s="14">
        <f ca="1"/>
      </c>
      <c r="AX42" s="14">
        <f ca="1"/>
      </c>
      <c r="AY42" s="14">
        <f ca="1"/>
      </c>
      <c r="AZ42" s="14">
        <f ca="1"/>
      </c>
      <c r="BB42">
        <f ca="1"/>
      </c>
      <c r="BC42">
        <f ca="1"/>
      </c>
      <c r="BD42">
        <f ca="1"/>
      </c>
      <c r="BF42" s="7">
        <f ca="1"/>
      </c>
      <c r="BG42" s="14">
        <f ca="1"/>
      </c>
      <c r="BH42" s="14">
        <f ca="1"/>
      </c>
      <c r="BI42" s="14">
        <f ca="1"/>
      </c>
      <c r="BJ42" s="14">
        <f ca="1"/>
      </c>
      <c r="BK42" s="14">
        <f ca="1"/>
      </c>
    </row>
    <row r="43" spans="28:63" x14ac:dyDescent="0.55000000000000004">
      <c r="AB43">
        <f ca="1"/>
      </c>
      <c r="AC43">
        <f ca="1"/>
      </c>
      <c r="AD43">
        <f ca="1"/>
      </c>
      <c r="AE43">
        <f ca="1"/>
      </c>
      <c r="AF43">
        <f ca="1"/>
      </c>
      <c r="AG43">
        <f ca="1"/>
      </c>
      <c r="AH43">
        <f ca="1"/>
      </c>
      <c r="AL43" s="7">
        <f ca="1"/>
      </c>
      <c r="AM43" s="14">
        <f ca="1"/>
      </c>
      <c r="AN43" s="14">
        <f ca="1"/>
      </c>
      <c r="AO43" s="14">
        <f ca="1"/>
      </c>
      <c r="AP43" s="14">
        <f ca="1"/>
      </c>
      <c r="AQ43" s="14">
        <f ca="1"/>
      </c>
      <c r="AR43" s="14">
        <f ca="1"/>
      </c>
      <c r="AV43" s="14">
        <f ca="1"/>
      </c>
      <c r="AW43" s="14">
        <f ca="1"/>
      </c>
      <c r="AX43" s="14">
        <f ca="1"/>
      </c>
      <c r="AY43" s="14">
        <f ca="1"/>
      </c>
      <c r="AZ43" s="14">
        <f ca="1"/>
      </c>
      <c r="BB43">
        <f ca="1"/>
      </c>
      <c r="BC43">
        <f ca="1"/>
      </c>
      <c r="BD43">
        <f ca="1"/>
      </c>
      <c r="BF43" s="7">
        <f ca="1"/>
      </c>
      <c r="BG43" s="14">
        <f ca="1"/>
      </c>
      <c r="BH43" s="14">
        <f ca="1"/>
      </c>
      <c r="BI43" s="14">
        <f ca="1"/>
      </c>
      <c r="BJ43" s="14">
        <f ca="1"/>
      </c>
      <c r="BK43" s="14">
        <f ca="1"/>
      </c>
    </row>
    <row r="44" spans="28:63" x14ac:dyDescent="0.55000000000000004">
      <c r="AB44">
        <f ca="1"/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L44" s="7">
        <f ca="1"/>
      </c>
      <c r="AM44" s="14">
        <f ca="1"/>
      </c>
      <c r="AN44" s="14">
        <f ca="1"/>
      </c>
      <c r="AO44" s="14">
        <f ca="1"/>
      </c>
      <c r="AP44" s="14">
        <f ca="1"/>
      </c>
      <c r="AQ44" s="14">
        <f ca="1"/>
      </c>
      <c r="AR44" s="14">
        <f ca="1"/>
      </c>
      <c r="AV44" s="14">
        <f ca="1"/>
      </c>
      <c r="AW44" s="14">
        <f ca="1"/>
      </c>
      <c r="AX44" s="14">
        <f ca="1"/>
      </c>
      <c r="AY44" s="14">
        <f ca="1"/>
      </c>
      <c r="AZ44" s="14">
        <f ca="1"/>
      </c>
      <c r="BB44">
        <f ca="1"/>
      </c>
      <c r="BC44">
        <f ca="1"/>
      </c>
      <c r="BD44">
        <f ca="1"/>
      </c>
      <c r="BF44" s="7">
        <f ca="1"/>
      </c>
      <c r="BG44" s="14">
        <f ca="1"/>
      </c>
      <c r="BH44" s="14">
        <f ca="1"/>
      </c>
      <c r="BI44" s="14">
        <f ca="1"/>
      </c>
      <c r="BJ44" s="14">
        <f ca="1"/>
      </c>
      <c r="BK44" s="14">
        <f ca="1"/>
      </c>
    </row>
    <row r="45" spans="28:63" x14ac:dyDescent="0.55000000000000004"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L45" s="7">
        <f ca="1"/>
      </c>
      <c r="AM45" s="14">
        <f ca="1"/>
      </c>
      <c r="AN45" s="14">
        <f ca="1"/>
      </c>
      <c r="AO45" s="14">
        <f ca="1"/>
      </c>
      <c r="AP45" s="14">
        <f ca="1"/>
      </c>
      <c r="AQ45" s="14">
        <f ca="1"/>
      </c>
      <c r="AR45" s="14">
        <f ca="1"/>
      </c>
      <c r="AV45" s="14">
        <f ca="1"/>
      </c>
      <c r="AW45" s="14">
        <f ca="1"/>
      </c>
      <c r="AX45" s="14">
        <f ca="1"/>
      </c>
      <c r="AY45" s="14">
        <f ca="1"/>
      </c>
      <c r="AZ45" s="14">
        <f ca="1"/>
      </c>
      <c r="BB45">
        <f ca="1"/>
      </c>
      <c r="BC45">
        <f ca="1"/>
      </c>
      <c r="BD45">
        <f ca="1"/>
      </c>
      <c r="BF45" s="7">
        <f ca="1"/>
      </c>
      <c r="BG45" s="14">
        <f ca="1"/>
      </c>
      <c r="BH45" s="14">
        <f ca="1"/>
      </c>
      <c r="BI45" s="14">
        <f ca="1"/>
      </c>
      <c r="BJ45" s="14">
        <f ca="1"/>
      </c>
      <c r="BK45" s="14">
        <f ca="1"/>
      </c>
    </row>
    <row r="46" spans="28:63" x14ac:dyDescent="0.55000000000000004"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L46" s="7">
        <f ca="1"/>
      </c>
      <c r="AM46" s="14">
        <f ca="1"/>
      </c>
      <c r="AN46" s="14">
        <f ca="1"/>
      </c>
      <c r="AO46" s="14">
        <f ca="1"/>
      </c>
      <c r="AP46" s="14">
        <f ca="1"/>
      </c>
      <c r="AQ46" s="14">
        <f ca="1"/>
      </c>
      <c r="AR46" s="14">
        <f ca="1"/>
      </c>
      <c r="AV46" s="14">
        <f ca="1"/>
      </c>
      <c r="AW46" s="14">
        <f ca="1"/>
      </c>
      <c r="AX46" s="14">
        <f ca="1"/>
      </c>
      <c r="AY46" s="14">
        <f ca="1"/>
      </c>
      <c r="AZ46" s="14">
        <f ca="1"/>
      </c>
      <c r="BB46">
        <f ca="1"/>
      </c>
      <c r="BC46">
        <f ca="1"/>
      </c>
      <c r="BD46">
        <f ca="1"/>
      </c>
      <c r="BF46" s="7">
        <f ca="1"/>
      </c>
      <c r="BG46" s="14">
        <f ca="1"/>
      </c>
      <c r="BH46" s="14">
        <f ca="1"/>
      </c>
      <c r="BI46" s="14">
        <f ca="1"/>
      </c>
      <c r="BJ46" s="14">
        <f ca="1"/>
      </c>
      <c r="BK46" s="14">
        <f ca="1"/>
      </c>
    </row>
    <row r="47" spans="28:63" x14ac:dyDescent="0.55000000000000004"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L47" s="7">
        <f ca="1"/>
      </c>
      <c r="AM47" s="14">
        <f ca="1"/>
      </c>
      <c r="AN47" s="14">
        <f ca="1"/>
      </c>
      <c r="AO47" s="14">
        <f ca="1"/>
      </c>
      <c r="AP47" s="14">
        <f ca="1"/>
      </c>
      <c r="AQ47" s="14">
        <f ca="1"/>
      </c>
      <c r="AR47" s="14">
        <f ca="1"/>
      </c>
      <c r="AV47" s="14">
        <f ca="1"/>
      </c>
      <c r="AW47" s="14">
        <f ca="1"/>
      </c>
      <c r="AX47" s="14">
        <f ca="1"/>
      </c>
      <c r="AY47" s="14">
        <f ca="1"/>
      </c>
      <c r="AZ47" s="14">
        <f ca="1"/>
      </c>
      <c r="BB47">
        <f ca="1"/>
      </c>
      <c r="BC47">
        <f ca="1"/>
      </c>
      <c r="BD47">
        <f ca="1"/>
      </c>
      <c r="BF47" s="7">
        <f ca="1"/>
      </c>
      <c r="BG47" s="14">
        <f ca="1"/>
      </c>
      <c r="BH47" s="14">
        <f ca="1"/>
      </c>
      <c r="BI47" s="14">
        <f ca="1"/>
      </c>
      <c r="BJ47" s="14">
        <f ca="1"/>
      </c>
      <c r="BK47" s="14">
        <f ca="1"/>
      </c>
    </row>
    <row r="48" spans="28:63" x14ac:dyDescent="0.55000000000000004"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L48" s="7">
        <f ca="1"/>
      </c>
      <c r="AM48" s="14">
        <f ca="1"/>
      </c>
      <c r="AN48" s="14">
        <f ca="1"/>
      </c>
      <c r="AO48" s="14">
        <f ca="1"/>
      </c>
      <c r="AP48" s="14">
        <f ca="1"/>
      </c>
      <c r="AQ48" s="14">
        <f ca="1"/>
      </c>
      <c r="AR48" s="14">
        <f ca="1"/>
      </c>
      <c r="AV48" s="14">
        <f ca="1"/>
      </c>
      <c r="AW48" s="14">
        <f ca="1"/>
      </c>
      <c r="AX48" s="14">
        <f ca="1"/>
      </c>
      <c r="AY48" s="14">
        <f ca="1"/>
      </c>
      <c r="AZ48" s="14">
        <f ca="1"/>
      </c>
      <c r="BB48">
        <f ca="1"/>
      </c>
      <c r="BC48">
        <f ca="1"/>
      </c>
      <c r="BD48">
        <f ca="1"/>
      </c>
      <c r="BF48" s="7">
        <f ca="1"/>
      </c>
      <c r="BG48" s="14">
        <f ca="1"/>
      </c>
      <c r="BH48" s="14">
        <f ca="1"/>
      </c>
      <c r="BI48" s="14">
        <f ca="1"/>
      </c>
      <c r="BJ48" s="14">
        <f ca="1"/>
      </c>
      <c r="BK48" s="14">
        <f ca="1"/>
      </c>
    </row>
    <row r="49" spans="28:63" x14ac:dyDescent="0.55000000000000004"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L49" s="7">
        <f ca="1"/>
      </c>
      <c r="AM49" s="14">
        <f ca="1"/>
      </c>
      <c r="AN49" s="14">
        <f ca="1"/>
      </c>
      <c r="AO49" s="14">
        <f ca="1"/>
      </c>
      <c r="AP49" s="14">
        <f ca="1"/>
      </c>
      <c r="AQ49" s="14">
        <f ca="1"/>
      </c>
      <c r="AR49" s="14">
        <f ca="1"/>
      </c>
      <c r="AV49" s="14">
        <f ca="1"/>
      </c>
      <c r="AW49" s="14">
        <f ca="1"/>
      </c>
      <c r="AX49" s="14">
        <f ca="1"/>
      </c>
      <c r="AY49" s="14">
        <f ca="1"/>
      </c>
      <c r="AZ49" s="14">
        <f ca="1"/>
      </c>
      <c r="BB49">
        <f ca="1"/>
      </c>
      <c r="BC49">
        <f ca="1"/>
      </c>
      <c r="BD49">
        <f ca="1"/>
      </c>
      <c r="BF49" s="7">
        <f ca="1"/>
      </c>
      <c r="BG49" s="14">
        <f ca="1"/>
      </c>
      <c r="BH49" s="14">
        <f ca="1"/>
      </c>
      <c r="BI49" s="14">
        <f ca="1"/>
      </c>
      <c r="BJ49" s="14">
        <f ca="1"/>
      </c>
      <c r="BK49" s="14">
        <f ca="1"/>
      </c>
    </row>
    <row r="50" spans="28:63" x14ac:dyDescent="0.55000000000000004"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L50" s="7">
        <f ca="1"/>
      </c>
      <c r="AM50" s="14">
        <f ca="1"/>
      </c>
      <c r="AN50" s="14">
        <f ca="1"/>
      </c>
      <c r="AO50" s="14">
        <f ca="1"/>
      </c>
      <c r="AP50" s="14">
        <f ca="1"/>
      </c>
      <c r="AQ50" s="14">
        <f ca="1"/>
      </c>
      <c r="AR50" s="14">
        <f ca="1"/>
      </c>
      <c r="AV50" s="14">
        <f ca="1"/>
      </c>
      <c r="AW50" s="14">
        <f ca="1"/>
      </c>
      <c r="AX50" s="14">
        <f ca="1"/>
      </c>
      <c r="AY50" s="14">
        <f ca="1"/>
      </c>
      <c r="AZ50" s="14">
        <f ca="1"/>
      </c>
      <c r="BB50">
        <f ca="1"/>
      </c>
      <c r="BC50">
        <f ca="1"/>
      </c>
      <c r="BD50">
        <f ca="1"/>
      </c>
      <c r="BF50" s="7">
        <f ca="1"/>
      </c>
      <c r="BG50" s="14">
        <f ca="1"/>
      </c>
      <c r="BH50" s="14">
        <f ca="1"/>
      </c>
      <c r="BI50" s="14">
        <f ca="1"/>
      </c>
      <c r="BJ50" s="14">
        <f ca="1"/>
      </c>
      <c r="BK50" s="14">
        <f ca="1"/>
      </c>
    </row>
    <row r="51" spans="28:63" x14ac:dyDescent="0.55000000000000004"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L51" s="7">
        <f ca="1"/>
      </c>
      <c r="AM51" s="14">
        <f ca="1"/>
      </c>
      <c r="AN51" s="14">
        <f ca="1"/>
      </c>
      <c r="AO51" s="14">
        <f ca="1"/>
      </c>
      <c r="AP51" s="14">
        <f ca="1"/>
      </c>
      <c r="AQ51" s="14">
        <f ca="1"/>
      </c>
      <c r="AR51" s="14">
        <f ca="1"/>
      </c>
      <c r="AV51" s="14">
        <f ca="1"/>
      </c>
      <c r="AW51" s="14">
        <f ca="1"/>
      </c>
      <c r="AX51" s="14">
        <f ca="1"/>
      </c>
      <c r="AY51" s="14">
        <f ca="1"/>
      </c>
      <c r="AZ51" s="14">
        <f ca="1"/>
      </c>
      <c r="BB51">
        <f ca="1"/>
      </c>
      <c r="BC51">
        <f ca="1"/>
      </c>
      <c r="BD51">
        <f ca="1"/>
      </c>
      <c r="BF51" s="7">
        <f ca="1"/>
      </c>
      <c r="BG51" s="14">
        <f ca="1"/>
      </c>
      <c r="BH51" s="14">
        <f ca="1"/>
      </c>
      <c r="BI51" s="14">
        <f ca="1"/>
      </c>
      <c r="BJ51" s="14">
        <f ca="1"/>
      </c>
      <c r="BK51" s="14">
        <f ca="1"/>
      </c>
    </row>
    <row r="52" spans="28:63" x14ac:dyDescent="0.55000000000000004"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L52" s="7">
        <f ca="1"/>
      </c>
      <c r="AM52" s="14">
        <f ca="1"/>
      </c>
      <c r="AN52" s="14">
        <f ca="1"/>
      </c>
      <c r="AO52" s="14">
        <f ca="1"/>
      </c>
      <c r="AP52" s="14">
        <f ca="1"/>
      </c>
      <c r="AQ52" s="14">
        <f ca="1"/>
      </c>
      <c r="AR52" s="14">
        <f ca="1"/>
      </c>
      <c r="AV52" s="14">
        <f ca="1"/>
      </c>
      <c r="AW52" s="14">
        <f ca="1"/>
      </c>
      <c r="AX52" s="14">
        <f ca="1"/>
      </c>
      <c r="AY52" s="14">
        <f ca="1"/>
      </c>
      <c r="AZ52" s="14">
        <f ca="1"/>
      </c>
      <c r="BB52">
        <f ca="1"/>
      </c>
      <c r="BC52">
        <f ca="1"/>
      </c>
      <c r="BD52">
        <f ca="1"/>
      </c>
      <c r="BF52" s="7">
        <f ca="1"/>
      </c>
      <c r="BG52" s="14">
        <f ca="1"/>
      </c>
      <c r="BH52" s="14">
        <f ca="1"/>
      </c>
      <c r="BI52" s="14">
        <f ca="1"/>
      </c>
      <c r="BJ52" s="14">
        <f ca="1"/>
      </c>
      <c r="BK52" s="14">
        <f ca="1"/>
      </c>
    </row>
    <row r="53" spans="28:63" x14ac:dyDescent="0.55000000000000004"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L53" s="7">
        <f ca="1"/>
      </c>
      <c r="AM53" s="14">
        <f ca="1"/>
      </c>
      <c r="AN53" s="14">
        <f ca="1"/>
      </c>
      <c r="AO53" s="14">
        <f ca="1"/>
      </c>
      <c r="AP53" s="14">
        <f ca="1"/>
      </c>
      <c r="AQ53" s="14">
        <f ca="1"/>
      </c>
      <c r="AR53" s="14">
        <f ca="1"/>
      </c>
      <c r="AV53" s="14">
        <f ca="1"/>
      </c>
      <c r="AW53" s="14">
        <f ca="1"/>
      </c>
      <c r="AX53" s="14">
        <f ca="1"/>
      </c>
      <c r="AY53" s="14">
        <f ca="1"/>
      </c>
      <c r="AZ53" s="14">
        <f ca="1"/>
      </c>
      <c r="BB53">
        <f ca="1"/>
      </c>
      <c r="BC53">
        <f ca="1"/>
      </c>
      <c r="BD53">
        <f ca="1"/>
      </c>
      <c r="BF53" s="7">
        <f ca="1"/>
      </c>
      <c r="BG53" s="14">
        <f ca="1"/>
      </c>
      <c r="BH53" s="14">
        <f ca="1"/>
      </c>
      <c r="BI53" s="14">
        <f ca="1"/>
      </c>
      <c r="BJ53" s="14">
        <f ca="1"/>
      </c>
      <c r="BK53" s="14">
        <f ca="1"/>
      </c>
    </row>
    <row r="54" spans="28:63" x14ac:dyDescent="0.55000000000000004"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L54" s="7">
        <f ca="1"/>
      </c>
      <c r="AM54" s="14">
        <f ca="1"/>
      </c>
      <c r="AN54" s="14">
        <f ca="1"/>
      </c>
      <c r="AO54" s="14">
        <f ca="1"/>
      </c>
      <c r="AP54" s="14">
        <f ca="1"/>
      </c>
      <c r="AQ54" s="14">
        <f ca="1"/>
      </c>
      <c r="AR54" s="14">
        <f ca="1"/>
      </c>
      <c r="AV54" s="14">
        <f ca="1"/>
      </c>
      <c r="AW54" s="14">
        <f ca="1"/>
      </c>
      <c r="AX54" s="14">
        <f ca="1"/>
      </c>
      <c r="AY54" s="14">
        <f ca="1"/>
      </c>
      <c r="AZ54" s="14">
        <f ca="1"/>
      </c>
      <c r="BB54">
        <f ca="1"/>
      </c>
      <c r="BC54">
        <f ca="1"/>
      </c>
      <c r="BD54">
        <f ca="1"/>
      </c>
      <c r="BF54" s="7">
        <f ca="1"/>
      </c>
      <c r="BG54" s="14">
        <f ca="1"/>
      </c>
      <c r="BH54" s="14">
        <f ca="1"/>
      </c>
      <c r="BI54" s="14">
        <f ca="1"/>
      </c>
      <c r="BJ54" s="14">
        <f ca="1"/>
      </c>
      <c r="BK54" s="14">
        <f ca="1"/>
      </c>
    </row>
    <row r="55" spans="28:63" x14ac:dyDescent="0.55000000000000004"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L55" s="7">
        <f ca="1"/>
      </c>
      <c r="AM55" s="14">
        <f ca="1"/>
      </c>
      <c r="AN55" s="14">
        <f ca="1"/>
      </c>
      <c r="AO55" s="14">
        <f ca="1"/>
      </c>
      <c r="AP55" s="14">
        <f ca="1"/>
      </c>
      <c r="AQ55" s="14">
        <f ca="1"/>
      </c>
      <c r="AR55" s="14">
        <f ca="1"/>
      </c>
      <c r="AV55" s="14">
        <f ca="1"/>
      </c>
      <c r="AW55" s="14">
        <f ca="1"/>
      </c>
      <c r="AX55" s="14">
        <f ca="1"/>
      </c>
      <c r="AY55" s="14">
        <f ca="1"/>
      </c>
      <c r="AZ55" s="14">
        <f ca="1"/>
      </c>
      <c r="BB55">
        <f ca="1"/>
      </c>
      <c r="BC55">
        <f ca="1"/>
      </c>
      <c r="BD55">
        <f ca="1"/>
      </c>
      <c r="BF55" s="7">
        <f ca="1"/>
      </c>
      <c r="BG55" s="14">
        <f ca="1"/>
      </c>
      <c r="BH55" s="14">
        <f ca="1"/>
      </c>
      <c r="BI55" s="14">
        <f ca="1"/>
      </c>
      <c r="BJ55" s="14">
        <f ca="1"/>
      </c>
      <c r="BK55" s="14">
        <f ca="1"/>
      </c>
    </row>
    <row r="56" spans="28:63" x14ac:dyDescent="0.55000000000000004"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L56" s="7">
        <f ca="1"/>
      </c>
      <c r="AM56" s="14">
        <f ca="1"/>
      </c>
      <c r="AN56" s="14">
        <f ca="1"/>
      </c>
      <c r="AO56" s="14">
        <f ca="1"/>
      </c>
      <c r="AP56" s="14">
        <f ca="1"/>
      </c>
      <c r="AQ56" s="14">
        <f ca="1"/>
      </c>
      <c r="AR56" s="14">
        <f ca="1"/>
      </c>
      <c r="AV56" s="14">
        <f ca="1"/>
      </c>
      <c r="AW56" s="14">
        <f ca="1"/>
      </c>
      <c r="AX56" s="14">
        <f ca="1"/>
      </c>
      <c r="AY56" s="14">
        <f ca="1"/>
      </c>
      <c r="AZ56" s="14">
        <f ca="1"/>
      </c>
      <c r="BB56">
        <f ca="1"/>
      </c>
      <c r="BC56">
        <f ca="1"/>
      </c>
      <c r="BD56">
        <f ca="1"/>
      </c>
      <c r="BF56" s="7">
        <f ca="1"/>
      </c>
      <c r="BG56" s="14">
        <f ca="1"/>
      </c>
      <c r="BH56" s="14">
        <f ca="1"/>
      </c>
      <c r="BI56" s="14">
        <f ca="1"/>
      </c>
      <c r="BJ56" s="14">
        <f ca="1"/>
      </c>
      <c r="BK56" s="14">
        <f ca="1"/>
      </c>
    </row>
    <row r="57" spans="28:63" x14ac:dyDescent="0.55000000000000004"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L57" s="7">
        <f ca="1"/>
      </c>
      <c r="AM57" s="14">
        <f ca="1"/>
      </c>
      <c r="AN57" s="14">
        <f ca="1"/>
      </c>
      <c r="AO57" s="14">
        <f ca="1"/>
      </c>
      <c r="AP57" s="14">
        <f ca="1"/>
      </c>
      <c r="AQ57" s="14">
        <f ca="1"/>
      </c>
      <c r="AR57" s="14">
        <f ca="1"/>
      </c>
      <c r="AV57" s="14">
        <f ca="1"/>
      </c>
      <c r="AW57" s="14">
        <f ca="1"/>
      </c>
      <c r="AX57" s="14">
        <f ca="1"/>
      </c>
      <c r="AY57" s="14">
        <f ca="1"/>
      </c>
      <c r="AZ57" s="14">
        <f ca="1"/>
      </c>
      <c r="BB57">
        <f ca="1"/>
      </c>
      <c r="BC57">
        <f ca="1"/>
      </c>
      <c r="BD57">
        <f ca="1"/>
      </c>
      <c r="BF57" s="7">
        <f ca="1"/>
      </c>
      <c r="BG57" s="14">
        <f ca="1"/>
      </c>
      <c r="BH57" s="14">
        <f ca="1"/>
      </c>
      <c r="BI57" s="14">
        <f ca="1"/>
      </c>
      <c r="BJ57" s="14">
        <f ca="1"/>
      </c>
      <c r="BK57" s="14">
        <f ca="1"/>
      </c>
    </row>
    <row r="58" spans="28:63" x14ac:dyDescent="0.55000000000000004"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L58" s="7">
        <f ca="1"/>
      </c>
      <c r="AM58" s="14">
        <f ca="1"/>
      </c>
      <c r="AN58" s="14">
        <f ca="1"/>
      </c>
      <c r="AO58" s="14">
        <f ca="1"/>
      </c>
      <c r="AP58" s="14">
        <f ca="1"/>
      </c>
      <c r="AQ58" s="14">
        <f ca="1"/>
      </c>
      <c r="AR58" s="14">
        <f ca="1"/>
      </c>
      <c r="AV58" s="14">
        <f ca="1"/>
      </c>
      <c r="AW58" s="14">
        <f ca="1"/>
      </c>
      <c r="AX58" s="14">
        <f ca="1"/>
      </c>
      <c r="AY58" s="14">
        <f ca="1"/>
      </c>
      <c r="AZ58" s="14">
        <f ca="1"/>
      </c>
      <c r="BB58">
        <f ca="1"/>
      </c>
      <c r="BC58">
        <f ca="1"/>
      </c>
      <c r="BD58">
        <f ca="1"/>
      </c>
      <c r="BF58" s="7">
        <f ca="1"/>
      </c>
      <c r="BG58" s="14">
        <f ca="1"/>
      </c>
      <c r="BH58" s="14">
        <f ca="1"/>
      </c>
      <c r="BI58" s="14">
        <f ca="1"/>
      </c>
      <c r="BJ58" s="14">
        <f ca="1"/>
      </c>
      <c r="BK58" s="14">
        <f ca="1"/>
      </c>
    </row>
    <row r="59" spans="28:63" x14ac:dyDescent="0.55000000000000004"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L59" s="7">
        <f ca="1"/>
      </c>
      <c r="AM59" s="14">
        <f ca="1"/>
      </c>
      <c r="AN59" s="14">
        <f ca="1"/>
      </c>
      <c r="AO59" s="14">
        <f ca="1"/>
      </c>
      <c r="AP59" s="14">
        <f ca="1"/>
      </c>
      <c r="AQ59" s="14">
        <f ca="1"/>
      </c>
      <c r="AR59" s="14">
        <f ca="1"/>
      </c>
      <c r="AV59" s="14">
        <f ca="1"/>
      </c>
      <c r="AW59" s="14">
        <f ca="1"/>
      </c>
      <c r="AX59" s="14">
        <f ca="1"/>
      </c>
      <c r="AY59" s="14">
        <f ca="1"/>
      </c>
      <c r="AZ59" s="14">
        <f ca="1"/>
      </c>
      <c r="BB59">
        <f ca="1"/>
      </c>
      <c r="BC59">
        <f ca="1"/>
      </c>
      <c r="BD59">
        <f ca="1"/>
      </c>
      <c r="BF59" s="7">
        <f ca="1"/>
      </c>
      <c r="BG59" s="14">
        <f ca="1"/>
      </c>
      <c r="BH59" s="14">
        <f ca="1"/>
      </c>
      <c r="BI59" s="14">
        <f ca="1"/>
      </c>
      <c r="BJ59" s="14">
        <f ca="1"/>
      </c>
      <c r="BK59" s="14">
        <f ca="1"/>
      </c>
    </row>
    <row r="60" spans="28:63" x14ac:dyDescent="0.55000000000000004">
      <c r="AB60">
        <f ca="1"/>
      </c>
      <c r="AC60">
        <f ca="1"/>
      </c>
      <c r="AD60">
        <f ca="1"/>
      </c>
      <c r="AE60">
        <f ca="1"/>
      </c>
      <c r="AF60">
        <f ca="1"/>
      </c>
      <c r="AG60">
        <f ca="1"/>
      </c>
      <c r="AH60">
        <f ca="1"/>
      </c>
      <c r="AL60" s="7">
        <f ca="1"/>
      </c>
      <c r="AM60" s="14">
        <f ca="1"/>
      </c>
      <c r="AN60" s="14">
        <f ca="1"/>
      </c>
      <c r="AO60" s="14">
        <f ca="1"/>
      </c>
      <c r="AP60" s="14">
        <f ca="1"/>
      </c>
      <c r="AQ60" s="14">
        <f ca="1"/>
      </c>
      <c r="AR60" s="14">
        <f ca="1"/>
      </c>
      <c r="AV60" s="14">
        <f ca="1"/>
      </c>
      <c r="AW60" s="14">
        <f ca="1"/>
      </c>
      <c r="AX60" s="14">
        <f ca="1"/>
      </c>
      <c r="AY60" s="14">
        <f ca="1"/>
      </c>
      <c r="AZ60" s="14">
        <f ca="1"/>
      </c>
      <c r="BB60">
        <f ca="1"/>
      </c>
      <c r="BC60">
        <f ca="1"/>
      </c>
      <c r="BD60">
        <f ca="1"/>
      </c>
      <c r="BF60" s="7">
        <f ca="1"/>
      </c>
      <c r="BG60" s="14">
        <f ca="1"/>
      </c>
      <c r="BH60" s="14">
        <f ca="1"/>
      </c>
      <c r="BI60" s="14">
        <f ca="1"/>
      </c>
      <c r="BJ60" s="14">
        <f ca="1"/>
      </c>
      <c r="BK60" s="14">
        <f ca="1"/>
      </c>
    </row>
    <row r="61" spans="28:63" x14ac:dyDescent="0.55000000000000004">
      <c r="AB61">
        <f ca="1"/>
      </c>
      <c r="AC61">
        <f ca="1"/>
      </c>
      <c r="AD61">
        <f ca="1"/>
      </c>
      <c r="AE61">
        <f ca="1"/>
      </c>
      <c r="AF61">
        <f ca="1"/>
      </c>
      <c r="AG61">
        <f ca="1"/>
      </c>
      <c r="AH61">
        <f ca="1"/>
      </c>
      <c r="AL61" s="7">
        <f ca="1"/>
      </c>
      <c r="AM61" s="14">
        <f ca="1"/>
      </c>
      <c r="AN61" s="14">
        <f ca="1"/>
      </c>
      <c r="AO61" s="14">
        <f ca="1"/>
      </c>
      <c r="AP61" s="14">
        <f ca="1"/>
      </c>
      <c r="AQ61" s="14">
        <f ca="1"/>
      </c>
      <c r="AR61" s="14">
        <f ca="1"/>
      </c>
      <c r="AV61" s="14">
        <f ca="1"/>
      </c>
      <c r="AW61" s="14">
        <f ca="1"/>
      </c>
      <c r="AX61" s="14">
        <f ca="1"/>
      </c>
      <c r="AY61" s="14">
        <f ca="1"/>
      </c>
      <c r="AZ61" s="14">
        <f ca="1"/>
      </c>
      <c r="BB61">
        <f ca="1"/>
      </c>
      <c r="BC61">
        <f ca="1"/>
      </c>
      <c r="BD61">
        <f ca="1"/>
      </c>
      <c r="BF61" s="7">
        <f ca="1"/>
      </c>
      <c r="BG61" s="14">
        <f ca="1"/>
      </c>
      <c r="BH61" s="14">
        <f ca="1"/>
      </c>
      <c r="BI61" s="14">
        <f ca="1"/>
      </c>
      <c r="BJ61" s="14">
        <f ca="1"/>
      </c>
      <c r="BK61" s="14">
        <f ca="1"/>
      </c>
    </row>
    <row r="62" spans="28:63" x14ac:dyDescent="0.55000000000000004">
      <c r="AB62">
        <f ca="1"/>
      </c>
      <c r="AC62">
        <f ca="1"/>
      </c>
      <c r="AD62">
        <f ca="1"/>
      </c>
      <c r="AE62">
        <f ca="1"/>
      </c>
      <c r="AF62">
        <f ca="1"/>
      </c>
      <c r="AG62">
        <f ca="1"/>
      </c>
      <c r="AH62">
        <f ca="1"/>
      </c>
      <c r="AL62" s="7">
        <f ca="1"/>
      </c>
      <c r="AM62" s="14">
        <f ca="1"/>
      </c>
      <c r="AN62" s="14">
        <f ca="1"/>
      </c>
      <c r="AO62" s="14">
        <f ca="1"/>
      </c>
      <c r="AP62" s="14">
        <f ca="1"/>
      </c>
      <c r="AQ62" s="14">
        <f ca="1"/>
      </c>
      <c r="AR62" s="14">
        <f ca="1"/>
      </c>
      <c r="AV62" s="14">
        <f ca="1"/>
      </c>
      <c r="AW62" s="14">
        <f ca="1"/>
      </c>
      <c r="AX62" s="14">
        <f ca="1"/>
      </c>
      <c r="AY62" s="14">
        <f ca="1"/>
      </c>
      <c r="AZ62" s="14">
        <f ca="1"/>
      </c>
      <c r="BB62">
        <f ca="1"/>
      </c>
      <c r="BC62">
        <f ca="1"/>
      </c>
      <c r="BD62">
        <f ca="1"/>
      </c>
      <c r="BF62" s="7">
        <f ca="1"/>
      </c>
      <c r="BG62" s="14">
        <f ca="1"/>
      </c>
      <c r="BH62" s="14">
        <f ca="1"/>
      </c>
      <c r="BI62" s="14">
        <f ca="1"/>
      </c>
      <c r="BJ62" s="14">
        <f ca="1"/>
      </c>
      <c r="BK62" s="14">
        <f ca="1"/>
      </c>
    </row>
    <row r="63" spans="28:63" x14ac:dyDescent="0.55000000000000004">
      <c r="AB63">
        <f ca="1"/>
      </c>
      <c r="AC63">
        <f ca="1"/>
      </c>
      <c r="AD63">
        <f ca="1"/>
      </c>
      <c r="AE63">
        <f ca="1"/>
      </c>
      <c r="AF63">
        <f ca="1"/>
      </c>
      <c r="AG63">
        <f ca="1"/>
      </c>
      <c r="AH63">
        <f ca="1"/>
      </c>
      <c r="AL63" s="7">
        <f ca="1"/>
      </c>
      <c r="AM63" s="14">
        <f ca="1"/>
      </c>
      <c r="AN63" s="14">
        <f ca="1"/>
      </c>
      <c r="AO63" s="14">
        <f ca="1"/>
      </c>
      <c r="AP63" s="14">
        <f ca="1"/>
      </c>
      <c r="AQ63" s="14">
        <f ca="1"/>
      </c>
      <c r="AR63" s="14">
        <f ca="1"/>
      </c>
      <c r="AV63" s="14">
        <f ca="1"/>
      </c>
      <c r="AW63" s="14">
        <f ca="1"/>
      </c>
      <c r="AX63" s="14">
        <f ca="1"/>
      </c>
      <c r="AY63" s="14">
        <f ca="1"/>
      </c>
      <c r="AZ63" s="14">
        <f ca="1"/>
      </c>
      <c r="BB63">
        <f ca="1"/>
      </c>
      <c r="BC63">
        <f ca="1"/>
      </c>
      <c r="BD63">
        <f ca="1"/>
      </c>
      <c r="BF63" s="7">
        <f ca="1"/>
      </c>
      <c r="BG63" s="14">
        <f ca="1"/>
      </c>
      <c r="BH63" s="14">
        <f ca="1"/>
      </c>
      <c r="BI63" s="14">
        <f ca="1"/>
      </c>
      <c r="BJ63" s="14">
        <f ca="1"/>
      </c>
      <c r="BK63" s="14">
        <f ca="1"/>
      </c>
    </row>
    <row r="64" spans="28:63" x14ac:dyDescent="0.55000000000000004">
      <c r="AB64">
        <f ca="1"/>
      </c>
      <c r="AC64">
        <f ca="1"/>
      </c>
      <c r="AD64">
        <f ca="1"/>
      </c>
      <c r="AE64">
        <f ca="1"/>
      </c>
      <c r="AF64">
        <f ca="1"/>
      </c>
      <c r="AG64">
        <f ca="1"/>
      </c>
      <c r="AH64">
        <f ca="1"/>
      </c>
      <c r="AL64" s="7">
        <f ca="1"/>
      </c>
      <c r="AM64" s="14">
        <f ca="1"/>
      </c>
      <c r="AN64" s="14">
        <f ca="1"/>
      </c>
      <c r="AO64" s="14">
        <f ca="1"/>
      </c>
      <c r="AP64" s="14">
        <f ca="1"/>
      </c>
      <c r="AQ64" s="14">
        <f ca="1"/>
      </c>
      <c r="AR64" s="14">
        <f ca="1"/>
      </c>
      <c r="AV64" s="14">
        <f ca="1"/>
      </c>
      <c r="AW64" s="14">
        <f ca="1"/>
      </c>
      <c r="AX64" s="14">
        <f ca="1"/>
      </c>
      <c r="AY64" s="14">
        <f ca="1"/>
      </c>
      <c r="AZ64" s="14">
        <f ca="1"/>
      </c>
      <c r="BB64">
        <f ca="1"/>
      </c>
      <c r="BC64">
        <f ca="1"/>
      </c>
      <c r="BD64">
        <f ca="1"/>
      </c>
      <c r="BF64" s="7">
        <f ca="1"/>
      </c>
      <c r="BG64" s="14">
        <f ca="1"/>
      </c>
      <c r="BH64" s="14">
        <f ca="1"/>
      </c>
      <c r="BI64" s="14">
        <f ca="1"/>
      </c>
      <c r="BJ64" s="14">
        <f ca="1"/>
      </c>
      <c r="BK64" s="14">
        <f ca="1"/>
      </c>
    </row>
    <row r="65" spans="28:63" x14ac:dyDescent="0.55000000000000004">
      <c r="AB65">
        <f ca="1"/>
      </c>
      <c r="AC65">
        <f ca="1"/>
      </c>
      <c r="AD65">
        <f ca="1"/>
      </c>
      <c r="AE65">
        <f ca="1"/>
      </c>
      <c r="AF65">
        <f ca="1"/>
      </c>
      <c r="AG65">
        <f ca="1"/>
      </c>
      <c r="AH65">
        <f ca="1"/>
      </c>
      <c r="AL65" s="7">
        <f ca="1"/>
      </c>
      <c r="AM65" s="14">
        <f ca="1"/>
      </c>
      <c r="AN65" s="14">
        <f ca="1"/>
      </c>
      <c r="AO65" s="14">
        <f ca="1"/>
      </c>
      <c r="AP65" s="14">
        <f ca="1"/>
      </c>
      <c r="AQ65" s="14">
        <f ca="1"/>
      </c>
      <c r="AR65" s="14">
        <f ca="1"/>
      </c>
      <c r="AV65" s="14">
        <f ca="1"/>
      </c>
      <c r="AW65" s="14">
        <f ca="1"/>
      </c>
      <c r="AX65" s="14">
        <f ca="1"/>
      </c>
      <c r="AY65" s="14">
        <f ca="1"/>
      </c>
      <c r="AZ65" s="14">
        <f ca="1"/>
      </c>
      <c r="BB65">
        <f ca="1"/>
      </c>
      <c r="BC65">
        <f ca="1"/>
      </c>
      <c r="BD65">
        <f ca="1"/>
      </c>
      <c r="BF65" s="7">
        <f ca="1"/>
      </c>
      <c r="BG65" s="14">
        <f ca="1"/>
      </c>
      <c r="BH65" s="14">
        <f ca="1"/>
      </c>
      <c r="BI65" s="14">
        <f ca="1"/>
      </c>
      <c r="BJ65" s="14">
        <f ca="1"/>
      </c>
      <c r="BK65" s="14">
        <f ca="1"/>
      </c>
    </row>
    <row r="66" spans="28:63" x14ac:dyDescent="0.55000000000000004">
      <c r="AB66">
        <f ca="1"/>
      </c>
      <c r="AC66">
        <f ca="1"/>
      </c>
      <c r="AD66">
        <f ca="1"/>
      </c>
      <c r="AE66">
        <f ca="1"/>
      </c>
      <c r="AF66">
        <f ca="1"/>
      </c>
      <c r="AG66">
        <f ca="1"/>
      </c>
      <c r="AH66">
        <f ca="1"/>
      </c>
      <c r="AL66" s="7">
        <f ca="1"/>
      </c>
      <c r="AM66" s="14">
        <f ca="1"/>
      </c>
      <c r="AN66" s="14">
        <f ca="1"/>
      </c>
      <c r="AO66" s="14">
        <f ca="1"/>
      </c>
      <c r="AP66" s="14">
        <f ca="1"/>
      </c>
      <c r="AQ66" s="14">
        <f ca="1"/>
      </c>
      <c r="AR66" s="14">
        <f ca="1"/>
      </c>
      <c r="AV66" s="14">
        <f ca="1"/>
      </c>
      <c r="AW66" s="14">
        <f ca="1"/>
      </c>
      <c r="AX66" s="14">
        <f ca="1"/>
      </c>
      <c r="AY66" s="14">
        <f ca="1"/>
      </c>
      <c r="AZ66" s="14">
        <f ca="1"/>
      </c>
      <c r="BB66">
        <f ca="1"/>
      </c>
      <c r="BC66">
        <f ca="1"/>
      </c>
      <c r="BD66">
        <f ca="1"/>
      </c>
      <c r="BF66" s="7">
        <f ca="1"/>
      </c>
      <c r="BG66" s="14">
        <f ca="1"/>
      </c>
      <c r="BH66" s="14">
        <f ca="1"/>
      </c>
      <c r="BI66" s="14">
        <f ca="1"/>
      </c>
      <c r="BJ66" s="14">
        <f ca="1"/>
      </c>
      <c r="BK66" s="14">
        <f ca="1"/>
      </c>
    </row>
    <row r="67" spans="28:63" x14ac:dyDescent="0.55000000000000004">
      <c r="AB67">
        <f ca="1"/>
      </c>
      <c r="AC67">
        <f ca="1"/>
      </c>
      <c r="AD67">
        <f ca="1"/>
      </c>
      <c r="AE67">
        <f ca="1"/>
      </c>
      <c r="AF67">
        <f ca="1"/>
      </c>
      <c r="AG67">
        <f ca="1"/>
      </c>
      <c r="AH67">
        <f ca="1"/>
      </c>
      <c r="AL67" s="7">
        <f ca="1"/>
      </c>
      <c r="AM67" s="14">
        <f ca="1"/>
      </c>
      <c r="AN67" s="14">
        <f ca="1"/>
      </c>
      <c r="AO67" s="14">
        <f ca="1"/>
      </c>
      <c r="AP67" s="14">
        <f ca="1"/>
      </c>
      <c r="AQ67" s="14">
        <f ca="1"/>
      </c>
      <c r="AR67" s="14">
        <f ca="1"/>
      </c>
      <c r="AV67" s="14">
        <f ca="1"/>
      </c>
      <c r="AW67" s="14">
        <f ca="1"/>
      </c>
      <c r="AX67" s="14">
        <f ca="1"/>
      </c>
      <c r="AY67" s="14">
        <f ca="1"/>
      </c>
      <c r="AZ67" s="14">
        <f ca="1"/>
      </c>
      <c r="BB67">
        <f ca="1"/>
      </c>
      <c r="BC67">
        <f ca="1"/>
      </c>
      <c r="BD67">
        <f ca="1"/>
      </c>
      <c r="BF67" s="7">
        <f ca="1"/>
      </c>
      <c r="BG67" s="14">
        <f ca="1"/>
      </c>
      <c r="BH67" s="14">
        <f ca="1"/>
      </c>
      <c r="BI67" s="14">
        <f ca="1"/>
      </c>
      <c r="BJ67" s="14">
        <f ca="1"/>
      </c>
      <c r="BK67" s="14">
        <f ca="1"/>
      </c>
    </row>
    <row r="68" spans="28:63" x14ac:dyDescent="0.55000000000000004">
      <c r="AB68">
        <f ca="1"/>
      </c>
      <c r="AC68">
        <f ca="1"/>
      </c>
      <c r="AD68">
        <f ca="1"/>
      </c>
      <c r="AE68">
        <f ca="1"/>
      </c>
      <c r="AF68">
        <f ca="1"/>
      </c>
      <c r="AG68">
        <f ca="1"/>
      </c>
      <c r="AH68">
        <f ca="1"/>
      </c>
      <c r="AL68" s="7">
        <f ca="1"/>
      </c>
      <c r="AM68" s="14">
        <f ca="1"/>
      </c>
      <c r="AN68" s="14">
        <f ca="1"/>
      </c>
      <c r="AO68" s="14">
        <f ca="1"/>
      </c>
      <c r="AP68" s="14">
        <f ca="1"/>
      </c>
      <c r="AQ68" s="14">
        <f ca="1"/>
      </c>
      <c r="AR68" s="14">
        <f ca="1"/>
      </c>
      <c r="AV68" s="14">
        <f ca="1"/>
      </c>
      <c r="AW68" s="14">
        <f ca="1"/>
      </c>
      <c r="AX68" s="14">
        <f ca="1"/>
      </c>
      <c r="AY68" s="14">
        <f ca="1"/>
      </c>
      <c r="AZ68" s="14">
        <f ca="1"/>
      </c>
      <c r="BB68">
        <f ca="1"/>
      </c>
      <c r="BC68">
        <f ca="1"/>
      </c>
      <c r="BD68">
        <f ca="1"/>
      </c>
      <c r="BF68" s="7">
        <f ca="1"/>
      </c>
      <c r="BG68" s="14">
        <f ca="1"/>
      </c>
      <c r="BH68" s="14">
        <f ca="1"/>
      </c>
      <c r="BI68" s="14">
        <f ca="1"/>
      </c>
      <c r="BJ68" s="14">
        <f ca="1"/>
      </c>
      <c r="BK68" s="14">
        <f ca="1"/>
      </c>
    </row>
    <row r="69" spans="28:63" x14ac:dyDescent="0.55000000000000004">
      <c r="AB69">
        <f ca="1"/>
      </c>
      <c r="AC69">
        <f ca="1"/>
      </c>
      <c r="AD69">
        <f ca="1"/>
      </c>
      <c r="AE69">
        <f ca="1"/>
      </c>
      <c r="AF69">
        <f ca="1"/>
      </c>
      <c r="AG69">
        <f ca="1"/>
      </c>
      <c r="AH69">
        <f ca="1"/>
      </c>
      <c r="AL69" s="7">
        <f ca="1"/>
      </c>
      <c r="AM69" s="14">
        <f ca="1"/>
      </c>
      <c r="AN69" s="14">
        <f ca="1"/>
      </c>
      <c r="AO69" s="14">
        <f ca="1"/>
      </c>
      <c r="AP69" s="14">
        <f ca="1"/>
      </c>
      <c r="AQ69" s="14">
        <f ca="1"/>
      </c>
      <c r="AR69" s="14">
        <f ca="1"/>
      </c>
      <c r="AV69" s="14">
        <f ca="1"/>
      </c>
      <c r="AW69" s="14">
        <f ca="1"/>
      </c>
      <c r="AX69" s="14">
        <f ca="1"/>
      </c>
      <c r="AY69" s="14">
        <f ca="1"/>
      </c>
      <c r="AZ69" s="14">
        <f ca="1"/>
      </c>
      <c r="BB69">
        <f ca="1"/>
      </c>
      <c r="BC69">
        <f ca="1"/>
      </c>
      <c r="BD69">
        <f ca="1"/>
      </c>
      <c r="BF69" s="7">
        <f ca="1"/>
      </c>
      <c r="BG69" s="14">
        <f ca="1"/>
      </c>
      <c r="BH69" s="14">
        <f ca="1"/>
      </c>
      <c r="BI69" s="14">
        <f ca="1"/>
      </c>
      <c r="BJ69" s="14">
        <f ca="1"/>
      </c>
      <c r="BK69" s="14">
        <f ca="1"/>
      </c>
    </row>
    <row r="70" spans="28:63" x14ac:dyDescent="0.55000000000000004">
      <c r="AB70">
        <f ca="1"/>
      </c>
      <c r="AC70">
        <f ca="1"/>
      </c>
      <c r="AD70">
        <f ca="1"/>
      </c>
      <c r="AE70">
        <f ca="1"/>
      </c>
      <c r="AF70">
        <f ca="1"/>
      </c>
      <c r="AG70">
        <f ca="1"/>
      </c>
      <c r="AH70">
        <f ca="1"/>
      </c>
      <c r="AL70" s="7">
        <f ca="1"/>
      </c>
      <c r="AM70" s="14">
        <f ca="1"/>
      </c>
      <c r="AN70" s="14">
        <f ca="1"/>
      </c>
      <c r="AO70" s="14">
        <f ca="1"/>
      </c>
      <c r="AP70" s="14">
        <f ca="1"/>
      </c>
      <c r="AQ70" s="14">
        <f ca="1"/>
      </c>
      <c r="AR70" s="14">
        <f ca="1"/>
      </c>
      <c r="AV70" s="14">
        <f ca="1"/>
      </c>
      <c r="AW70" s="14">
        <f ca="1"/>
      </c>
      <c r="AX70" s="14">
        <f ca="1"/>
      </c>
      <c r="AY70" s="14">
        <f ca="1"/>
      </c>
      <c r="AZ70" s="14">
        <f ca="1"/>
      </c>
      <c r="BB70">
        <f ca="1"/>
      </c>
      <c r="BC70">
        <f ca="1"/>
      </c>
      <c r="BD70">
        <f ca="1"/>
      </c>
      <c r="BF70" s="7">
        <f ca="1"/>
      </c>
      <c r="BG70" s="14">
        <f ca="1"/>
      </c>
      <c r="BH70" s="14">
        <f ca="1"/>
      </c>
      <c r="BI70" s="14">
        <f ca="1"/>
      </c>
      <c r="BJ70" s="14">
        <f ca="1"/>
      </c>
      <c r="BK70" s="14">
        <f ca="1"/>
      </c>
    </row>
    <row r="71" spans="28:63" x14ac:dyDescent="0.55000000000000004">
      <c r="AB71">
        <f ca="1"/>
      </c>
      <c r="AC71">
        <f ca="1"/>
      </c>
      <c r="AD71">
        <f ca="1"/>
      </c>
      <c r="AE71">
        <f ca="1"/>
      </c>
      <c r="AF71">
        <f ca="1"/>
      </c>
      <c r="AG71">
        <f ca="1"/>
      </c>
      <c r="AH71">
        <f ca="1"/>
      </c>
      <c r="AL71" s="7">
        <f ca="1"/>
      </c>
      <c r="AM71" s="14">
        <f ca="1"/>
      </c>
      <c r="AN71" s="14">
        <f ca="1"/>
      </c>
      <c r="AO71" s="14">
        <f ca="1"/>
      </c>
      <c r="AP71" s="14">
        <f ca="1"/>
      </c>
      <c r="AQ71" s="14">
        <f ca="1"/>
      </c>
      <c r="AR71" s="14">
        <f ca="1"/>
      </c>
      <c r="AV71" s="14">
        <f ca="1"/>
      </c>
      <c r="AW71" s="14">
        <f ca="1"/>
      </c>
      <c r="AX71" s="14">
        <f ca="1"/>
      </c>
      <c r="AY71" s="14">
        <f ca="1"/>
      </c>
      <c r="AZ71" s="14">
        <f ca="1"/>
      </c>
      <c r="BB71">
        <f ca="1"/>
      </c>
      <c r="BC71">
        <f ca="1"/>
      </c>
      <c r="BD71">
        <f ca="1"/>
      </c>
      <c r="BF71" s="7">
        <f ca="1"/>
      </c>
      <c r="BG71" s="14">
        <f ca="1"/>
      </c>
      <c r="BH71" s="14">
        <f ca="1"/>
      </c>
      <c r="BI71" s="14">
        <f ca="1"/>
      </c>
      <c r="BJ71" s="14">
        <f ca="1"/>
      </c>
      <c r="BK71" s="14">
        <f ca="1"/>
      </c>
    </row>
    <row r="72" spans="28:63" x14ac:dyDescent="0.55000000000000004">
      <c r="AB72">
        <f ca="1"/>
      </c>
      <c r="AC72">
        <f ca="1"/>
      </c>
      <c r="AD72">
        <f ca="1"/>
      </c>
      <c r="AE72">
        <f ca="1"/>
      </c>
      <c r="AF72">
        <f ca="1"/>
      </c>
      <c r="AG72">
        <f ca="1"/>
      </c>
      <c r="AH72">
        <f ca="1"/>
      </c>
      <c r="AL72" s="7">
        <f ca="1"/>
      </c>
      <c r="AM72" s="14">
        <f ca="1"/>
      </c>
      <c r="AN72" s="14">
        <f ca="1"/>
      </c>
      <c r="AO72" s="14">
        <f ca="1"/>
      </c>
      <c r="AP72" s="14">
        <f ca="1"/>
      </c>
      <c r="AQ72" s="14">
        <f ca="1"/>
      </c>
      <c r="AR72" s="14">
        <f ca="1"/>
      </c>
      <c r="AV72" s="14">
        <f ca="1"/>
      </c>
      <c r="AW72" s="14">
        <f ca="1"/>
      </c>
      <c r="AX72" s="14">
        <f ca="1"/>
      </c>
      <c r="AY72" s="14">
        <f ca="1"/>
      </c>
      <c r="AZ72" s="14">
        <f ca="1"/>
      </c>
      <c r="BB72">
        <f ca="1"/>
      </c>
      <c r="BC72">
        <f ca="1"/>
      </c>
      <c r="BD72">
        <f ca="1"/>
      </c>
      <c r="BF72" s="7">
        <f ca="1"/>
      </c>
      <c r="BG72" s="14">
        <f ca="1"/>
      </c>
      <c r="BH72" s="14">
        <f ca="1"/>
      </c>
      <c r="BI72" s="14">
        <f ca="1"/>
      </c>
      <c r="BJ72" s="14">
        <f ca="1"/>
      </c>
      <c r="BK72" s="14">
        <f ca="1"/>
      </c>
    </row>
    <row r="73" spans="28:63" x14ac:dyDescent="0.55000000000000004">
      <c r="AB73">
        <f ca="1"/>
      </c>
      <c r="AC73">
        <f ca="1"/>
      </c>
      <c r="AD73">
        <f ca="1"/>
      </c>
      <c r="AE73">
        <f ca="1"/>
      </c>
      <c r="AF73">
        <f ca="1"/>
      </c>
      <c r="AG73">
        <f ca="1"/>
      </c>
      <c r="AH73">
        <f ca="1"/>
      </c>
      <c r="AL73" s="7">
        <f ca="1"/>
      </c>
      <c r="AM73" s="14">
        <f ca="1"/>
      </c>
      <c r="AN73" s="14">
        <f ca="1"/>
      </c>
      <c r="AO73" s="14">
        <f ca="1"/>
      </c>
      <c r="AP73" s="14">
        <f ca="1"/>
      </c>
      <c r="AQ73" s="14">
        <f ca="1"/>
      </c>
      <c r="AR73" s="14">
        <f ca="1"/>
      </c>
      <c r="AV73" s="14">
        <f ca="1"/>
      </c>
      <c r="AW73" s="14">
        <f ca="1"/>
      </c>
      <c r="AX73" s="14">
        <f ca="1"/>
      </c>
      <c r="AY73" s="14">
        <f ca="1"/>
      </c>
      <c r="AZ73" s="14">
        <f ca="1"/>
      </c>
      <c r="BB73">
        <f ca="1"/>
      </c>
      <c r="BC73">
        <f ca="1"/>
      </c>
      <c r="BD73">
        <f ca="1"/>
      </c>
      <c r="BF73" s="7">
        <f ca="1"/>
      </c>
      <c r="BG73" s="14">
        <f ca="1"/>
      </c>
      <c r="BH73" s="14">
        <f ca="1"/>
      </c>
      <c r="BI73" s="14">
        <f ca="1"/>
      </c>
      <c r="BJ73" s="14">
        <f ca="1"/>
      </c>
      <c r="BK73" s="14">
        <f ca="1"/>
      </c>
    </row>
    <row r="74" spans="28:63" x14ac:dyDescent="0.55000000000000004">
      <c r="AB74">
        <f ca="1"/>
      </c>
      <c r="AC74">
        <f ca="1"/>
      </c>
      <c r="AD74">
        <f ca="1"/>
      </c>
      <c r="AE74">
        <f ca="1"/>
      </c>
      <c r="AF74">
        <f ca="1"/>
      </c>
      <c r="AG74">
        <f ca="1"/>
      </c>
      <c r="AH74">
        <f ca="1"/>
      </c>
      <c r="AL74" s="7">
        <f ca="1"/>
      </c>
      <c r="AM74" s="14">
        <f ca="1"/>
      </c>
      <c r="AN74" s="14">
        <f ca="1"/>
      </c>
      <c r="AO74" s="14">
        <f ca="1"/>
      </c>
      <c r="AP74" s="14">
        <f ca="1"/>
      </c>
      <c r="AQ74" s="14">
        <f ca="1"/>
      </c>
      <c r="AR74" s="14">
        <f ca="1"/>
      </c>
      <c r="AV74" s="14">
        <f ca="1"/>
      </c>
      <c r="AW74" s="14">
        <f ca="1"/>
      </c>
      <c r="AX74" s="14">
        <f ca="1"/>
      </c>
      <c r="AY74" s="14">
        <f ca="1"/>
      </c>
      <c r="AZ74" s="14">
        <f ca="1"/>
      </c>
      <c r="BB74">
        <f ca="1"/>
      </c>
      <c r="BC74">
        <f ca="1"/>
      </c>
      <c r="BD74">
        <f ca="1"/>
      </c>
      <c r="BF74" s="7">
        <f ca="1"/>
      </c>
      <c r="BG74" s="14">
        <f ca="1"/>
      </c>
      <c r="BH74" s="14">
        <f ca="1"/>
      </c>
      <c r="BI74" s="14">
        <f ca="1"/>
      </c>
      <c r="BJ74" s="14">
        <f ca="1"/>
      </c>
      <c r="BK74" s="14">
        <f ca="1"/>
      </c>
    </row>
    <row r="75" spans="28:63" x14ac:dyDescent="0.55000000000000004">
      <c r="AB75">
        <f ca="1"/>
      </c>
      <c r="AC75">
        <f ca="1"/>
      </c>
      <c r="AD75">
        <f ca="1"/>
      </c>
      <c r="AE75">
        <f ca="1"/>
      </c>
      <c r="AF75">
        <f ca="1"/>
      </c>
      <c r="AG75">
        <f ca="1"/>
      </c>
      <c r="AH75">
        <f ca="1"/>
      </c>
      <c r="AL75" s="7">
        <f ca="1"/>
      </c>
      <c r="AM75" s="14">
        <f ca="1"/>
      </c>
      <c r="AN75" s="14">
        <f ca="1"/>
      </c>
      <c r="AO75" s="14">
        <f ca="1"/>
      </c>
      <c r="AP75" s="14">
        <f ca="1"/>
      </c>
      <c r="AQ75" s="14">
        <f ca="1"/>
      </c>
      <c r="AR75" s="14">
        <f ca="1"/>
      </c>
      <c r="AV75" s="14">
        <f ca="1"/>
      </c>
      <c r="AW75" s="14">
        <f ca="1"/>
      </c>
      <c r="AX75" s="14">
        <f ca="1"/>
      </c>
      <c r="AY75" s="14">
        <f ca="1"/>
      </c>
      <c r="AZ75" s="14">
        <f ca="1"/>
      </c>
      <c r="BB75">
        <f ca="1"/>
      </c>
      <c r="BC75">
        <f ca="1"/>
      </c>
      <c r="BD75">
        <f ca="1"/>
      </c>
      <c r="BF75" s="7">
        <f ca="1"/>
      </c>
      <c r="BG75" s="14">
        <f ca="1"/>
      </c>
      <c r="BH75" s="14">
        <f ca="1"/>
      </c>
      <c r="BI75" s="14">
        <f ca="1"/>
      </c>
      <c r="BJ75" s="14">
        <f ca="1"/>
      </c>
      <c r="BK75" s="14">
        <f ca="1"/>
      </c>
    </row>
    <row r="76" spans="28:63" x14ac:dyDescent="0.55000000000000004">
      <c r="AB76">
        <f ca="1"/>
      </c>
      <c r="AC76">
        <f ca="1"/>
      </c>
      <c r="AD76">
        <f ca="1"/>
      </c>
      <c r="AE76">
        <f ca="1"/>
      </c>
      <c r="AF76">
        <f ca="1"/>
      </c>
      <c r="AG76">
        <f ca="1"/>
      </c>
      <c r="AH76">
        <f ca="1"/>
      </c>
      <c r="AL76" s="7">
        <f ca="1"/>
      </c>
      <c r="AM76" s="14">
        <f ca="1"/>
      </c>
      <c r="AN76" s="14">
        <f ca="1"/>
      </c>
      <c r="AO76" s="14">
        <f ca="1"/>
      </c>
      <c r="AP76" s="14">
        <f ca="1"/>
      </c>
      <c r="AQ76" s="14">
        <f ca="1"/>
      </c>
      <c r="AR76" s="14">
        <f ca="1"/>
      </c>
      <c r="AV76" s="14">
        <f ca="1"/>
      </c>
      <c r="AW76" s="14">
        <f ca="1"/>
      </c>
      <c r="AX76" s="14">
        <f ca="1"/>
      </c>
      <c r="AY76" s="14">
        <f ca="1"/>
      </c>
      <c r="AZ76" s="14">
        <f ca="1"/>
      </c>
      <c r="BB76">
        <f ca="1"/>
      </c>
      <c r="BC76">
        <f ca="1"/>
      </c>
      <c r="BD76">
        <f ca="1"/>
      </c>
      <c r="BF76" s="7">
        <f ca="1"/>
      </c>
      <c r="BG76" s="14">
        <f ca="1"/>
      </c>
      <c r="BH76" s="14">
        <f ca="1"/>
      </c>
      <c r="BI76" s="14">
        <f ca="1"/>
      </c>
      <c r="BJ76" s="14">
        <f ca="1"/>
      </c>
      <c r="BK76" s="14">
        <f ca="1"/>
      </c>
    </row>
    <row r="77" spans="28:63" x14ac:dyDescent="0.55000000000000004">
      <c r="AB77">
        <f ca="1"/>
      </c>
      <c r="AC77">
        <f ca="1"/>
      </c>
      <c r="AD77">
        <f ca="1"/>
      </c>
      <c r="AE77">
        <f ca="1"/>
      </c>
      <c r="AF77">
        <f ca="1"/>
      </c>
      <c r="AG77">
        <f ca="1"/>
      </c>
      <c r="AH77">
        <f ca="1"/>
      </c>
      <c r="AL77" s="7">
        <f ca="1"/>
      </c>
      <c r="AM77" s="14">
        <f ca="1"/>
      </c>
      <c r="AN77" s="14">
        <f ca="1"/>
      </c>
      <c r="AO77" s="14">
        <f ca="1"/>
      </c>
      <c r="AP77" s="14">
        <f ca="1"/>
      </c>
      <c r="AQ77" s="14">
        <f ca="1"/>
      </c>
      <c r="AR77" s="14">
        <f ca="1"/>
      </c>
      <c r="AV77" s="14">
        <f ca="1"/>
      </c>
      <c r="AW77" s="14">
        <f ca="1"/>
      </c>
      <c r="AX77" s="14">
        <f ca="1"/>
      </c>
      <c r="AY77" s="14">
        <f ca="1"/>
      </c>
      <c r="AZ77" s="14">
        <f ca="1"/>
      </c>
      <c r="BB77">
        <f ca="1"/>
      </c>
      <c r="BC77">
        <f ca="1"/>
      </c>
      <c r="BD77">
        <f ca="1"/>
      </c>
      <c r="BF77" s="7">
        <f ca="1"/>
      </c>
      <c r="BG77" s="14">
        <f ca="1"/>
      </c>
      <c r="BH77" s="14">
        <f ca="1"/>
      </c>
      <c r="BI77" s="14">
        <f ca="1"/>
      </c>
      <c r="BJ77" s="14">
        <f ca="1"/>
      </c>
      <c r="BK77" s="14">
        <f ca="1"/>
      </c>
    </row>
    <row r="78" spans="28:63" x14ac:dyDescent="0.55000000000000004">
      <c r="AB78">
        <f ca="1"/>
      </c>
      <c r="AC78">
        <f ca="1"/>
      </c>
      <c r="AD78">
        <f ca="1"/>
      </c>
      <c r="AE78">
        <f ca="1"/>
      </c>
      <c r="AF78">
        <f ca="1"/>
      </c>
      <c r="AG78">
        <f ca="1"/>
      </c>
      <c r="AH78">
        <f ca="1"/>
      </c>
      <c r="AL78" s="7">
        <f ca="1"/>
      </c>
      <c r="AM78" s="14">
        <f ca="1"/>
      </c>
      <c r="AN78" s="14">
        <f ca="1"/>
      </c>
      <c r="AO78" s="14">
        <f ca="1"/>
      </c>
      <c r="AP78" s="14">
        <f ca="1"/>
      </c>
      <c r="AQ78" s="14">
        <f ca="1"/>
      </c>
      <c r="AR78" s="14">
        <f ca="1"/>
      </c>
      <c r="AV78" s="14">
        <f ca="1"/>
      </c>
      <c r="AW78" s="14">
        <f ca="1"/>
      </c>
      <c r="AX78" s="14">
        <f ca="1"/>
      </c>
      <c r="AY78" s="14">
        <f ca="1"/>
      </c>
      <c r="AZ78" s="14">
        <f ca="1"/>
      </c>
      <c r="BB78">
        <f ca="1"/>
      </c>
      <c r="BC78">
        <f ca="1"/>
      </c>
      <c r="BD78">
        <f ca="1"/>
      </c>
      <c r="BF78" s="7">
        <f ca="1"/>
      </c>
      <c r="BG78" s="14">
        <f ca="1"/>
      </c>
      <c r="BH78" s="14">
        <f ca="1"/>
      </c>
      <c r="BI78" s="14">
        <f ca="1"/>
      </c>
      <c r="BJ78" s="14">
        <f ca="1"/>
      </c>
      <c r="BK78" s="14">
        <f ca="1"/>
      </c>
    </row>
    <row r="79" spans="28:63" x14ac:dyDescent="0.55000000000000004">
      <c r="AB79">
        <f ca="1"/>
      </c>
      <c r="AC79">
        <f ca="1"/>
      </c>
      <c r="AD79">
        <f ca="1"/>
      </c>
      <c r="AE79">
        <f ca="1"/>
      </c>
      <c r="AF79">
        <f ca="1"/>
      </c>
      <c r="AG79">
        <f ca="1"/>
      </c>
      <c r="AH79">
        <f ca="1"/>
      </c>
      <c r="AL79" s="7">
        <f ca="1"/>
      </c>
      <c r="AM79" s="14">
        <f ca="1"/>
      </c>
      <c r="AN79" s="14">
        <f ca="1"/>
      </c>
      <c r="AO79" s="14">
        <f ca="1"/>
      </c>
      <c r="AP79" s="14">
        <f ca="1"/>
      </c>
      <c r="AQ79" s="14">
        <f ca="1"/>
      </c>
      <c r="AR79" s="14">
        <f ca="1"/>
      </c>
      <c r="AV79" s="14">
        <f ca="1"/>
      </c>
      <c r="AW79" s="14">
        <f ca="1"/>
      </c>
      <c r="AX79" s="14">
        <f ca="1"/>
      </c>
      <c r="AY79" s="14">
        <f ca="1"/>
      </c>
      <c r="AZ79" s="14">
        <f ca="1"/>
      </c>
      <c r="BB79">
        <f ca="1"/>
      </c>
      <c r="BC79">
        <f ca="1"/>
      </c>
      <c r="BD79">
        <f ca="1"/>
      </c>
      <c r="BF79" s="7">
        <f ca="1"/>
      </c>
      <c r="BG79" s="14">
        <f ca="1"/>
      </c>
      <c r="BH79" s="14">
        <f ca="1"/>
      </c>
      <c r="BI79" s="14">
        <f ca="1"/>
      </c>
      <c r="BJ79" s="14">
        <f ca="1"/>
      </c>
      <c r="BK79" s="14">
        <f ca="1"/>
      </c>
    </row>
    <row r="80" spans="28:63" x14ac:dyDescent="0.55000000000000004">
      <c r="AB80">
        <f ca="1"/>
      </c>
      <c r="AC80">
        <f ca="1"/>
      </c>
      <c r="AD80">
        <f ca="1"/>
      </c>
      <c r="AE80">
        <f ca="1"/>
      </c>
      <c r="AF80">
        <f ca="1"/>
      </c>
      <c r="AG80">
        <f ca="1"/>
      </c>
      <c r="AH80">
        <f ca="1"/>
      </c>
      <c r="AL80" s="7">
        <f ca="1"/>
      </c>
      <c r="AM80" s="14">
        <f ca="1"/>
      </c>
      <c r="AN80" s="14">
        <f ca="1"/>
      </c>
      <c r="AO80" s="14">
        <f ca="1"/>
      </c>
      <c r="AP80" s="14">
        <f ca="1"/>
      </c>
      <c r="AQ80" s="14">
        <f ca="1"/>
      </c>
      <c r="AR80" s="14">
        <f ca="1"/>
      </c>
      <c r="AV80" s="14">
        <f ca="1"/>
      </c>
      <c r="AW80" s="14">
        <f ca="1"/>
      </c>
      <c r="AX80" s="14">
        <f ca="1"/>
      </c>
      <c r="AY80" s="14">
        <f ca="1"/>
      </c>
      <c r="AZ80" s="14">
        <f ca="1"/>
      </c>
      <c r="BB80">
        <f ca="1"/>
      </c>
      <c r="BC80">
        <f ca="1"/>
      </c>
      <c r="BD80">
        <f ca="1"/>
      </c>
      <c r="BF80" s="7">
        <f ca="1"/>
      </c>
      <c r="BG80" s="14">
        <f ca="1"/>
      </c>
      <c r="BH80" s="14">
        <f ca="1"/>
      </c>
      <c r="BI80" s="14">
        <f ca="1"/>
      </c>
      <c r="BJ80" s="14">
        <f ca="1"/>
      </c>
      <c r="BK80" s="14">
        <f ca="1"/>
      </c>
    </row>
    <row r="81" spans="28:63" x14ac:dyDescent="0.55000000000000004">
      <c r="AB81">
        <f ca="1"/>
      </c>
      <c r="AC81">
        <f ca="1"/>
      </c>
      <c r="AD81">
        <f ca="1"/>
      </c>
      <c r="AE81">
        <f ca="1"/>
      </c>
      <c r="AF81">
        <f ca="1"/>
      </c>
      <c r="AG81">
        <f ca="1"/>
      </c>
      <c r="AH81">
        <f ca="1"/>
      </c>
      <c r="AL81" s="7">
        <f ca="1"/>
      </c>
      <c r="AM81" s="14">
        <f ca="1"/>
      </c>
      <c r="AN81" s="14">
        <f ca="1"/>
      </c>
      <c r="AO81" s="14">
        <f ca="1"/>
      </c>
      <c r="AP81" s="14">
        <f ca="1"/>
      </c>
      <c r="AQ81" s="14">
        <f ca="1"/>
      </c>
      <c r="AR81" s="14">
        <f ca="1"/>
      </c>
      <c r="AV81" s="14">
        <f ca="1"/>
      </c>
      <c r="AW81" s="14">
        <f ca="1"/>
      </c>
      <c r="AX81" s="14">
        <f ca="1"/>
      </c>
      <c r="AY81" s="14">
        <f ca="1"/>
      </c>
      <c r="AZ81" s="14">
        <f ca="1"/>
      </c>
      <c r="BB81">
        <f ca="1"/>
      </c>
      <c r="BC81">
        <f ca="1"/>
      </c>
      <c r="BD81">
        <f ca="1"/>
      </c>
      <c r="BF81" s="7">
        <f ca="1"/>
      </c>
      <c r="BG81" s="14">
        <f ca="1"/>
      </c>
      <c r="BH81" s="14">
        <f ca="1"/>
      </c>
      <c r="BI81" s="14">
        <f ca="1"/>
      </c>
      <c r="BJ81" s="14">
        <f ca="1"/>
      </c>
      <c r="BK81" s="14">
        <f ca="1"/>
      </c>
    </row>
    <row r="82" spans="28:63" x14ac:dyDescent="0.55000000000000004">
      <c r="AB82">
        <f ca="1"/>
      </c>
      <c r="AC82">
        <f ca="1"/>
      </c>
      <c r="AD82">
        <f ca="1"/>
      </c>
      <c r="AE82">
        <f ca="1"/>
      </c>
      <c r="AF82">
        <f ca="1"/>
      </c>
      <c r="AG82">
        <f ca="1"/>
      </c>
      <c r="AH82">
        <f ca="1"/>
      </c>
      <c r="AL82" s="7">
        <f ca="1"/>
      </c>
      <c r="AM82" s="14">
        <f ca="1"/>
      </c>
      <c r="AN82" s="14">
        <f ca="1"/>
      </c>
      <c r="AO82" s="14">
        <f ca="1"/>
      </c>
      <c r="AP82" s="14">
        <f ca="1"/>
      </c>
      <c r="AQ82" s="14">
        <f ca="1"/>
      </c>
      <c r="AR82" s="14">
        <f ca="1"/>
      </c>
      <c r="AV82" s="14">
        <f ca="1"/>
      </c>
      <c r="AW82" s="14">
        <f ca="1"/>
      </c>
      <c r="AX82" s="14">
        <f ca="1"/>
      </c>
      <c r="AY82" s="14">
        <f ca="1"/>
      </c>
      <c r="AZ82" s="14">
        <f ca="1"/>
      </c>
      <c r="BB82">
        <f ca="1"/>
      </c>
      <c r="BC82">
        <f ca="1"/>
      </c>
      <c r="BD82">
        <f ca="1"/>
      </c>
      <c r="BF82" s="7">
        <f ca="1"/>
      </c>
      <c r="BG82" s="14">
        <f ca="1"/>
      </c>
      <c r="BH82" s="14">
        <f ca="1"/>
      </c>
      <c r="BI82" s="14">
        <f ca="1"/>
      </c>
      <c r="BJ82" s="14">
        <f ca="1"/>
      </c>
      <c r="BK82" s="14">
        <f ca="1"/>
      </c>
    </row>
    <row r="83" spans="28:63" x14ac:dyDescent="0.55000000000000004">
      <c r="AB83">
        <f ca="1"/>
      </c>
      <c r="AC83">
        <f ca="1"/>
      </c>
      <c r="AD83">
        <f ca="1"/>
      </c>
      <c r="AE83">
        <f ca="1"/>
      </c>
      <c r="AF83">
        <f ca="1"/>
      </c>
      <c r="AG83">
        <f ca="1"/>
      </c>
      <c r="AH83">
        <f ca="1"/>
      </c>
      <c r="AL83" s="7">
        <f ca="1"/>
      </c>
      <c r="AM83" s="14">
        <f ca="1"/>
      </c>
      <c r="AN83" s="14">
        <f ca="1"/>
      </c>
      <c r="AO83" s="14">
        <f ca="1"/>
      </c>
      <c r="AP83" s="14">
        <f ca="1"/>
      </c>
      <c r="AQ83" s="14">
        <f ca="1"/>
      </c>
      <c r="AR83" s="14">
        <f ca="1"/>
      </c>
      <c r="AV83" s="14">
        <f ca="1"/>
      </c>
      <c r="AW83" s="14">
        <f ca="1"/>
      </c>
      <c r="AX83" s="14">
        <f ca="1"/>
      </c>
      <c r="AY83" s="14">
        <f ca="1"/>
      </c>
      <c r="AZ83" s="14">
        <f ca="1"/>
      </c>
      <c r="BB83">
        <f ca="1"/>
      </c>
      <c r="BC83">
        <f ca="1"/>
      </c>
      <c r="BD83">
        <f ca="1"/>
      </c>
      <c r="BF83" s="7">
        <f ca="1"/>
      </c>
      <c r="BG83" s="14">
        <f ca="1"/>
      </c>
      <c r="BH83" s="14">
        <f ca="1"/>
      </c>
      <c r="BI83" s="14">
        <f ca="1"/>
      </c>
      <c r="BJ83" s="14">
        <f ca="1"/>
      </c>
      <c r="BK83" s="14">
        <f ca="1"/>
      </c>
    </row>
    <row r="84" spans="28:63" x14ac:dyDescent="0.55000000000000004">
      <c r="AB84">
        <f ca="1"/>
      </c>
      <c r="AC84">
        <f ca="1"/>
      </c>
      <c r="AD84">
        <f ca="1"/>
      </c>
      <c r="AE84">
        <f ca="1"/>
      </c>
      <c r="AF84">
        <f ca="1"/>
      </c>
      <c r="AG84">
        <f ca="1"/>
      </c>
      <c r="AH84">
        <f ca="1"/>
      </c>
      <c r="AL84" s="7">
        <f ca="1"/>
      </c>
      <c r="AM84" s="14">
        <f ca="1"/>
      </c>
      <c r="AN84" s="14">
        <f ca="1"/>
      </c>
      <c r="AO84" s="14">
        <f ca="1"/>
      </c>
      <c r="AP84" s="14">
        <f ca="1"/>
      </c>
      <c r="AQ84" s="14">
        <f ca="1"/>
      </c>
      <c r="AR84" s="14">
        <f ca="1"/>
      </c>
      <c r="AV84" s="14">
        <f ca="1"/>
      </c>
      <c r="AW84" s="14">
        <f ca="1"/>
      </c>
      <c r="AX84" s="14">
        <f ca="1"/>
      </c>
      <c r="AY84" s="14">
        <f ca="1"/>
      </c>
      <c r="AZ84" s="14">
        <f ca="1"/>
      </c>
      <c r="BB84">
        <f ca="1"/>
      </c>
      <c r="BC84">
        <f ca="1"/>
      </c>
      <c r="BD84">
        <f ca="1"/>
      </c>
      <c r="BF84" s="7">
        <f ca="1"/>
      </c>
      <c r="BG84" s="14">
        <f ca="1"/>
      </c>
      <c r="BH84" s="14">
        <f ca="1"/>
      </c>
      <c r="BI84" s="14">
        <f ca="1"/>
      </c>
      <c r="BJ84" s="14">
        <f ca="1"/>
      </c>
      <c r="BK84" s="14">
        <f ca="1"/>
      </c>
    </row>
    <row r="85" spans="28:63" x14ac:dyDescent="0.55000000000000004">
      <c r="AB85">
        <f ca="1"/>
      </c>
      <c r="AC85">
        <f ca="1"/>
      </c>
      <c r="AD85">
        <f ca="1"/>
      </c>
      <c r="AE85">
        <f ca="1"/>
      </c>
      <c r="AF85">
        <f ca="1"/>
      </c>
      <c r="AG85">
        <f ca="1"/>
      </c>
      <c r="AH85">
        <f ca="1"/>
      </c>
      <c r="AL85" s="7">
        <f ca="1"/>
      </c>
      <c r="AM85" s="14">
        <f ca="1"/>
      </c>
      <c r="AN85" s="14">
        <f ca="1"/>
      </c>
      <c r="AO85" s="14">
        <f ca="1"/>
      </c>
      <c r="AP85" s="14">
        <f ca="1"/>
      </c>
      <c r="AQ85" s="14">
        <f ca="1"/>
      </c>
      <c r="AR85" s="14">
        <f ca="1"/>
      </c>
      <c r="AV85" s="14">
        <f ca="1"/>
      </c>
      <c r="AW85" s="14">
        <f ca="1"/>
      </c>
      <c r="AX85" s="14">
        <f ca="1"/>
      </c>
      <c r="AY85" s="14">
        <f ca="1"/>
      </c>
      <c r="AZ85" s="14">
        <f ca="1"/>
      </c>
      <c r="BB85">
        <f ca="1"/>
      </c>
      <c r="BC85">
        <f ca="1"/>
      </c>
      <c r="BD85">
        <f ca="1"/>
      </c>
      <c r="BF85" s="7">
        <f ca="1"/>
      </c>
      <c r="BG85" s="14">
        <f ca="1"/>
      </c>
      <c r="BH85" s="14">
        <f ca="1"/>
      </c>
      <c r="BI85" s="14">
        <f ca="1"/>
      </c>
      <c r="BJ85" s="14">
        <f ca="1"/>
      </c>
      <c r="BK85" s="14">
        <f ca="1"/>
      </c>
    </row>
    <row r="86" spans="28:63" x14ac:dyDescent="0.55000000000000004">
      <c r="AB86">
        <f ca="1"/>
      </c>
      <c r="AC86">
        <f ca="1"/>
      </c>
      <c r="AD86">
        <f ca="1"/>
      </c>
      <c r="AE86">
        <f ca="1"/>
      </c>
      <c r="AF86">
        <f ca="1"/>
      </c>
      <c r="AG86">
        <f ca="1"/>
      </c>
      <c r="AH86">
        <f ca="1"/>
      </c>
      <c r="AL86" s="7">
        <f ca="1"/>
      </c>
      <c r="AM86" s="14">
        <f ca="1"/>
      </c>
      <c r="AN86" s="14">
        <f ca="1"/>
      </c>
      <c r="AO86" s="14">
        <f ca="1"/>
      </c>
      <c r="AP86" s="14">
        <f ca="1"/>
      </c>
      <c r="AQ86" s="14">
        <f ca="1"/>
      </c>
      <c r="AR86" s="14">
        <f ca="1"/>
      </c>
      <c r="AV86" s="14">
        <f ca="1"/>
      </c>
      <c r="AW86" s="14">
        <f ca="1"/>
      </c>
      <c r="AX86" s="14">
        <f ca="1"/>
      </c>
      <c r="AY86" s="14">
        <f ca="1"/>
      </c>
      <c r="AZ86" s="14">
        <f ca="1"/>
      </c>
      <c r="BB86">
        <f ca="1"/>
      </c>
      <c r="BC86">
        <f ca="1"/>
      </c>
      <c r="BD86">
        <f ca="1"/>
      </c>
      <c r="BF86" s="7">
        <f ca="1"/>
      </c>
      <c r="BG86" s="14">
        <f ca="1"/>
      </c>
      <c r="BH86" s="14">
        <f ca="1"/>
      </c>
      <c r="BI86" s="14">
        <f ca="1"/>
      </c>
      <c r="BJ86" s="14">
        <f ca="1"/>
      </c>
      <c r="BK86" s="14">
        <f ca="1"/>
      </c>
    </row>
    <row r="87" spans="28:63" x14ac:dyDescent="0.55000000000000004">
      <c r="AB87">
        <f ca="1"/>
      </c>
      <c r="AC87">
        <f ca="1"/>
      </c>
      <c r="AD87">
        <f ca="1"/>
      </c>
      <c r="AE87">
        <f ca="1"/>
      </c>
      <c r="AF87">
        <f ca="1"/>
      </c>
      <c r="AG87">
        <f ca="1"/>
      </c>
      <c r="AH87">
        <f ca="1"/>
      </c>
      <c r="AL87" s="7">
        <f ca="1"/>
      </c>
      <c r="AM87" s="14">
        <f ca="1"/>
      </c>
      <c r="AN87" s="14">
        <f ca="1"/>
      </c>
      <c r="AO87" s="14">
        <f ca="1"/>
      </c>
      <c r="AP87" s="14">
        <f ca="1"/>
      </c>
      <c r="AQ87" s="14">
        <f ca="1"/>
      </c>
      <c r="AR87" s="14">
        <f ca="1"/>
      </c>
      <c r="AV87" s="14">
        <f ca="1"/>
      </c>
      <c r="AW87" s="14">
        <f ca="1"/>
      </c>
      <c r="AX87" s="14">
        <f ca="1"/>
      </c>
      <c r="AY87" s="14">
        <f ca="1"/>
      </c>
      <c r="AZ87" s="14">
        <f ca="1"/>
      </c>
      <c r="BB87">
        <f ca="1"/>
      </c>
      <c r="BC87">
        <f ca="1"/>
      </c>
      <c r="BD87">
        <f ca="1"/>
      </c>
      <c r="BF87" s="7">
        <f ca="1"/>
      </c>
      <c r="BG87" s="14">
        <f ca="1"/>
      </c>
      <c r="BH87" s="14">
        <f ca="1"/>
      </c>
      <c r="BI87" s="14">
        <f ca="1"/>
      </c>
      <c r="BJ87" s="14">
        <f ca="1"/>
      </c>
      <c r="BK87" s="14">
        <f ca="1"/>
      </c>
    </row>
    <row r="88" spans="28:63" x14ac:dyDescent="0.55000000000000004">
      <c r="AB88">
        <f ca="1"/>
      </c>
      <c r="AC88">
        <f ca="1"/>
      </c>
      <c r="AD88">
        <f ca="1"/>
      </c>
      <c r="AE88">
        <f ca="1"/>
      </c>
      <c r="AF88">
        <f ca="1"/>
      </c>
      <c r="AG88">
        <f ca="1"/>
      </c>
      <c r="AH88">
        <f ca="1"/>
      </c>
      <c r="AL88" s="7">
        <f ca="1"/>
      </c>
      <c r="AM88" s="14">
        <f ca="1"/>
      </c>
      <c r="AN88" s="14">
        <f ca="1"/>
      </c>
      <c r="AO88" s="14">
        <f ca="1"/>
      </c>
      <c r="AP88" s="14">
        <f ca="1"/>
      </c>
      <c r="AQ88" s="14">
        <f ca="1"/>
      </c>
      <c r="AR88" s="14">
        <f ca="1"/>
      </c>
      <c r="AV88" s="14">
        <f ca="1"/>
      </c>
      <c r="AW88" s="14">
        <f ca="1"/>
      </c>
      <c r="AX88" s="14">
        <f ca="1"/>
      </c>
      <c r="AY88" s="14">
        <f ca="1"/>
      </c>
      <c r="AZ88" s="14">
        <f ca="1"/>
      </c>
      <c r="BB88">
        <f ca="1"/>
      </c>
      <c r="BC88">
        <f ca="1"/>
      </c>
      <c r="BD88">
        <f ca="1"/>
      </c>
      <c r="BF88" s="7">
        <f ca="1"/>
      </c>
      <c r="BG88" s="14">
        <f ca="1"/>
      </c>
      <c r="BH88" s="14">
        <f ca="1"/>
      </c>
      <c r="BI88" s="14">
        <f ca="1"/>
      </c>
      <c r="BJ88" s="14">
        <f ca="1"/>
      </c>
      <c r="BK88" s="14">
        <f ca="1"/>
      </c>
    </row>
    <row r="89" spans="28:63" x14ac:dyDescent="0.55000000000000004">
      <c r="AB89">
        <f ca="1"/>
      </c>
      <c r="AC89">
        <f ca="1"/>
      </c>
      <c r="AD89">
        <f ca="1"/>
      </c>
      <c r="AE89">
        <f ca="1"/>
      </c>
      <c r="AF89">
        <f ca="1"/>
      </c>
      <c r="AG89">
        <f ca="1"/>
      </c>
      <c r="AH89">
        <f ca="1"/>
      </c>
      <c r="AL89" s="7">
        <f ca="1"/>
      </c>
      <c r="AM89" s="14">
        <f ca="1"/>
      </c>
      <c r="AN89" s="14">
        <f ca="1"/>
      </c>
      <c r="AO89" s="14">
        <f ca="1"/>
      </c>
      <c r="AP89" s="14">
        <f ca="1"/>
      </c>
      <c r="AQ89" s="14">
        <f ca="1"/>
      </c>
      <c r="AR89" s="14">
        <f ca="1"/>
      </c>
      <c r="AV89" s="14">
        <f ca="1"/>
      </c>
      <c r="AW89" s="14">
        <f ca="1"/>
      </c>
      <c r="AX89" s="14">
        <f ca="1"/>
      </c>
      <c r="AY89" s="14">
        <f ca="1"/>
      </c>
      <c r="AZ89" s="14">
        <f ca="1"/>
      </c>
      <c r="BB89">
        <f ca="1"/>
      </c>
      <c r="BC89">
        <f ca="1"/>
      </c>
      <c r="BD89">
        <f ca="1"/>
      </c>
      <c r="BF89" s="7">
        <f ca="1"/>
      </c>
      <c r="BG89" s="14">
        <f ca="1"/>
      </c>
      <c r="BH89" s="14">
        <f ca="1"/>
      </c>
      <c r="BI89" s="14">
        <f ca="1"/>
      </c>
      <c r="BJ89" s="14">
        <f ca="1"/>
      </c>
      <c r="BK89" s="14">
        <f ca="1"/>
      </c>
    </row>
    <row r="90" spans="28:63" x14ac:dyDescent="0.55000000000000004">
      <c r="AB90">
        <f ca="1"/>
      </c>
      <c r="AC90">
        <f ca="1"/>
      </c>
      <c r="AD90">
        <f ca="1"/>
      </c>
      <c r="AE90">
        <f ca="1"/>
      </c>
      <c r="AF90">
        <f ca="1"/>
      </c>
      <c r="AG90">
        <f ca="1"/>
      </c>
      <c r="AH90">
        <f ca="1"/>
      </c>
      <c r="AL90" s="7">
        <f ca="1"/>
      </c>
      <c r="AM90" s="14">
        <f ca="1"/>
      </c>
      <c r="AN90" s="14">
        <f ca="1"/>
      </c>
      <c r="AO90" s="14">
        <f ca="1"/>
      </c>
      <c r="AP90" s="14">
        <f ca="1"/>
      </c>
      <c r="AQ90" s="14">
        <f ca="1"/>
      </c>
      <c r="AR90" s="14">
        <f ca="1"/>
      </c>
      <c r="AV90" s="14">
        <f ca="1"/>
      </c>
      <c r="AW90" s="14">
        <f ca="1"/>
      </c>
      <c r="AX90" s="14">
        <f ca="1"/>
      </c>
      <c r="AY90" s="14">
        <f ca="1"/>
      </c>
      <c r="AZ90" s="14">
        <f ca="1"/>
      </c>
      <c r="BB90">
        <f ca="1"/>
      </c>
      <c r="BC90">
        <f ca="1"/>
      </c>
      <c r="BD90">
        <f ca="1"/>
      </c>
      <c r="BF90" s="7">
        <f ca="1"/>
      </c>
      <c r="BG90" s="14">
        <f ca="1"/>
      </c>
      <c r="BH90" s="14">
        <f ca="1"/>
      </c>
      <c r="BI90" s="14">
        <f ca="1"/>
      </c>
      <c r="BJ90" s="14">
        <f ca="1"/>
      </c>
      <c r="BK90" s="14">
        <f ca="1"/>
      </c>
    </row>
    <row r="91" spans="28:63" x14ac:dyDescent="0.55000000000000004">
      <c r="AB91">
        <f ca="1"/>
      </c>
      <c r="AC91">
        <f ca="1"/>
      </c>
      <c r="AD91">
        <f ca="1"/>
      </c>
      <c r="AE91">
        <f ca="1"/>
      </c>
      <c r="AF91">
        <f ca="1"/>
      </c>
      <c r="AG91">
        <f ca="1"/>
      </c>
      <c r="AH91">
        <f ca="1"/>
      </c>
      <c r="AL91" s="7">
        <f ca="1"/>
      </c>
      <c r="AM91" s="14">
        <f ca="1"/>
      </c>
      <c r="AN91" s="14">
        <f ca="1"/>
      </c>
      <c r="AO91" s="14">
        <f ca="1"/>
      </c>
      <c r="AP91" s="14">
        <f ca="1"/>
      </c>
      <c r="AQ91" s="14">
        <f ca="1"/>
      </c>
      <c r="AR91" s="14">
        <f ca="1"/>
      </c>
      <c r="AV91" s="14">
        <f ca="1"/>
      </c>
      <c r="AW91" s="14">
        <f ca="1"/>
      </c>
      <c r="AX91" s="14">
        <f ca="1"/>
      </c>
      <c r="AY91" s="14">
        <f ca="1"/>
      </c>
      <c r="AZ91" s="14">
        <f ca="1"/>
      </c>
      <c r="BB91">
        <f ca="1"/>
      </c>
      <c r="BC91">
        <f ca="1"/>
      </c>
      <c r="BD91">
        <f ca="1"/>
      </c>
      <c r="BF91" s="7">
        <f ca="1"/>
      </c>
      <c r="BG91" s="14">
        <f ca="1"/>
      </c>
      <c r="BH91" s="14">
        <f ca="1"/>
      </c>
      <c r="BI91" s="14">
        <f ca="1"/>
      </c>
      <c r="BJ91" s="14">
        <f ca="1"/>
      </c>
      <c r="BK91" s="14">
        <f ca="1"/>
      </c>
    </row>
    <row r="92" spans="28:63" x14ac:dyDescent="0.55000000000000004">
      <c r="AB92">
        <f ca="1"/>
      </c>
      <c r="AC92">
        <f ca="1"/>
      </c>
      <c r="AD92">
        <f ca="1"/>
      </c>
      <c r="AE92">
        <f ca="1"/>
      </c>
      <c r="AF92">
        <f ca="1"/>
      </c>
      <c r="AG92">
        <f ca="1"/>
      </c>
      <c r="AH92">
        <f ca="1"/>
      </c>
      <c r="AL92" s="7">
        <f ca="1"/>
      </c>
      <c r="AM92" s="14">
        <f ca="1"/>
      </c>
      <c r="AN92" s="14">
        <f ca="1"/>
      </c>
      <c r="AO92" s="14">
        <f ca="1"/>
      </c>
      <c r="AP92" s="14">
        <f ca="1"/>
      </c>
      <c r="AQ92" s="14">
        <f ca="1"/>
      </c>
      <c r="AR92" s="14">
        <f ca="1"/>
      </c>
      <c r="AV92" s="14">
        <f ca="1"/>
      </c>
      <c r="AW92" s="14">
        <f ca="1"/>
      </c>
      <c r="AX92" s="14">
        <f ca="1"/>
      </c>
      <c r="AY92" s="14">
        <f ca="1"/>
      </c>
      <c r="AZ92" s="14">
        <f ca="1"/>
      </c>
      <c r="BB92">
        <f ca="1"/>
      </c>
      <c r="BC92">
        <f ca="1"/>
      </c>
      <c r="BD92">
        <f ca="1"/>
      </c>
      <c r="BF92" s="7">
        <f ca="1"/>
      </c>
      <c r="BG92" s="14">
        <f ca="1"/>
      </c>
      <c r="BH92" s="14">
        <f ca="1"/>
      </c>
      <c r="BI92" s="14">
        <f ca="1"/>
      </c>
      <c r="BJ92" s="14">
        <f ca="1"/>
      </c>
      <c r="BK92" s="14">
        <f ca="1"/>
      </c>
    </row>
    <row r="93" spans="28:63" x14ac:dyDescent="0.55000000000000004">
      <c r="AB93">
        <f ca="1"/>
      </c>
      <c r="AC93">
        <f ca="1"/>
      </c>
      <c r="AD93">
        <f ca="1"/>
      </c>
      <c r="AE93">
        <f ca="1"/>
      </c>
      <c r="AF93">
        <f ca="1"/>
      </c>
      <c r="AG93">
        <f ca="1"/>
      </c>
      <c r="AH93">
        <f ca="1"/>
      </c>
      <c r="AL93" s="7">
        <f ca="1"/>
      </c>
      <c r="AM93" s="14">
        <f ca="1"/>
      </c>
      <c r="AN93" s="14">
        <f ca="1"/>
      </c>
      <c r="AO93" s="14">
        <f ca="1"/>
      </c>
      <c r="AP93" s="14">
        <f ca="1"/>
      </c>
      <c r="AQ93" s="14">
        <f ca="1"/>
      </c>
      <c r="AR93" s="14">
        <f ca="1"/>
      </c>
      <c r="AV93" s="14">
        <f ca="1"/>
      </c>
      <c r="AW93" s="14">
        <f ca="1"/>
      </c>
      <c r="AX93" s="14">
        <f ca="1"/>
      </c>
      <c r="AY93" s="14">
        <f ca="1"/>
      </c>
      <c r="AZ93" s="14">
        <f ca="1"/>
      </c>
      <c r="BB93">
        <f ca="1"/>
      </c>
      <c r="BC93">
        <f ca="1"/>
      </c>
      <c r="BD93">
        <f ca="1"/>
      </c>
      <c r="BF93" s="7">
        <f ca="1"/>
      </c>
      <c r="BG93" s="14">
        <f ca="1"/>
      </c>
      <c r="BH93" s="14">
        <f ca="1"/>
      </c>
      <c r="BI93" s="14">
        <f ca="1"/>
      </c>
      <c r="BJ93" s="14">
        <f ca="1"/>
      </c>
      <c r="BK93" s="14">
        <f ca="1"/>
      </c>
    </row>
    <row r="94" spans="28:63" x14ac:dyDescent="0.55000000000000004">
      <c r="AB94">
        <f ca="1"/>
      </c>
      <c r="AC94">
        <f ca="1"/>
      </c>
      <c r="AD94">
        <f ca="1"/>
      </c>
      <c r="AE94">
        <f ca="1"/>
      </c>
      <c r="AF94">
        <f ca="1"/>
      </c>
      <c r="AG94">
        <f ca="1"/>
      </c>
      <c r="AH94">
        <f ca="1"/>
      </c>
      <c r="AL94" s="7">
        <f ca="1"/>
      </c>
      <c r="AM94" s="14">
        <f ca="1"/>
      </c>
      <c r="AN94" s="14">
        <f ca="1"/>
      </c>
      <c r="AO94" s="14">
        <f ca="1"/>
      </c>
      <c r="AP94" s="14">
        <f ca="1"/>
      </c>
      <c r="AQ94" s="14">
        <f ca="1"/>
      </c>
      <c r="AR94" s="14">
        <f ca="1"/>
      </c>
      <c r="AV94" s="14">
        <f ca="1"/>
      </c>
      <c r="AW94" s="14">
        <f ca="1"/>
      </c>
      <c r="AX94" s="14">
        <f ca="1"/>
      </c>
      <c r="AY94" s="14">
        <f ca="1"/>
      </c>
      <c r="AZ94" s="14">
        <f ca="1"/>
      </c>
      <c r="BB94">
        <f ca="1"/>
      </c>
      <c r="BC94">
        <f ca="1"/>
      </c>
      <c r="BD94">
        <f ca="1"/>
      </c>
      <c r="BF94" s="7">
        <f ca="1"/>
      </c>
      <c r="BG94" s="14">
        <f ca="1"/>
      </c>
      <c r="BH94" s="14">
        <f ca="1"/>
      </c>
      <c r="BI94" s="14">
        <f ca="1"/>
      </c>
      <c r="BJ94" s="14">
        <f ca="1"/>
      </c>
      <c r="BK94" s="14">
        <f ca="1"/>
      </c>
    </row>
    <row r="95" spans="28:63" x14ac:dyDescent="0.55000000000000004">
      <c r="AB95">
        <f ca="1"/>
      </c>
      <c r="AC95">
        <f ca="1"/>
      </c>
      <c r="AD95">
        <f ca="1"/>
      </c>
      <c r="AE95">
        <f ca="1"/>
      </c>
      <c r="AF95">
        <f ca="1"/>
      </c>
      <c r="AG95">
        <f ca="1"/>
      </c>
      <c r="AH95">
        <f ca="1"/>
      </c>
      <c r="AL95" s="7">
        <f ca="1"/>
      </c>
      <c r="AM95" s="14">
        <f ca="1"/>
      </c>
      <c r="AN95" s="14">
        <f ca="1"/>
      </c>
      <c r="AO95" s="14">
        <f ca="1"/>
      </c>
      <c r="AP95" s="14">
        <f ca="1"/>
      </c>
      <c r="AQ95" s="14">
        <f ca="1"/>
      </c>
      <c r="AR95" s="14">
        <f ca="1"/>
      </c>
      <c r="AV95" s="14">
        <f ca="1"/>
      </c>
      <c r="AW95" s="14">
        <f ca="1"/>
      </c>
      <c r="AX95" s="14">
        <f ca="1"/>
      </c>
      <c r="AY95" s="14">
        <f ca="1"/>
      </c>
      <c r="AZ95" s="14">
        <f ca="1"/>
      </c>
      <c r="BB95">
        <f ca="1"/>
      </c>
      <c r="BC95">
        <f ca="1"/>
      </c>
      <c r="BD95">
        <f ca="1"/>
      </c>
      <c r="BF95" s="7">
        <f ca="1"/>
      </c>
      <c r="BG95" s="14">
        <f ca="1"/>
      </c>
      <c r="BH95" s="14">
        <f ca="1"/>
      </c>
      <c r="BI95" s="14">
        <f ca="1"/>
      </c>
      <c r="BJ95" s="14">
        <f ca="1"/>
      </c>
      <c r="BK95" s="14">
        <f ca="1"/>
      </c>
    </row>
    <row r="96" spans="28:63" x14ac:dyDescent="0.55000000000000004">
      <c r="AB96">
        <f ca="1"/>
      </c>
      <c r="AC96">
        <f ca="1"/>
      </c>
      <c r="AD96">
        <f ca="1"/>
      </c>
      <c r="AE96">
        <f ca="1"/>
      </c>
      <c r="AF96">
        <f ca="1"/>
      </c>
      <c r="AG96">
        <f ca="1"/>
      </c>
      <c r="AH96">
        <f ca="1"/>
      </c>
      <c r="AL96" s="7">
        <f ca="1"/>
      </c>
      <c r="AM96" s="14">
        <f ca="1"/>
      </c>
      <c r="AN96" s="14">
        <f ca="1"/>
      </c>
      <c r="AO96" s="14">
        <f ca="1"/>
      </c>
      <c r="AP96" s="14">
        <f ca="1"/>
      </c>
      <c r="AQ96" s="14">
        <f ca="1"/>
      </c>
      <c r="AR96" s="14">
        <f ca="1"/>
      </c>
      <c r="AV96" s="14">
        <f ca="1"/>
      </c>
      <c r="AW96" s="14">
        <f ca="1"/>
      </c>
      <c r="AX96" s="14">
        <f ca="1"/>
      </c>
      <c r="AY96" s="14">
        <f ca="1"/>
      </c>
      <c r="AZ96" s="14">
        <f ca="1"/>
      </c>
      <c r="BB96">
        <f ca="1"/>
      </c>
      <c r="BC96">
        <f ca="1"/>
      </c>
      <c r="BD96">
        <f ca="1"/>
      </c>
      <c r="BF96" s="7">
        <f ca="1"/>
      </c>
      <c r="BG96" s="14">
        <f ca="1"/>
      </c>
      <c r="BH96" s="14">
        <f ca="1"/>
      </c>
      <c r="BI96" s="14">
        <f ca="1"/>
      </c>
      <c r="BJ96" s="14">
        <f ca="1"/>
      </c>
      <c r="BK96" s="14">
        <f ca="1"/>
      </c>
    </row>
    <row r="97" spans="28:63" x14ac:dyDescent="0.55000000000000004">
      <c r="AB97">
        <f ca="1"/>
      </c>
      <c r="AC97">
        <f ca="1"/>
      </c>
      <c r="AD97">
        <f ca="1"/>
      </c>
      <c r="AE97">
        <f ca="1"/>
      </c>
      <c r="AF97">
        <f ca="1"/>
      </c>
      <c r="AG97">
        <f ca="1"/>
      </c>
      <c r="AH97">
        <f ca="1"/>
      </c>
      <c r="AL97" s="7">
        <f ca="1"/>
      </c>
      <c r="AM97" s="14">
        <f ca="1"/>
      </c>
      <c r="AN97" s="14">
        <f ca="1"/>
      </c>
      <c r="AO97" s="14">
        <f ca="1"/>
      </c>
      <c r="AP97" s="14">
        <f ca="1"/>
      </c>
      <c r="AQ97" s="14">
        <f ca="1"/>
      </c>
      <c r="AR97" s="14">
        <f ca="1"/>
      </c>
      <c r="AV97" s="14">
        <f ca="1"/>
      </c>
      <c r="AW97" s="14">
        <f ca="1"/>
      </c>
      <c r="AX97" s="14">
        <f ca="1"/>
      </c>
      <c r="AY97" s="14">
        <f ca="1"/>
      </c>
      <c r="AZ97" s="14">
        <f ca="1"/>
      </c>
      <c r="BB97">
        <f ca="1"/>
      </c>
      <c r="BC97">
        <f ca="1"/>
      </c>
      <c r="BD97">
        <f ca="1"/>
      </c>
      <c r="BF97" s="7">
        <f ca="1"/>
      </c>
      <c r="BG97" s="14">
        <f ca="1"/>
      </c>
      <c r="BH97" s="14">
        <f ca="1"/>
      </c>
      <c r="BI97" s="14">
        <f ca="1"/>
      </c>
      <c r="BJ97" s="14">
        <f ca="1"/>
      </c>
      <c r="BK97" s="14">
        <f ca="1"/>
      </c>
    </row>
    <row r="98" spans="28:63" x14ac:dyDescent="0.55000000000000004">
      <c r="AB98">
        <f ca="1"/>
      </c>
      <c r="AC98">
        <f ca="1"/>
      </c>
      <c r="AD98">
        <f ca="1"/>
      </c>
      <c r="AE98">
        <f ca="1"/>
      </c>
      <c r="AF98">
        <f ca="1"/>
      </c>
      <c r="AG98">
        <f ca="1"/>
      </c>
      <c r="AH98">
        <f ca="1"/>
      </c>
      <c r="AL98" s="7">
        <f ca="1"/>
      </c>
      <c r="AM98" s="14">
        <f ca="1"/>
      </c>
      <c r="AN98" s="14">
        <f ca="1"/>
      </c>
      <c r="AO98" s="14">
        <f ca="1"/>
      </c>
      <c r="AP98" s="14">
        <f ca="1"/>
      </c>
      <c r="AQ98" s="14">
        <f ca="1"/>
      </c>
      <c r="AR98" s="14">
        <f ca="1"/>
      </c>
      <c r="AV98" s="14">
        <f ca="1"/>
      </c>
      <c r="AW98" s="14">
        <f ca="1"/>
      </c>
      <c r="AX98" s="14">
        <f ca="1"/>
      </c>
      <c r="AY98" s="14">
        <f ca="1"/>
      </c>
      <c r="AZ98" s="14">
        <f ca="1"/>
      </c>
      <c r="BB98">
        <f ca="1"/>
      </c>
      <c r="BC98">
        <f ca="1"/>
      </c>
      <c r="BD98">
        <f ca="1"/>
      </c>
      <c r="BF98" s="7">
        <f ca="1"/>
      </c>
      <c r="BG98" s="14">
        <f ca="1"/>
      </c>
      <c r="BH98" s="14">
        <f ca="1"/>
      </c>
      <c r="BI98" s="14">
        <f ca="1"/>
      </c>
      <c r="BJ98" s="14">
        <f ca="1"/>
      </c>
      <c r="BK98" s="14">
        <f ca="1"/>
      </c>
    </row>
    <row r="99" spans="28:63" x14ac:dyDescent="0.55000000000000004">
      <c r="AB99">
        <f ca="1"/>
      </c>
      <c r="AC99">
        <f ca="1"/>
      </c>
      <c r="AD99">
        <f ca="1"/>
      </c>
      <c r="AE99">
        <f ca="1"/>
      </c>
      <c r="AF99">
        <f ca="1"/>
      </c>
      <c r="AG99">
        <f ca="1"/>
      </c>
      <c r="AH99">
        <f ca="1"/>
      </c>
      <c r="AL99" s="7">
        <f ca="1"/>
      </c>
      <c r="AM99" s="14">
        <f ca="1"/>
      </c>
      <c r="AN99" s="14">
        <f ca="1"/>
      </c>
      <c r="AO99" s="14">
        <f ca="1"/>
      </c>
      <c r="AP99" s="14">
        <f ca="1"/>
      </c>
      <c r="AQ99" s="14">
        <f ca="1"/>
      </c>
      <c r="AR99" s="14">
        <f ca="1"/>
      </c>
      <c r="AV99" s="14">
        <f ca="1"/>
      </c>
      <c r="AW99" s="14">
        <f ca="1"/>
      </c>
      <c r="AX99" s="14">
        <f ca="1"/>
      </c>
      <c r="AY99" s="14">
        <f ca="1"/>
      </c>
      <c r="AZ99" s="14">
        <f ca="1"/>
      </c>
      <c r="BB99">
        <f ca="1"/>
      </c>
      <c r="BC99">
        <f ca="1"/>
      </c>
      <c r="BD99">
        <f ca="1"/>
      </c>
      <c r="BF99" s="7">
        <f ca="1"/>
      </c>
      <c r="BG99" s="14">
        <f ca="1"/>
      </c>
      <c r="BH99" s="14">
        <f ca="1"/>
      </c>
      <c r="BI99" s="14">
        <f ca="1"/>
      </c>
      <c r="BJ99" s="14">
        <f ca="1"/>
      </c>
      <c r="BK99" s="14">
        <f ca="1"/>
      </c>
    </row>
    <row r="100" spans="28:63" x14ac:dyDescent="0.55000000000000004">
      <c r="AB100">
        <f ca="1"/>
      </c>
      <c r="AC100">
        <f ca="1"/>
      </c>
      <c r="AD100">
        <f ca="1"/>
      </c>
      <c r="AE100">
        <f ca="1"/>
      </c>
      <c r="AF100">
        <f ca="1"/>
      </c>
      <c r="AG100">
        <f ca="1"/>
      </c>
      <c r="AH100">
        <f ca="1"/>
      </c>
      <c r="AL100" s="7">
        <f ca="1"/>
      </c>
      <c r="AM100" s="14">
        <f ca="1"/>
      </c>
      <c r="AN100" s="14">
        <f ca="1"/>
      </c>
      <c r="AO100" s="14">
        <f ca="1"/>
      </c>
      <c r="AP100" s="14">
        <f ca="1"/>
      </c>
      <c r="AQ100" s="14">
        <f ca="1"/>
      </c>
      <c r="AR100" s="14">
        <f ca="1"/>
      </c>
      <c r="AV100" s="14">
        <f ca="1"/>
      </c>
      <c r="AW100" s="14">
        <f ca="1"/>
      </c>
      <c r="AX100" s="14">
        <f ca="1"/>
      </c>
      <c r="AY100" s="14">
        <f ca="1"/>
      </c>
      <c r="AZ100" s="14">
        <f ca="1"/>
      </c>
      <c r="BB100">
        <f ca="1"/>
      </c>
      <c r="BC100">
        <f ca="1"/>
      </c>
      <c r="BD100">
        <f ca="1"/>
      </c>
      <c r="BF100" s="7">
        <f ca="1"/>
      </c>
      <c r="BG100" s="14">
        <f ca="1"/>
      </c>
      <c r="BH100" s="14">
        <f ca="1"/>
      </c>
      <c r="BI100" s="14">
        <f ca="1"/>
      </c>
      <c r="BJ100" s="14">
        <f ca="1"/>
      </c>
      <c r="BK100" s="14">
        <f ca="1"/>
      </c>
    </row>
    <row r="101" spans="28:63" x14ac:dyDescent="0.55000000000000004">
      <c r="AB101">
        <f ca="1"/>
      </c>
      <c r="AC101">
        <f ca="1"/>
      </c>
      <c r="AD101">
        <f ca="1"/>
      </c>
      <c r="AE101">
        <f ca="1"/>
      </c>
      <c r="AF101">
        <f ca="1"/>
      </c>
      <c r="AG101">
        <f ca="1"/>
      </c>
      <c r="AH101">
        <f ca="1"/>
      </c>
      <c r="AL101" s="7">
        <f ca="1"/>
      </c>
      <c r="AM101" s="14">
        <f ca="1"/>
      </c>
      <c r="AN101" s="14">
        <f ca="1"/>
      </c>
      <c r="AO101" s="14">
        <f ca="1"/>
      </c>
      <c r="AP101" s="14">
        <f ca="1"/>
      </c>
      <c r="AQ101" s="14">
        <f ca="1"/>
      </c>
      <c r="AR101" s="14">
        <f ca="1"/>
      </c>
      <c r="AV101" s="14">
        <f ca="1"/>
      </c>
      <c r="AW101" s="14">
        <f ca="1"/>
      </c>
      <c r="AX101" s="14">
        <f ca="1"/>
      </c>
      <c r="AY101" s="14">
        <f ca="1"/>
      </c>
      <c r="AZ101" s="14">
        <f ca="1"/>
      </c>
      <c r="BB101">
        <f ca="1"/>
      </c>
      <c r="BC101">
        <f ca="1"/>
      </c>
      <c r="BD101">
        <f ca="1"/>
      </c>
      <c r="BF101" s="7">
        <f ca="1"/>
      </c>
      <c r="BG101" s="14">
        <f ca="1"/>
      </c>
      <c r="BH101" s="14">
        <f ca="1"/>
      </c>
      <c r="BI101" s="14">
        <f ca="1"/>
      </c>
      <c r="BJ101" s="14">
        <f ca="1"/>
      </c>
      <c r="BK101" s="14">
        <f ca="1"/>
      </c>
    </row>
    <row r="102" spans="28:63" x14ac:dyDescent="0.55000000000000004">
      <c r="AB102">
        <f ca="1"/>
      </c>
      <c r="AC102">
        <f ca="1"/>
      </c>
      <c r="AD102">
        <f ca="1"/>
      </c>
      <c r="AE102">
        <f ca="1"/>
      </c>
      <c r="AF102">
        <f ca="1"/>
      </c>
      <c r="AG102">
        <f ca="1"/>
      </c>
      <c r="AH102">
        <f ca="1"/>
      </c>
      <c r="AL102" s="7">
        <f ca="1"/>
      </c>
      <c r="AM102" s="14">
        <f ca="1"/>
      </c>
      <c r="AN102" s="14">
        <f ca="1"/>
      </c>
      <c r="AO102" s="14">
        <f ca="1"/>
      </c>
      <c r="AP102" s="14">
        <f ca="1"/>
      </c>
      <c r="AQ102" s="14">
        <f ca="1"/>
      </c>
      <c r="AR102" s="14">
        <f ca="1"/>
      </c>
      <c r="AV102" s="14">
        <f ca="1"/>
      </c>
      <c r="AW102" s="14">
        <f ca="1"/>
      </c>
      <c r="AX102" s="14">
        <f ca="1"/>
      </c>
      <c r="AY102" s="14">
        <f ca="1"/>
      </c>
      <c r="AZ102" s="14">
        <f ca="1"/>
      </c>
      <c r="BB102">
        <f ca="1"/>
      </c>
      <c r="BC102">
        <f ca="1"/>
      </c>
      <c r="BD102">
        <f ca="1"/>
      </c>
      <c r="BF102" s="7">
        <f ca="1"/>
      </c>
      <c r="BG102" s="14">
        <f ca="1"/>
      </c>
      <c r="BH102" s="14">
        <f ca="1"/>
      </c>
      <c r="BI102" s="14">
        <f ca="1"/>
      </c>
      <c r="BJ102" s="14">
        <f ca="1"/>
      </c>
      <c r="BK102" s="14">
        <f ca="1"/>
      </c>
    </row>
    <row r="103" spans="28:63" x14ac:dyDescent="0.55000000000000004">
      <c r="AB103">
        <f ca="1"/>
      </c>
      <c r="AC103">
        <f ca="1"/>
      </c>
      <c r="AD103">
        <f ca="1"/>
      </c>
      <c r="AE103">
        <f ca="1"/>
      </c>
      <c r="AF103">
        <f ca="1"/>
      </c>
      <c r="AG103">
        <f ca="1"/>
      </c>
      <c r="AH103">
        <f ca="1"/>
      </c>
      <c r="AL103" s="7">
        <f ca="1"/>
      </c>
      <c r="AM103" s="14">
        <f ca="1"/>
      </c>
      <c r="AN103" s="14">
        <f ca="1"/>
      </c>
      <c r="AO103" s="14">
        <f ca="1"/>
      </c>
      <c r="AP103" s="14">
        <f ca="1"/>
      </c>
      <c r="AQ103" s="14">
        <f ca="1"/>
      </c>
      <c r="AR103" s="14">
        <f ca="1"/>
      </c>
      <c r="AV103" s="14">
        <f ca="1"/>
      </c>
      <c r="AW103" s="14">
        <f ca="1"/>
      </c>
      <c r="AX103" s="14">
        <f ca="1"/>
      </c>
      <c r="AY103" s="14">
        <f ca="1"/>
      </c>
      <c r="AZ103" s="14">
        <f ca="1"/>
      </c>
      <c r="BB103">
        <f ca="1"/>
      </c>
      <c r="BC103">
        <f ca="1"/>
      </c>
      <c r="BD103">
        <f ca="1"/>
      </c>
      <c r="BF103" s="7">
        <f ca="1"/>
      </c>
      <c r="BG103" s="14">
        <f ca="1"/>
      </c>
      <c r="BH103" s="14">
        <f ca="1"/>
      </c>
      <c r="BI103" s="14">
        <f ca="1"/>
      </c>
      <c r="BJ103" s="14">
        <f ca="1"/>
      </c>
      <c r="BK103" s="14">
        <f ca="1"/>
      </c>
    </row>
    <row r="104" spans="28:63" x14ac:dyDescent="0.55000000000000004">
      <c r="AB104">
        <f ca="1"/>
      </c>
      <c r="AC104">
        <f ca="1"/>
      </c>
      <c r="AD104">
        <f ca="1"/>
      </c>
      <c r="AE104">
        <f ca="1"/>
      </c>
      <c r="AF104">
        <f ca="1"/>
      </c>
      <c r="AG104">
        <f ca="1"/>
      </c>
      <c r="AH104">
        <f ca="1"/>
      </c>
      <c r="AL104" s="7">
        <f ca="1"/>
      </c>
      <c r="AM104" s="14">
        <f ca="1"/>
      </c>
      <c r="AN104" s="14">
        <f ca="1"/>
      </c>
      <c r="AO104" s="14">
        <f ca="1"/>
      </c>
      <c r="AP104" s="14">
        <f ca="1"/>
      </c>
      <c r="AQ104" s="14">
        <f ca="1"/>
      </c>
      <c r="AR104" s="14">
        <f ca="1"/>
      </c>
      <c r="AV104" s="14">
        <f ca="1"/>
      </c>
      <c r="AW104" s="14">
        <f ca="1"/>
      </c>
      <c r="AX104" s="14">
        <f ca="1"/>
      </c>
      <c r="AY104" s="14">
        <f ca="1"/>
      </c>
      <c r="AZ104" s="14">
        <f ca="1"/>
      </c>
      <c r="BB104">
        <f ca="1"/>
      </c>
      <c r="BC104">
        <f ca="1"/>
      </c>
      <c r="BD104">
        <f ca="1"/>
      </c>
      <c r="BF104" s="7">
        <f ca="1"/>
      </c>
      <c r="BG104" s="14">
        <f ca="1"/>
      </c>
      <c r="BH104" s="14">
        <f ca="1"/>
      </c>
      <c r="BI104" s="14">
        <f ca="1"/>
      </c>
      <c r="BJ104" s="14">
        <f ca="1"/>
      </c>
      <c r="BK104" s="14">
        <f ca="1"/>
      </c>
    </row>
    <row r="105" spans="28:63" x14ac:dyDescent="0.55000000000000004">
      <c r="AB105">
        <f ca="1"/>
      </c>
      <c r="AC105">
        <f ca="1"/>
      </c>
      <c r="AD105">
        <f ca="1"/>
      </c>
      <c r="AE105">
        <f ca="1"/>
      </c>
      <c r="AF105">
        <f ca="1"/>
      </c>
      <c r="AG105">
        <f ca="1"/>
      </c>
      <c r="AH105">
        <f ca="1"/>
      </c>
      <c r="AL105" s="7">
        <f ca="1"/>
      </c>
      <c r="AM105" s="14">
        <f ca="1"/>
      </c>
      <c r="AN105" s="14">
        <f ca="1"/>
      </c>
      <c r="AO105" s="14">
        <f ca="1"/>
      </c>
      <c r="AP105" s="14">
        <f ca="1"/>
      </c>
      <c r="AQ105" s="14">
        <f ca="1"/>
      </c>
      <c r="AR105" s="14">
        <f ca="1"/>
      </c>
      <c r="AV105" s="14">
        <f ca="1"/>
      </c>
      <c r="AW105" s="14">
        <f ca="1"/>
      </c>
      <c r="AX105" s="14">
        <f ca="1"/>
      </c>
      <c r="AY105" s="14">
        <f ca="1"/>
      </c>
      <c r="AZ105" s="14">
        <f ca="1"/>
      </c>
      <c r="BB105">
        <f ca="1"/>
      </c>
      <c r="BC105">
        <f ca="1"/>
      </c>
      <c r="BD105">
        <f ca="1"/>
      </c>
      <c r="BF105" s="7">
        <f ca="1"/>
      </c>
      <c r="BG105" s="14">
        <f ca="1"/>
      </c>
      <c r="BH105" s="14">
        <f ca="1"/>
      </c>
      <c r="BI105" s="14">
        <f ca="1"/>
      </c>
      <c r="BJ105" s="14">
        <f ca="1"/>
      </c>
      <c r="BK105" s="14">
        <f ca="1"/>
      </c>
    </row>
    <row r="106" spans="28:63" x14ac:dyDescent="0.55000000000000004">
      <c r="AB106">
        <f ca="1"/>
      </c>
      <c r="AC106">
        <f ca="1"/>
      </c>
      <c r="AD106">
        <f ca="1"/>
      </c>
      <c r="AE106">
        <f ca="1"/>
      </c>
      <c r="AF106">
        <f ca="1"/>
      </c>
      <c r="AG106">
        <f ca="1"/>
      </c>
      <c r="AH106">
        <f ca="1"/>
      </c>
      <c r="AL106" s="7">
        <f ca="1"/>
      </c>
      <c r="AM106" s="14">
        <f ca="1"/>
      </c>
      <c r="AN106" s="14">
        <f ca="1"/>
      </c>
      <c r="AO106" s="14">
        <f ca="1"/>
      </c>
      <c r="AP106" s="14">
        <f ca="1"/>
      </c>
      <c r="AQ106" s="14">
        <f ca="1"/>
      </c>
      <c r="AR106" s="14">
        <f ca="1"/>
      </c>
      <c r="AV106" s="14">
        <f ca="1"/>
      </c>
      <c r="AW106" s="14">
        <f ca="1"/>
      </c>
      <c r="AX106" s="14">
        <f ca="1"/>
      </c>
      <c r="AY106" s="14">
        <f ca="1"/>
      </c>
      <c r="AZ106" s="14">
        <f ca="1"/>
      </c>
      <c r="BB106">
        <f ca="1"/>
      </c>
      <c r="BC106">
        <f ca="1"/>
      </c>
      <c r="BD106">
        <f ca="1"/>
      </c>
      <c r="BF106" s="7">
        <f ca="1"/>
      </c>
      <c r="BG106" s="14">
        <f ca="1"/>
      </c>
      <c r="BH106" s="14">
        <f ca="1"/>
      </c>
      <c r="BI106" s="14">
        <f ca="1"/>
      </c>
      <c r="BJ106" s="14">
        <f ca="1"/>
      </c>
      <c r="BK106" s="14">
        <f ca="1"/>
      </c>
    </row>
    <row r="107" spans="28:63" x14ac:dyDescent="0.55000000000000004">
      <c r="AB107">
        <f ca="1"/>
      </c>
      <c r="AC107">
        <f ca="1"/>
      </c>
      <c r="AD107">
        <f ca="1"/>
      </c>
      <c r="AE107">
        <f ca="1"/>
      </c>
      <c r="AF107">
        <f ca="1"/>
      </c>
      <c r="AG107">
        <f ca="1"/>
      </c>
      <c r="AH107">
        <f ca="1"/>
      </c>
      <c r="AL107" s="7">
        <f ca="1"/>
      </c>
      <c r="AM107" s="14">
        <f ca="1"/>
      </c>
      <c r="AN107" s="14">
        <f ca="1"/>
      </c>
      <c r="AO107" s="14">
        <f ca="1"/>
      </c>
      <c r="AP107" s="14">
        <f ca="1"/>
      </c>
      <c r="AQ107" s="14">
        <f ca="1"/>
      </c>
      <c r="AR107" s="14">
        <f ca="1"/>
      </c>
      <c r="AV107" s="14">
        <f ca="1"/>
      </c>
      <c r="AW107" s="14">
        <f ca="1"/>
      </c>
      <c r="AX107" s="14">
        <f ca="1"/>
      </c>
      <c r="AY107" s="14">
        <f ca="1"/>
      </c>
      <c r="AZ107" s="14">
        <f ca="1"/>
      </c>
      <c r="BB107">
        <f ca="1"/>
      </c>
      <c r="BC107">
        <f ca="1"/>
      </c>
      <c r="BD107">
        <f ca="1"/>
      </c>
      <c r="BF107" s="7">
        <f ca="1"/>
      </c>
      <c r="BG107" s="14">
        <f ca="1"/>
      </c>
      <c r="BH107" s="14">
        <f ca="1"/>
      </c>
      <c r="BI107" s="14">
        <f ca="1"/>
      </c>
      <c r="BJ107" s="14">
        <f ca="1"/>
      </c>
      <c r="BK107" s="14">
        <f ca="1"/>
      </c>
    </row>
    <row r="108" spans="28:63" x14ac:dyDescent="0.55000000000000004">
      <c r="AB108">
        <f ca="1"/>
      </c>
      <c r="AC108">
        <f ca="1"/>
      </c>
      <c r="AD108">
        <f ca="1"/>
      </c>
      <c r="AE108">
        <f ca="1"/>
      </c>
      <c r="AF108">
        <f ca="1"/>
      </c>
      <c r="AG108">
        <f ca="1"/>
      </c>
      <c r="AH108">
        <f ca="1"/>
      </c>
      <c r="AL108" s="7">
        <f ca="1"/>
      </c>
      <c r="AM108" s="14">
        <f ca="1"/>
      </c>
      <c r="AN108" s="14">
        <f ca="1"/>
      </c>
      <c r="AO108" s="14">
        <f ca="1"/>
      </c>
      <c r="AP108" s="14">
        <f ca="1"/>
      </c>
      <c r="AQ108" s="14">
        <f ca="1"/>
      </c>
      <c r="AR108" s="14">
        <f ca="1"/>
      </c>
      <c r="AV108" s="14">
        <f ca="1"/>
      </c>
      <c r="AW108" s="14">
        <f ca="1"/>
      </c>
      <c r="AX108" s="14">
        <f ca="1"/>
      </c>
      <c r="AY108" s="14">
        <f ca="1"/>
      </c>
      <c r="AZ108" s="14">
        <f ca="1"/>
      </c>
      <c r="BB108">
        <f ca="1"/>
      </c>
      <c r="BC108">
        <f ca="1"/>
      </c>
      <c r="BD108">
        <f ca="1"/>
      </c>
      <c r="BF108" s="7">
        <f ca="1"/>
      </c>
      <c r="BG108" s="14">
        <f ca="1"/>
      </c>
      <c r="BH108" s="14">
        <f ca="1"/>
      </c>
      <c r="BI108" s="14">
        <f ca="1"/>
      </c>
      <c r="BJ108" s="14">
        <f ca="1"/>
      </c>
      <c r="BK108" s="14">
        <f ca="1"/>
      </c>
    </row>
    <row r="109" spans="28:63" x14ac:dyDescent="0.55000000000000004">
      <c r="AB109">
        <f ca="1"/>
      </c>
      <c r="AC109">
        <f ca="1"/>
      </c>
      <c r="AD109">
        <f ca="1"/>
      </c>
      <c r="AE109">
        <f ca="1"/>
      </c>
      <c r="AF109">
        <f ca="1"/>
      </c>
      <c r="AG109">
        <f ca="1"/>
      </c>
      <c r="AH109">
        <f ca="1"/>
      </c>
      <c r="AL109" s="7">
        <f ca="1"/>
      </c>
      <c r="AM109" s="14">
        <f ca="1"/>
      </c>
      <c r="AN109" s="14">
        <f ca="1"/>
      </c>
      <c r="AO109" s="14">
        <f ca="1"/>
      </c>
      <c r="AP109" s="14">
        <f ca="1"/>
      </c>
      <c r="AQ109" s="14">
        <f ca="1"/>
      </c>
      <c r="AR109" s="14">
        <f ca="1"/>
      </c>
      <c r="AV109" s="14">
        <f ca="1"/>
      </c>
      <c r="AW109" s="14">
        <f ca="1"/>
      </c>
      <c r="AX109" s="14">
        <f ca="1"/>
      </c>
      <c r="AY109" s="14">
        <f ca="1"/>
      </c>
      <c r="AZ109" s="14">
        <f ca="1"/>
      </c>
      <c r="BB109">
        <f ca="1"/>
      </c>
      <c r="BC109">
        <f ca="1"/>
      </c>
      <c r="BD109">
        <f ca="1"/>
      </c>
      <c r="BF109" s="7">
        <f ca="1"/>
      </c>
      <c r="BG109" s="14">
        <f ca="1"/>
      </c>
      <c r="BH109" s="14">
        <f ca="1"/>
      </c>
      <c r="BI109" s="14">
        <f ca="1"/>
      </c>
      <c r="BJ109" s="14">
        <f ca="1"/>
      </c>
      <c r="BK109" s="14">
        <f ca="1"/>
      </c>
    </row>
    <row r="110" spans="28:63" x14ac:dyDescent="0.55000000000000004">
      <c r="AB110">
        <f ca="1"/>
      </c>
      <c r="AC110">
        <f ca="1"/>
      </c>
      <c r="AD110">
        <f ca="1"/>
      </c>
      <c r="AE110">
        <f ca="1"/>
      </c>
      <c r="AF110">
        <f ca="1"/>
      </c>
      <c r="AG110">
        <f ca="1"/>
      </c>
      <c r="AH110">
        <f ca="1"/>
      </c>
      <c r="AL110" s="7">
        <f ca="1"/>
      </c>
      <c r="AM110" s="14">
        <f ca="1"/>
      </c>
      <c r="AN110" s="14">
        <f ca="1"/>
      </c>
      <c r="AO110" s="14">
        <f ca="1"/>
      </c>
      <c r="AP110" s="14">
        <f ca="1"/>
      </c>
      <c r="AQ110" s="14">
        <f ca="1"/>
      </c>
      <c r="AR110" s="14">
        <f ca="1"/>
      </c>
      <c r="AV110" s="14">
        <f ca="1"/>
      </c>
      <c r="AW110" s="14">
        <f ca="1"/>
      </c>
      <c r="AX110" s="14">
        <f ca="1"/>
      </c>
      <c r="AY110" s="14">
        <f ca="1"/>
      </c>
      <c r="AZ110" s="14">
        <f ca="1"/>
      </c>
      <c r="BB110">
        <f ca="1"/>
      </c>
      <c r="BC110">
        <f ca="1"/>
      </c>
      <c r="BD110">
        <f ca="1"/>
      </c>
      <c r="BF110" s="7">
        <f ca="1"/>
      </c>
      <c r="BG110" s="14">
        <f ca="1"/>
      </c>
      <c r="BH110" s="14">
        <f ca="1"/>
      </c>
      <c r="BI110" s="14">
        <f ca="1"/>
      </c>
      <c r="BJ110" s="14">
        <f ca="1"/>
      </c>
      <c r="BK110" s="14">
        <f ca="1"/>
      </c>
    </row>
    <row r="111" spans="28:63" x14ac:dyDescent="0.55000000000000004">
      <c r="AB111">
        <f ca="1"/>
      </c>
      <c r="AC111">
        <f ca="1"/>
      </c>
      <c r="AD111">
        <f ca="1"/>
      </c>
      <c r="AE111">
        <f ca="1"/>
      </c>
      <c r="AF111">
        <f ca="1"/>
      </c>
      <c r="AG111">
        <f ca="1"/>
      </c>
      <c r="AH111">
        <f ca="1"/>
      </c>
      <c r="AL111" s="7">
        <f ca="1"/>
      </c>
      <c r="AM111" s="14">
        <f ca="1"/>
      </c>
      <c r="AN111" s="14">
        <f ca="1"/>
      </c>
      <c r="AO111" s="14">
        <f ca="1"/>
      </c>
      <c r="AP111" s="14">
        <f ca="1"/>
      </c>
      <c r="AQ111" s="14">
        <f ca="1"/>
      </c>
      <c r="AR111" s="14">
        <f ca="1"/>
      </c>
      <c r="AV111" s="14">
        <f ca="1"/>
      </c>
      <c r="AW111" s="14">
        <f ca="1"/>
      </c>
      <c r="AX111" s="14">
        <f ca="1"/>
      </c>
      <c r="AY111" s="14">
        <f ca="1"/>
      </c>
      <c r="AZ111" s="14">
        <f ca="1"/>
      </c>
      <c r="BB111">
        <f ca="1"/>
      </c>
      <c r="BC111">
        <f ca="1"/>
      </c>
      <c r="BD111">
        <f ca="1"/>
      </c>
      <c r="BF111" s="7">
        <f ca="1"/>
      </c>
      <c r="BG111" s="14">
        <f ca="1"/>
      </c>
      <c r="BH111" s="14">
        <f ca="1"/>
      </c>
      <c r="BI111" s="14">
        <f ca="1"/>
      </c>
      <c r="BJ111" s="14">
        <f ca="1"/>
      </c>
      <c r="BK111" s="14">
        <f ca="1"/>
      </c>
    </row>
    <row r="112" spans="28:63" x14ac:dyDescent="0.55000000000000004">
      <c r="AB112">
        <f ca="1"/>
      </c>
      <c r="AC112">
        <f ca="1"/>
      </c>
      <c r="AD112">
        <f ca="1"/>
      </c>
      <c r="AE112">
        <f ca="1"/>
      </c>
      <c r="AF112">
        <f ca="1"/>
      </c>
      <c r="AG112">
        <f ca="1"/>
      </c>
      <c r="AH112">
        <f ca="1"/>
      </c>
      <c r="AL112" s="7">
        <f ca="1"/>
      </c>
      <c r="AM112" s="14">
        <f ca="1"/>
      </c>
      <c r="AN112" s="14">
        <f ca="1"/>
      </c>
      <c r="AO112" s="14">
        <f ca="1"/>
      </c>
      <c r="AP112" s="14">
        <f ca="1"/>
      </c>
      <c r="AQ112" s="14">
        <f ca="1"/>
      </c>
      <c r="AR112" s="14">
        <f ca="1"/>
      </c>
      <c r="AV112" s="14">
        <f ca="1"/>
      </c>
      <c r="AW112" s="14">
        <f ca="1"/>
      </c>
      <c r="AX112" s="14">
        <f ca="1"/>
      </c>
      <c r="AY112" s="14">
        <f ca="1"/>
      </c>
      <c r="AZ112" s="14">
        <f ca="1"/>
      </c>
      <c r="BB112">
        <f ca="1"/>
      </c>
      <c r="BC112">
        <f ca="1"/>
      </c>
      <c r="BD112">
        <f ca="1"/>
      </c>
      <c r="BF112" s="7">
        <f ca="1"/>
      </c>
      <c r="BG112" s="14">
        <f ca="1"/>
      </c>
      <c r="BH112" s="14">
        <f ca="1"/>
      </c>
      <c r="BI112" s="14">
        <f ca="1"/>
      </c>
      <c r="BJ112" s="14">
        <f ca="1"/>
      </c>
      <c r="BK112" s="14">
        <f ca="1"/>
      </c>
    </row>
    <row r="113" spans="28:63" x14ac:dyDescent="0.55000000000000004">
      <c r="AB113">
        <f ca="1"/>
      </c>
      <c r="AC113">
        <f ca="1"/>
      </c>
      <c r="AD113">
        <f ca="1"/>
      </c>
      <c r="AE113">
        <f ca="1"/>
      </c>
      <c r="AF113">
        <f ca="1"/>
      </c>
      <c r="AG113">
        <f ca="1"/>
      </c>
      <c r="AH113">
        <f ca="1"/>
      </c>
      <c r="AL113" s="7">
        <f ca="1"/>
      </c>
      <c r="AM113" s="14">
        <f ca="1"/>
      </c>
      <c r="AN113" s="14">
        <f ca="1"/>
      </c>
      <c r="AO113" s="14">
        <f ca="1"/>
      </c>
      <c r="AP113" s="14">
        <f ca="1"/>
      </c>
      <c r="AQ113" s="14">
        <f ca="1"/>
      </c>
      <c r="AR113" s="14">
        <f ca="1"/>
      </c>
      <c r="AV113" s="14">
        <f ca="1"/>
      </c>
      <c r="AW113" s="14">
        <f ca="1"/>
      </c>
      <c r="AX113" s="14">
        <f ca="1"/>
      </c>
      <c r="AY113" s="14">
        <f ca="1"/>
      </c>
      <c r="AZ113" s="14">
        <f ca="1"/>
      </c>
      <c r="BB113">
        <f ca="1"/>
      </c>
      <c r="BC113">
        <f ca="1"/>
      </c>
      <c r="BD113">
        <f ca="1"/>
      </c>
      <c r="BF113" s="7">
        <f ca="1"/>
      </c>
      <c r="BG113" s="14">
        <f ca="1"/>
      </c>
      <c r="BH113" s="14">
        <f ca="1"/>
      </c>
      <c r="BI113" s="14">
        <f ca="1"/>
      </c>
      <c r="BJ113" s="14">
        <f ca="1"/>
      </c>
      <c r="BK113" s="14">
        <f ca="1"/>
      </c>
    </row>
    <row r="114" spans="28:63" x14ac:dyDescent="0.55000000000000004">
      <c r="AB114">
        <f ca="1"/>
      </c>
      <c r="AC114">
        <f ca="1"/>
      </c>
      <c r="AD114">
        <f ca="1"/>
      </c>
      <c r="AE114">
        <f ca="1"/>
      </c>
      <c r="AF114">
        <f ca="1"/>
      </c>
      <c r="AG114">
        <f ca="1"/>
      </c>
      <c r="AH114">
        <f ca="1"/>
      </c>
      <c r="AL114" s="7">
        <f ca="1"/>
      </c>
      <c r="AM114" s="14">
        <f ca="1"/>
      </c>
      <c r="AN114" s="14">
        <f ca="1"/>
      </c>
      <c r="AO114" s="14">
        <f ca="1"/>
      </c>
      <c r="AP114" s="14">
        <f ca="1"/>
      </c>
      <c r="AQ114" s="14">
        <f ca="1"/>
      </c>
      <c r="AR114" s="14">
        <f ca="1"/>
      </c>
      <c r="AV114" s="14">
        <f ca="1"/>
      </c>
      <c r="AW114" s="14">
        <f ca="1"/>
      </c>
      <c r="AX114" s="14">
        <f ca="1"/>
      </c>
      <c r="AY114" s="14">
        <f ca="1"/>
      </c>
      <c r="AZ114" s="14">
        <f ca="1"/>
      </c>
      <c r="BB114">
        <f ca="1"/>
      </c>
      <c r="BC114">
        <f ca="1"/>
      </c>
      <c r="BD114">
        <f ca="1"/>
      </c>
      <c r="BF114" s="7">
        <f ca="1"/>
      </c>
      <c r="BG114" s="14">
        <f ca="1"/>
      </c>
      <c r="BH114" s="14">
        <f ca="1"/>
      </c>
      <c r="BI114" s="14">
        <f ca="1"/>
      </c>
      <c r="BJ114" s="14">
        <f ca="1"/>
      </c>
      <c r="BK114" s="14">
        <f ca="1"/>
      </c>
    </row>
    <row r="115" spans="28:63" x14ac:dyDescent="0.55000000000000004">
      <c r="AB115">
        <f ca="1"/>
      </c>
      <c r="AC115">
        <f ca="1"/>
      </c>
      <c r="AD115">
        <f ca="1"/>
      </c>
      <c r="AE115">
        <f ca="1"/>
      </c>
      <c r="AF115">
        <f ca="1"/>
      </c>
      <c r="AG115">
        <f ca="1"/>
      </c>
      <c r="AH115">
        <f ca="1"/>
      </c>
      <c r="AL115" s="7">
        <f ca="1"/>
      </c>
      <c r="AM115" s="14">
        <f ca="1"/>
      </c>
      <c r="AN115" s="14">
        <f ca="1"/>
      </c>
      <c r="AO115" s="14">
        <f ca="1"/>
      </c>
      <c r="AP115" s="14">
        <f ca="1"/>
      </c>
      <c r="AQ115" s="14">
        <f ca="1"/>
      </c>
      <c r="AR115" s="14">
        <f ca="1"/>
      </c>
      <c r="AV115" s="14">
        <f ca="1"/>
      </c>
      <c r="AW115" s="14">
        <f ca="1"/>
      </c>
      <c r="AX115" s="14">
        <f ca="1"/>
      </c>
      <c r="AY115" s="14">
        <f ca="1"/>
      </c>
      <c r="AZ115" s="14">
        <f ca="1"/>
      </c>
      <c r="BB115">
        <f ca="1"/>
      </c>
      <c r="BC115">
        <f ca="1"/>
      </c>
      <c r="BD115">
        <f ca="1"/>
      </c>
      <c r="BF115" s="7">
        <f ca="1"/>
      </c>
      <c r="BG115" s="14">
        <f ca="1"/>
      </c>
      <c r="BH115" s="14">
        <f ca="1"/>
      </c>
      <c r="BI115" s="14">
        <f ca="1"/>
      </c>
      <c r="BJ115" s="14">
        <f ca="1"/>
      </c>
      <c r="BK115" s="14">
        <f ca="1"/>
      </c>
    </row>
    <row r="116" spans="28:63" x14ac:dyDescent="0.55000000000000004">
      <c r="AB116">
        <f ca="1"/>
      </c>
      <c r="AC116">
        <f ca="1"/>
      </c>
      <c r="AD116">
        <f ca="1"/>
      </c>
      <c r="AE116">
        <f ca="1"/>
      </c>
      <c r="AF116">
        <f ca="1"/>
      </c>
      <c r="AG116">
        <f ca="1"/>
      </c>
      <c r="AH116">
        <f ca="1"/>
      </c>
      <c r="AL116" s="7">
        <f ca="1"/>
      </c>
      <c r="AM116" s="14">
        <f ca="1"/>
      </c>
      <c r="AN116" s="14">
        <f ca="1"/>
      </c>
      <c r="AO116" s="14">
        <f ca="1"/>
      </c>
      <c r="AP116" s="14">
        <f ca="1"/>
      </c>
      <c r="AQ116" s="14">
        <f ca="1"/>
      </c>
      <c r="AR116" s="14">
        <f ca="1"/>
      </c>
      <c r="AV116" s="14">
        <f ca="1"/>
      </c>
      <c r="AW116" s="14">
        <f ca="1"/>
      </c>
      <c r="AX116" s="14">
        <f ca="1"/>
      </c>
      <c r="AY116" s="14">
        <f ca="1"/>
      </c>
      <c r="AZ116" s="14">
        <f ca="1"/>
      </c>
      <c r="BB116">
        <f ca="1"/>
      </c>
      <c r="BC116">
        <f ca="1"/>
      </c>
      <c r="BD116">
        <f ca="1"/>
      </c>
      <c r="BF116" s="7">
        <f ca="1"/>
      </c>
      <c r="BG116" s="14">
        <f ca="1"/>
      </c>
      <c r="BH116" s="14">
        <f ca="1"/>
      </c>
      <c r="BI116" s="14">
        <f ca="1"/>
      </c>
      <c r="BJ116" s="14">
        <f ca="1"/>
      </c>
      <c r="BK116" s="14">
        <f ca="1"/>
      </c>
    </row>
    <row r="117" spans="28:63" x14ac:dyDescent="0.55000000000000004">
      <c r="AB117">
        <f ca="1"/>
      </c>
      <c r="AC117">
        <f ca="1"/>
      </c>
      <c r="AD117">
        <f ca="1"/>
      </c>
      <c r="AE117">
        <f ca="1"/>
      </c>
      <c r="AF117">
        <f ca="1"/>
      </c>
      <c r="AG117">
        <f ca="1"/>
      </c>
      <c r="AH117">
        <f ca="1"/>
      </c>
      <c r="AL117" s="7">
        <f ca="1"/>
      </c>
      <c r="AM117" s="14">
        <f ca="1"/>
      </c>
      <c r="AN117" s="14">
        <f ca="1"/>
      </c>
      <c r="AO117" s="14">
        <f ca="1"/>
      </c>
      <c r="AP117" s="14">
        <f ca="1"/>
      </c>
      <c r="AQ117" s="14">
        <f ca="1"/>
      </c>
      <c r="AR117" s="14">
        <f ca="1"/>
      </c>
      <c r="AV117" s="14">
        <f ca="1"/>
      </c>
      <c r="AW117" s="14">
        <f ca="1"/>
      </c>
      <c r="AX117" s="14">
        <f ca="1"/>
      </c>
      <c r="AY117" s="14">
        <f ca="1"/>
      </c>
      <c r="AZ117" s="14">
        <f ca="1"/>
      </c>
      <c r="BB117">
        <f ca="1"/>
      </c>
      <c r="BC117">
        <f ca="1"/>
      </c>
      <c r="BD117">
        <f ca="1"/>
      </c>
      <c r="BF117" s="7">
        <f ca="1"/>
      </c>
      <c r="BG117" s="14">
        <f ca="1"/>
      </c>
      <c r="BH117" s="14">
        <f ca="1"/>
      </c>
      <c r="BI117" s="14">
        <f ca="1"/>
      </c>
      <c r="BJ117" s="14">
        <f ca="1"/>
      </c>
      <c r="BK117" s="14">
        <f ca="1"/>
      </c>
    </row>
    <row r="118" spans="28:63" x14ac:dyDescent="0.55000000000000004">
      <c r="AB118">
        <f ca="1"/>
      </c>
      <c r="AC118">
        <f ca="1"/>
      </c>
      <c r="AD118">
        <f ca="1"/>
      </c>
      <c r="AE118">
        <f ca="1"/>
      </c>
      <c r="AF118">
        <f ca="1"/>
      </c>
      <c r="AG118">
        <f ca="1"/>
      </c>
      <c r="AH118">
        <f ca="1"/>
      </c>
      <c r="AL118" s="7">
        <f ca="1"/>
      </c>
      <c r="AM118" s="14">
        <f ca="1"/>
      </c>
      <c r="AN118" s="14">
        <f ca="1"/>
      </c>
      <c r="AO118" s="14">
        <f ca="1"/>
      </c>
      <c r="AP118" s="14">
        <f ca="1"/>
      </c>
      <c r="AQ118" s="14">
        <f ca="1"/>
      </c>
      <c r="AR118" s="14">
        <f ca="1"/>
      </c>
      <c r="AV118" s="14">
        <f ca="1"/>
      </c>
      <c r="AW118" s="14">
        <f ca="1"/>
      </c>
      <c r="AX118" s="14">
        <f ca="1"/>
      </c>
      <c r="AY118" s="14">
        <f ca="1"/>
      </c>
      <c r="AZ118" s="14">
        <f ca="1"/>
      </c>
      <c r="BB118">
        <f ca="1"/>
      </c>
      <c r="BC118">
        <f ca="1"/>
      </c>
      <c r="BD118">
        <f ca="1"/>
      </c>
      <c r="BF118" s="7">
        <f ca="1"/>
      </c>
      <c r="BG118" s="14">
        <f ca="1"/>
      </c>
      <c r="BH118" s="14">
        <f ca="1"/>
      </c>
      <c r="BI118" s="14">
        <f ca="1"/>
      </c>
      <c r="BJ118" s="14">
        <f ca="1"/>
      </c>
      <c r="BK118" s="14">
        <f ca="1"/>
      </c>
    </row>
    <row r="119" spans="28:63" x14ac:dyDescent="0.55000000000000004">
      <c r="AB119">
        <f ca="1"/>
      </c>
      <c r="AC119">
        <f ca="1"/>
      </c>
      <c r="AD119">
        <f ca="1"/>
      </c>
      <c r="AE119">
        <f ca="1"/>
      </c>
      <c r="AF119">
        <f ca="1"/>
      </c>
      <c r="AG119">
        <f ca="1"/>
      </c>
      <c r="AH119">
        <f ca="1"/>
      </c>
      <c r="AL119" s="7">
        <f ca="1"/>
      </c>
      <c r="AM119" s="14">
        <f ca="1"/>
      </c>
      <c r="AN119" s="14">
        <f ca="1"/>
      </c>
      <c r="AO119" s="14">
        <f ca="1"/>
      </c>
      <c r="AP119" s="14">
        <f ca="1"/>
      </c>
      <c r="AQ119" s="14">
        <f ca="1"/>
      </c>
      <c r="AR119" s="14">
        <f ca="1"/>
      </c>
      <c r="AV119" s="14">
        <f ca="1"/>
      </c>
      <c r="AW119" s="14">
        <f ca="1"/>
      </c>
      <c r="AX119" s="14">
        <f ca="1"/>
      </c>
      <c r="AY119" s="14">
        <f ca="1"/>
      </c>
      <c r="AZ119" s="14">
        <f ca="1"/>
      </c>
      <c r="BB119">
        <f ca="1"/>
      </c>
      <c r="BC119">
        <f ca="1"/>
      </c>
      <c r="BD119">
        <f ca="1"/>
      </c>
      <c r="BF119" s="7">
        <f ca="1"/>
      </c>
      <c r="BG119" s="14">
        <f ca="1"/>
      </c>
      <c r="BH119" s="14">
        <f ca="1"/>
      </c>
      <c r="BI119" s="14">
        <f ca="1"/>
      </c>
      <c r="BJ119" s="14">
        <f ca="1"/>
      </c>
      <c r="BK119" s="14">
        <f ca="1"/>
      </c>
    </row>
    <row r="120" spans="28:63" x14ac:dyDescent="0.55000000000000004">
      <c r="AB120">
        <f ca="1"/>
      </c>
      <c r="AC120">
        <f ca="1"/>
      </c>
      <c r="AD120">
        <f ca="1"/>
      </c>
      <c r="AE120">
        <f ca="1"/>
      </c>
      <c r="AF120">
        <f ca="1"/>
      </c>
      <c r="AG120">
        <f ca="1"/>
      </c>
      <c r="AH120">
        <f ca="1"/>
      </c>
      <c r="AL120" s="7">
        <f ca="1"/>
      </c>
      <c r="AM120" s="14">
        <f ca="1"/>
      </c>
      <c r="AN120" s="14">
        <f ca="1"/>
      </c>
      <c r="AO120" s="14">
        <f ca="1"/>
      </c>
      <c r="AP120" s="14">
        <f ca="1"/>
      </c>
      <c r="AQ120" s="14">
        <f ca="1"/>
      </c>
      <c r="AR120" s="14">
        <f ca="1"/>
      </c>
      <c r="AV120" s="14">
        <f ca="1"/>
      </c>
      <c r="AW120" s="14">
        <f ca="1"/>
      </c>
      <c r="AX120" s="14">
        <f ca="1"/>
      </c>
      <c r="AY120" s="14">
        <f ca="1"/>
      </c>
      <c r="AZ120" s="14">
        <f ca="1"/>
      </c>
      <c r="BB120">
        <f ca="1"/>
      </c>
      <c r="BC120">
        <f ca="1"/>
      </c>
      <c r="BD120">
        <f ca="1"/>
      </c>
      <c r="BF120" s="7">
        <f ca="1"/>
      </c>
      <c r="BG120" s="14">
        <f ca="1"/>
      </c>
      <c r="BH120" s="14">
        <f ca="1"/>
      </c>
      <c r="BI120" s="14">
        <f ca="1"/>
      </c>
      <c r="BJ120" s="14">
        <f ca="1"/>
      </c>
      <c r="BK120" s="14">
        <f ca="1"/>
      </c>
    </row>
    <row r="121" spans="28:63" x14ac:dyDescent="0.55000000000000004">
      <c r="AB121">
        <f ca="1"/>
      </c>
      <c r="AC121">
        <f ca="1"/>
      </c>
      <c r="AD121">
        <f ca="1"/>
      </c>
      <c r="AE121">
        <f ca="1"/>
      </c>
      <c r="AF121">
        <f ca="1"/>
      </c>
      <c r="AG121">
        <f ca="1"/>
      </c>
      <c r="AH121">
        <f ca="1"/>
      </c>
      <c r="AL121" s="7">
        <f ca="1"/>
      </c>
      <c r="AM121" s="14">
        <f ca="1"/>
      </c>
      <c r="AN121" s="14">
        <f ca="1"/>
      </c>
      <c r="AO121" s="14">
        <f ca="1"/>
      </c>
      <c r="AP121" s="14">
        <f ca="1"/>
      </c>
      <c r="AQ121" s="14">
        <f ca="1"/>
      </c>
      <c r="AR121" s="14">
        <f ca="1"/>
      </c>
      <c r="AV121" s="14">
        <f ca="1"/>
      </c>
      <c r="AW121" s="14">
        <f ca="1"/>
      </c>
      <c r="AX121" s="14">
        <f ca="1"/>
      </c>
      <c r="AY121" s="14">
        <f ca="1"/>
      </c>
      <c r="AZ121" s="14">
        <f ca="1"/>
      </c>
      <c r="BB121">
        <f ca="1"/>
      </c>
      <c r="BC121">
        <f ca="1"/>
      </c>
      <c r="BD121">
        <f ca="1"/>
      </c>
      <c r="BF121" s="7">
        <f ca="1"/>
      </c>
      <c r="BG121" s="14">
        <f ca="1"/>
      </c>
      <c r="BH121" s="14">
        <f ca="1"/>
      </c>
      <c r="BI121" s="14">
        <f ca="1"/>
      </c>
      <c r="BJ121" s="14">
        <f ca="1"/>
      </c>
      <c r="BK121" s="14">
        <f ca="1"/>
      </c>
    </row>
    <row r="122" spans="28:63" x14ac:dyDescent="0.55000000000000004">
      <c r="AB122">
        <f ca="1"/>
      </c>
      <c r="AC122">
        <f ca="1"/>
      </c>
      <c r="AD122">
        <f ca="1"/>
      </c>
      <c r="AE122">
        <f ca="1"/>
      </c>
      <c r="AF122">
        <f ca="1"/>
      </c>
      <c r="AG122">
        <f ca="1"/>
      </c>
      <c r="AH122">
        <f ca="1"/>
      </c>
      <c r="AL122" s="7">
        <f ca="1"/>
      </c>
      <c r="AM122" s="14">
        <f ca="1"/>
      </c>
      <c r="AN122" s="14">
        <f ca="1"/>
      </c>
      <c r="AO122" s="14">
        <f ca="1"/>
      </c>
      <c r="AP122" s="14">
        <f ca="1"/>
      </c>
      <c r="AQ122" s="14">
        <f ca="1"/>
      </c>
      <c r="AR122" s="14">
        <f ca="1"/>
      </c>
      <c r="AV122" s="14">
        <f ca="1"/>
      </c>
      <c r="AW122" s="14">
        <f ca="1"/>
      </c>
      <c r="AX122" s="14">
        <f ca="1"/>
      </c>
      <c r="AY122" s="14">
        <f ca="1"/>
      </c>
      <c r="AZ122" s="14">
        <f ca="1"/>
      </c>
      <c r="BB122">
        <f ca="1"/>
      </c>
      <c r="BC122">
        <f ca="1"/>
      </c>
      <c r="BD122">
        <f ca="1"/>
      </c>
      <c r="BF122" s="7">
        <f ca="1"/>
      </c>
      <c r="BG122" s="14">
        <f ca="1"/>
      </c>
      <c r="BH122" s="14">
        <f ca="1"/>
      </c>
      <c r="BI122" s="14">
        <f ca="1"/>
      </c>
      <c r="BJ122" s="14">
        <f ca="1"/>
      </c>
      <c r="BK122" s="14">
        <f ca="1"/>
      </c>
    </row>
    <row r="123" spans="28:63" x14ac:dyDescent="0.55000000000000004">
      <c r="AB123">
        <f ca="1"/>
      </c>
      <c r="AC123">
        <f ca="1"/>
      </c>
      <c r="AD123">
        <f ca="1"/>
      </c>
      <c r="AE123">
        <f ca="1"/>
      </c>
      <c r="AF123">
        <f ca="1"/>
      </c>
      <c r="AG123">
        <f ca="1"/>
      </c>
      <c r="AH123">
        <f ca="1"/>
      </c>
      <c r="AL123" s="7">
        <f ca="1"/>
      </c>
      <c r="AM123" s="14">
        <f ca="1"/>
      </c>
      <c r="AN123" s="14">
        <f ca="1"/>
      </c>
      <c r="AO123" s="14">
        <f ca="1"/>
      </c>
      <c r="AP123" s="14">
        <f ca="1"/>
      </c>
      <c r="AQ123" s="14">
        <f ca="1"/>
      </c>
      <c r="AR123" s="14">
        <f ca="1"/>
      </c>
      <c r="AV123" s="14">
        <f ca="1"/>
      </c>
      <c r="AW123" s="14">
        <f ca="1"/>
      </c>
      <c r="AX123" s="14">
        <f ca="1"/>
      </c>
      <c r="AY123" s="14">
        <f ca="1"/>
      </c>
      <c r="AZ123" s="14">
        <f ca="1"/>
      </c>
      <c r="BB123">
        <f ca="1"/>
      </c>
      <c r="BC123">
        <f ca="1"/>
      </c>
      <c r="BD123">
        <f ca="1"/>
      </c>
      <c r="BF123" s="7">
        <f ca="1"/>
      </c>
      <c r="BG123" s="14">
        <f ca="1"/>
      </c>
      <c r="BH123" s="14">
        <f ca="1"/>
      </c>
      <c r="BI123" s="14">
        <f ca="1"/>
      </c>
      <c r="BJ123" s="14">
        <f ca="1"/>
      </c>
      <c r="BK123" s="14">
        <f ca="1"/>
      </c>
    </row>
    <row r="124" spans="28:63" x14ac:dyDescent="0.55000000000000004">
      <c r="AB124">
        <f ca="1"/>
      </c>
      <c r="AC124">
        <f ca="1"/>
      </c>
      <c r="AD124">
        <f ca="1"/>
      </c>
      <c r="AE124">
        <f ca="1"/>
      </c>
      <c r="AF124">
        <f ca="1"/>
      </c>
      <c r="AG124">
        <f ca="1"/>
      </c>
      <c r="AH124">
        <f ca="1"/>
      </c>
      <c r="AL124" s="7">
        <f ca="1"/>
      </c>
      <c r="AM124" s="14">
        <f ca="1"/>
      </c>
      <c r="AN124" s="14">
        <f ca="1"/>
      </c>
      <c r="AO124" s="14">
        <f ca="1"/>
      </c>
      <c r="AP124" s="14">
        <f ca="1"/>
      </c>
      <c r="AQ124" s="14">
        <f ca="1"/>
      </c>
      <c r="AR124" s="14">
        <f ca="1"/>
      </c>
      <c r="AV124" s="14">
        <f ca="1"/>
      </c>
      <c r="AW124" s="14">
        <f ca="1"/>
      </c>
      <c r="AX124" s="14">
        <f ca="1"/>
      </c>
      <c r="AY124" s="14">
        <f ca="1"/>
      </c>
      <c r="AZ124" s="14">
        <f ca="1"/>
      </c>
      <c r="BB124">
        <f ca="1"/>
      </c>
      <c r="BC124">
        <f ca="1"/>
      </c>
      <c r="BD124">
        <f ca="1"/>
      </c>
      <c r="BF124" s="7">
        <f ca="1"/>
      </c>
      <c r="BG124" s="14">
        <f ca="1"/>
      </c>
      <c r="BH124" s="14">
        <f ca="1"/>
      </c>
      <c r="BI124" s="14">
        <f ca="1"/>
      </c>
      <c r="BJ124" s="14">
        <f ca="1"/>
      </c>
      <c r="BK124" s="14">
        <f ca="1"/>
      </c>
    </row>
    <row r="125" spans="28:63" x14ac:dyDescent="0.55000000000000004">
      <c r="AB125">
        <f ca="1"/>
      </c>
      <c r="AC125">
        <f ca="1"/>
      </c>
      <c r="AD125">
        <f ca="1"/>
      </c>
      <c r="AE125">
        <f ca="1"/>
      </c>
      <c r="AF125">
        <f ca="1"/>
      </c>
      <c r="AG125">
        <f ca="1"/>
      </c>
      <c r="AH125">
        <f ca="1"/>
      </c>
      <c r="AL125" s="7">
        <f ca="1"/>
      </c>
      <c r="AM125" s="14">
        <f ca="1"/>
      </c>
      <c r="AN125" s="14">
        <f ca="1"/>
      </c>
      <c r="AO125" s="14">
        <f ca="1"/>
      </c>
      <c r="AP125" s="14">
        <f ca="1"/>
      </c>
      <c r="AQ125" s="14">
        <f ca="1"/>
      </c>
      <c r="AR125" s="14">
        <f ca="1"/>
      </c>
      <c r="AV125" s="14">
        <f ca="1"/>
      </c>
      <c r="AW125" s="14">
        <f ca="1"/>
      </c>
      <c r="AX125" s="14">
        <f ca="1"/>
      </c>
      <c r="AY125" s="14">
        <f ca="1"/>
      </c>
      <c r="AZ125" s="14">
        <f ca="1"/>
      </c>
      <c r="BB125">
        <f ca="1"/>
      </c>
      <c r="BC125">
        <f ca="1"/>
      </c>
      <c r="BD125">
        <f ca="1"/>
      </c>
      <c r="BF125" s="7">
        <f ca="1"/>
      </c>
      <c r="BG125" s="14">
        <f ca="1"/>
      </c>
      <c r="BH125" s="14">
        <f ca="1"/>
      </c>
      <c r="BI125" s="14">
        <f ca="1"/>
      </c>
      <c r="BJ125" s="14">
        <f ca="1"/>
      </c>
      <c r="BK125" s="14">
        <f ca="1"/>
      </c>
    </row>
    <row r="126" spans="28:63" x14ac:dyDescent="0.55000000000000004">
      <c r="AB126">
        <f ca="1"/>
      </c>
      <c r="AC126">
        <f ca="1"/>
      </c>
      <c r="AD126">
        <f ca="1"/>
      </c>
      <c r="AE126">
        <f ca="1"/>
      </c>
      <c r="AF126">
        <f ca="1"/>
      </c>
      <c r="AG126">
        <f ca="1"/>
      </c>
      <c r="AH126">
        <f ca="1"/>
      </c>
      <c r="AL126" s="7">
        <f ca="1"/>
      </c>
      <c r="AM126" s="14">
        <f ca="1"/>
      </c>
      <c r="AN126" s="14">
        <f ca="1"/>
      </c>
      <c r="AO126" s="14">
        <f ca="1"/>
      </c>
      <c r="AP126" s="14">
        <f ca="1"/>
      </c>
      <c r="AQ126" s="14">
        <f ca="1"/>
      </c>
      <c r="AR126" s="14">
        <f ca="1"/>
      </c>
      <c r="AV126" s="14">
        <f ca="1"/>
      </c>
      <c r="AW126" s="14">
        <f ca="1"/>
      </c>
      <c r="AX126" s="14">
        <f ca="1"/>
      </c>
      <c r="AY126" s="14">
        <f ca="1"/>
      </c>
      <c r="AZ126" s="14">
        <f ca="1"/>
      </c>
      <c r="BB126">
        <f ca="1"/>
      </c>
      <c r="BC126">
        <f ca="1"/>
      </c>
      <c r="BD126">
        <f ca="1"/>
      </c>
      <c r="BF126" s="7">
        <f ca="1"/>
      </c>
      <c r="BG126" s="14">
        <f ca="1"/>
      </c>
      <c r="BH126" s="14">
        <f ca="1"/>
      </c>
      <c r="BI126" s="14">
        <f ca="1"/>
      </c>
      <c r="BJ126" s="14">
        <f ca="1"/>
      </c>
      <c r="BK126" s="14">
        <f ca="1"/>
      </c>
    </row>
    <row r="127" spans="28:63" x14ac:dyDescent="0.55000000000000004">
      <c r="AB127">
        <f ca="1"/>
      </c>
      <c r="AC127">
        <f ca="1"/>
      </c>
      <c r="AD127">
        <f ca="1"/>
      </c>
      <c r="AE127">
        <f ca="1"/>
      </c>
      <c r="AF127">
        <f ca="1"/>
      </c>
      <c r="AG127">
        <f ca="1"/>
      </c>
      <c r="AH127">
        <f ca="1"/>
      </c>
      <c r="AL127" s="7">
        <f ca="1"/>
      </c>
      <c r="AM127" s="14">
        <f ca="1"/>
      </c>
      <c r="AN127" s="14">
        <f ca="1"/>
      </c>
      <c r="AO127" s="14">
        <f ca="1"/>
      </c>
      <c r="AP127" s="14">
        <f ca="1"/>
      </c>
      <c r="AQ127" s="14">
        <f ca="1"/>
      </c>
      <c r="AR127" s="14">
        <f ca="1"/>
      </c>
      <c r="AV127" s="14">
        <f ca="1"/>
      </c>
      <c r="AW127" s="14">
        <f ca="1"/>
      </c>
      <c r="AX127" s="14">
        <f ca="1"/>
      </c>
      <c r="AY127" s="14">
        <f ca="1"/>
      </c>
      <c r="AZ127" s="14">
        <f ca="1"/>
      </c>
      <c r="BB127">
        <f ca="1"/>
      </c>
      <c r="BC127">
        <f ca="1"/>
      </c>
      <c r="BD127">
        <f ca="1"/>
      </c>
      <c r="BF127" s="7">
        <f ca="1"/>
      </c>
      <c r="BG127" s="14">
        <f ca="1"/>
      </c>
      <c r="BH127" s="14">
        <f ca="1"/>
      </c>
      <c r="BI127" s="14">
        <f ca="1"/>
      </c>
      <c r="BJ127" s="14">
        <f ca="1"/>
      </c>
      <c r="BK127" s="14">
        <f ca="1"/>
      </c>
    </row>
    <row r="128" spans="28:63" x14ac:dyDescent="0.55000000000000004">
      <c r="AB128">
        <f ca="1"/>
      </c>
      <c r="AC128">
        <f ca="1"/>
      </c>
      <c r="AD128">
        <f ca="1"/>
      </c>
      <c r="AE128">
        <f ca="1"/>
      </c>
      <c r="AF128">
        <f ca="1"/>
      </c>
      <c r="AG128">
        <f ca="1"/>
      </c>
      <c r="AH128">
        <f ca="1"/>
      </c>
      <c r="AL128" s="7">
        <f ca="1"/>
      </c>
      <c r="AM128" s="14">
        <f ca="1"/>
      </c>
      <c r="AN128" s="14">
        <f ca="1"/>
      </c>
      <c r="AO128" s="14">
        <f ca="1"/>
      </c>
      <c r="AP128" s="14">
        <f ca="1"/>
      </c>
      <c r="AQ128" s="14">
        <f ca="1"/>
      </c>
      <c r="AR128" s="14">
        <f ca="1"/>
      </c>
      <c r="AV128" s="14">
        <f ca="1"/>
      </c>
      <c r="AW128" s="14">
        <f ca="1"/>
      </c>
      <c r="AX128" s="14">
        <f ca="1"/>
      </c>
      <c r="AY128" s="14">
        <f ca="1"/>
      </c>
      <c r="AZ128" s="14">
        <f ca="1"/>
      </c>
      <c r="BB128">
        <f ca="1"/>
      </c>
      <c r="BC128">
        <f ca="1"/>
      </c>
      <c r="BD128">
        <f ca="1"/>
      </c>
      <c r="BF128" s="7">
        <f ca="1"/>
      </c>
      <c r="BG128" s="14">
        <f ca="1"/>
      </c>
      <c r="BH128" s="14">
        <f ca="1"/>
      </c>
      <c r="BI128" s="14">
        <f ca="1"/>
      </c>
      <c r="BJ128" s="14">
        <f ca="1"/>
      </c>
      <c r="BK128" s="14">
        <f ca="1"/>
      </c>
    </row>
    <row r="129" spans="28:63" x14ac:dyDescent="0.55000000000000004">
      <c r="AB129">
        <f ca="1"/>
      </c>
      <c r="AC129">
        <f ca="1"/>
      </c>
      <c r="AD129">
        <f ca="1"/>
      </c>
      <c r="AE129">
        <f ca="1"/>
      </c>
      <c r="AF129">
        <f ca="1"/>
      </c>
      <c r="AG129">
        <f ca="1"/>
      </c>
      <c r="AH129">
        <f ca="1"/>
      </c>
      <c r="AL129" s="7">
        <f ca="1"/>
      </c>
      <c r="AM129" s="14">
        <f ca="1"/>
      </c>
      <c r="AN129" s="14">
        <f ca="1"/>
      </c>
      <c r="AO129" s="14">
        <f ca="1"/>
      </c>
      <c r="AP129" s="14">
        <f ca="1"/>
      </c>
      <c r="AQ129" s="14">
        <f ca="1"/>
      </c>
      <c r="AR129" s="14">
        <f ca="1"/>
      </c>
      <c r="AV129" s="14">
        <f ca="1"/>
      </c>
      <c r="AW129" s="14">
        <f ca="1"/>
      </c>
      <c r="AX129" s="14">
        <f ca="1"/>
      </c>
      <c r="AY129" s="14">
        <f ca="1"/>
      </c>
      <c r="AZ129" s="14">
        <f ca="1"/>
      </c>
      <c r="BB129">
        <f ca="1"/>
      </c>
      <c r="BC129">
        <f ca="1"/>
      </c>
      <c r="BD129">
        <f ca="1"/>
      </c>
      <c r="BF129" s="7">
        <f ca="1"/>
      </c>
      <c r="BG129" s="14">
        <f ca="1"/>
      </c>
      <c r="BH129" s="14">
        <f ca="1"/>
      </c>
      <c r="BI129" s="14">
        <f ca="1"/>
      </c>
      <c r="BJ129" s="14">
        <f ca="1"/>
      </c>
      <c r="BK129" s="14">
        <f ca="1"/>
      </c>
    </row>
    <row r="130" spans="28:63" x14ac:dyDescent="0.55000000000000004">
      <c r="AB130">
        <f ca="1"/>
      </c>
      <c r="AC130">
        <f ca="1"/>
      </c>
      <c r="AD130">
        <f ca="1"/>
      </c>
      <c r="AE130">
        <f ca="1"/>
      </c>
      <c r="AF130">
        <f ca="1"/>
      </c>
      <c r="AG130">
        <f ca="1"/>
      </c>
      <c r="AH130">
        <f ca="1"/>
      </c>
      <c r="AL130" s="7">
        <f ca="1"/>
      </c>
      <c r="AM130" s="14">
        <f ca="1"/>
      </c>
      <c r="AN130" s="14">
        <f ca="1"/>
      </c>
      <c r="AO130" s="14">
        <f ca="1"/>
      </c>
      <c r="AP130" s="14">
        <f ca="1"/>
      </c>
      <c r="AQ130" s="14">
        <f ca="1"/>
      </c>
      <c r="AR130" s="14">
        <f ca="1"/>
      </c>
      <c r="AV130" s="14">
        <f ca="1"/>
      </c>
      <c r="AW130" s="14">
        <f ca="1"/>
      </c>
      <c r="AX130" s="14">
        <f ca="1"/>
      </c>
      <c r="AY130" s="14">
        <f ca="1"/>
      </c>
      <c r="AZ130" s="14">
        <f ca="1"/>
      </c>
      <c r="BB130">
        <f ca="1"/>
      </c>
      <c r="BC130">
        <f ca="1"/>
      </c>
      <c r="BD130">
        <f ca="1"/>
      </c>
      <c r="BF130" s="7">
        <f ca="1"/>
      </c>
      <c r="BG130" s="14">
        <f ca="1"/>
      </c>
      <c r="BH130" s="14">
        <f ca="1"/>
      </c>
      <c r="BI130" s="14">
        <f ca="1"/>
      </c>
      <c r="BJ130" s="14">
        <f ca="1"/>
      </c>
      <c r="BK130" s="14">
        <f ca="1"/>
      </c>
    </row>
    <row r="131" spans="28:63" x14ac:dyDescent="0.55000000000000004">
      <c r="AB131">
        <f ca="1"/>
      </c>
      <c r="AC131">
        <f ca="1"/>
      </c>
      <c r="AD131">
        <f ca="1"/>
      </c>
      <c r="AE131">
        <f ca="1"/>
      </c>
      <c r="AF131">
        <f ca="1"/>
      </c>
      <c r="AG131">
        <f ca="1"/>
      </c>
      <c r="AH131">
        <f ca="1"/>
      </c>
      <c r="AL131" s="7">
        <f ca="1"/>
      </c>
      <c r="AM131" s="14">
        <f ca="1"/>
      </c>
      <c r="AN131" s="14">
        <f ca="1"/>
      </c>
      <c r="AO131" s="14">
        <f ca="1"/>
      </c>
      <c r="AP131" s="14">
        <f ca="1"/>
      </c>
      <c r="AQ131" s="14">
        <f ca="1"/>
      </c>
      <c r="AR131" s="14">
        <f ca="1"/>
      </c>
      <c r="AV131" s="14">
        <f ca="1"/>
      </c>
      <c r="AW131" s="14">
        <f ca="1"/>
      </c>
      <c r="AX131" s="14">
        <f ca="1"/>
      </c>
      <c r="AY131" s="14">
        <f ca="1"/>
      </c>
      <c r="AZ131" s="14">
        <f ca="1"/>
      </c>
      <c r="BB131">
        <f ca="1"/>
      </c>
      <c r="BC131">
        <f ca="1"/>
      </c>
      <c r="BD131">
        <f ca="1"/>
      </c>
      <c r="BF131" s="7">
        <f ca="1"/>
      </c>
      <c r="BG131" s="14">
        <f ca="1"/>
      </c>
      <c r="BH131" s="14">
        <f ca="1"/>
      </c>
      <c r="BI131" s="14">
        <f ca="1"/>
      </c>
      <c r="BJ131" s="14">
        <f ca="1"/>
      </c>
      <c r="BK131" s="14">
        <f ca="1"/>
      </c>
    </row>
    <row r="132" spans="28:63" x14ac:dyDescent="0.55000000000000004">
      <c r="AB132">
        <f ca="1"/>
      </c>
      <c r="AC132">
        <f ca="1"/>
      </c>
      <c r="AD132">
        <f ca="1"/>
      </c>
      <c r="AE132">
        <f ca="1"/>
      </c>
      <c r="AF132">
        <f ca="1"/>
      </c>
      <c r="AG132">
        <f ca="1"/>
      </c>
      <c r="AH132">
        <f ca="1"/>
      </c>
      <c r="AL132" s="7">
        <f ca="1"/>
      </c>
      <c r="AM132" s="14">
        <f ca="1"/>
      </c>
      <c r="AN132" s="14">
        <f ca="1"/>
      </c>
      <c r="AO132" s="14">
        <f ca="1"/>
      </c>
      <c r="AP132" s="14">
        <f ca="1"/>
      </c>
      <c r="AQ132" s="14">
        <f ca="1"/>
      </c>
      <c r="AR132" s="14">
        <f ca="1"/>
      </c>
      <c r="AV132" s="14">
        <f ca="1"/>
      </c>
      <c r="AW132" s="14">
        <f ca="1"/>
      </c>
      <c r="AX132" s="14">
        <f ca="1"/>
      </c>
      <c r="AY132" s="14">
        <f ca="1"/>
      </c>
      <c r="AZ132" s="14">
        <f ca="1"/>
      </c>
      <c r="BB132">
        <f ca="1"/>
      </c>
      <c r="BC132">
        <f ca="1"/>
      </c>
      <c r="BD132">
        <f ca="1"/>
      </c>
      <c r="BF132" s="7">
        <f ca="1"/>
      </c>
      <c r="BG132" s="14">
        <f ca="1"/>
      </c>
      <c r="BH132" s="14">
        <f ca="1"/>
      </c>
      <c r="BI132" s="14">
        <f ca="1"/>
      </c>
      <c r="BJ132" s="14">
        <f ca="1"/>
      </c>
      <c r="BK132" s="14">
        <f ca="1"/>
      </c>
    </row>
    <row r="133" spans="28:63" x14ac:dyDescent="0.55000000000000004">
      <c r="AB133">
        <f ca="1"/>
      </c>
      <c r="AC133">
        <f ca="1"/>
      </c>
      <c r="AD133">
        <f ca="1"/>
      </c>
      <c r="AE133">
        <f ca="1"/>
      </c>
      <c r="AF133">
        <f ca="1"/>
      </c>
      <c r="AG133">
        <f ca="1"/>
      </c>
      <c r="AH133">
        <f ca="1"/>
      </c>
      <c r="AL133" s="7">
        <f ca="1"/>
      </c>
      <c r="AM133" s="14">
        <f ca="1"/>
      </c>
      <c r="AN133" s="14">
        <f ca="1"/>
      </c>
      <c r="AO133" s="14">
        <f ca="1"/>
      </c>
      <c r="AP133" s="14">
        <f ca="1"/>
      </c>
      <c r="AQ133" s="14">
        <f ca="1"/>
      </c>
      <c r="AR133" s="14">
        <f ca="1"/>
      </c>
      <c r="AV133" s="14">
        <f ca="1"/>
      </c>
      <c r="AW133" s="14">
        <f ca="1"/>
      </c>
      <c r="AX133" s="14">
        <f ca="1"/>
      </c>
      <c r="AY133" s="14">
        <f ca="1"/>
      </c>
      <c r="AZ133" s="14">
        <f ca="1"/>
      </c>
      <c r="BB133">
        <f ca="1"/>
      </c>
      <c r="BC133">
        <f ca="1"/>
      </c>
      <c r="BD133">
        <f ca="1"/>
      </c>
      <c r="BF133" s="7">
        <f ca="1"/>
      </c>
      <c r="BG133" s="14">
        <f ca="1"/>
      </c>
      <c r="BH133" s="14">
        <f ca="1"/>
      </c>
      <c r="BI133" s="14">
        <f ca="1"/>
      </c>
      <c r="BJ133" s="14">
        <f ca="1"/>
      </c>
      <c r="BK133" s="14">
        <f ca="1"/>
      </c>
    </row>
    <row r="134" spans="28:63" x14ac:dyDescent="0.55000000000000004">
      <c r="AB134">
        <f ca="1"/>
      </c>
      <c r="AC134">
        <f ca="1"/>
      </c>
      <c r="AD134">
        <f ca="1"/>
      </c>
      <c r="AE134">
        <f ca="1"/>
      </c>
      <c r="AF134">
        <f ca="1"/>
      </c>
      <c r="AG134">
        <f ca="1"/>
      </c>
      <c r="AH134">
        <f ca="1"/>
      </c>
      <c r="AL134" s="7">
        <f ca="1"/>
      </c>
      <c r="AM134" s="14">
        <f ca="1"/>
      </c>
      <c r="AN134" s="14">
        <f ca="1"/>
      </c>
      <c r="AO134" s="14">
        <f ca="1"/>
      </c>
      <c r="AP134" s="14">
        <f ca="1"/>
      </c>
      <c r="AQ134" s="14">
        <f ca="1"/>
      </c>
      <c r="AR134" s="14">
        <f ca="1"/>
      </c>
      <c r="AV134" s="14">
        <f ca="1"/>
      </c>
      <c r="AW134" s="14">
        <f ca="1"/>
      </c>
      <c r="AX134" s="14">
        <f ca="1"/>
      </c>
      <c r="AY134" s="14">
        <f ca="1"/>
      </c>
      <c r="AZ134" s="14">
        <f ca="1"/>
      </c>
      <c r="BB134">
        <f ca="1"/>
      </c>
      <c r="BC134">
        <f ca="1"/>
      </c>
      <c r="BD134">
        <f ca="1"/>
      </c>
      <c r="BF134" s="7">
        <f ca="1"/>
      </c>
      <c r="BG134" s="14">
        <f ca="1"/>
      </c>
      <c r="BH134" s="14">
        <f ca="1"/>
      </c>
      <c r="BI134" s="14">
        <f ca="1"/>
      </c>
      <c r="BJ134" s="14">
        <f ca="1"/>
      </c>
      <c r="BK134" s="14">
        <f ca="1"/>
      </c>
    </row>
    <row r="135" spans="28:63" x14ac:dyDescent="0.55000000000000004">
      <c r="AB135">
        <f ca="1"/>
      </c>
      <c r="AC135">
        <f ca="1"/>
      </c>
      <c r="AD135">
        <f ca="1"/>
      </c>
      <c r="AE135">
        <f ca="1"/>
      </c>
      <c r="AF135">
        <f ca="1"/>
      </c>
      <c r="AG135">
        <f ca="1"/>
      </c>
      <c r="AH135">
        <f ca="1"/>
      </c>
      <c r="AL135" s="7">
        <f ca="1"/>
      </c>
      <c r="AM135" s="14">
        <f ca="1"/>
      </c>
      <c r="AN135" s="14">
        <f ca="1"/>
      </c>
      <c r="AO135" s="14">
        <f ca="1"/>
      </c>
      <c r="AP135" s="14">
        <f ca="1"/>
      </c>
      <c r="AQ135" s="14">
        <f ca="1"/>
      </c>
      <c r="AR135" s="14">
        <f ca="1"/>
      </c>
      <c r="AV135" s="14">
        <f ca="1"/>
      </c>
      <c r="AW135" s="14">
        <f ca="1"/>
      </c>
      <c r="AX135" s="14">
        <f ca="1"/>
      </c>
      <c r="AY135" s="14">
        <f ca="1"/>
      </c>
      <c r="AZ135" s="14">
        <f ca="1"/>
      </c>
      <c r="BB135">
        <f ca="1"/>
      </c>
      <c r="BC135">
        <f ca="1"/>
      </c>
      <c r="BD135">
        <f ca="1"/>
      </c>
      <c r="BF135" s="7">
        <f ca="1"/>
      </c>
      <c r="BG135" s="14">
        <f ca="1"/>
      </c>
      <c r="BH135" s="14">
        <f ca="1"/>
      </c>
      <c r="BI135" s="14">
        <f ca="1"/>
      </c>
      <c r="BJ135" s="14">
        <f ca="1"/>
      </c>
      <c r="BK135" s="14">
        <f ca="1"/>
      </c>
    </row>
    <row r="136" spans="28:63" x14ac:dyDescent="0.55000000000000004">
      <c r="AB136">
        <f ca="1"/>
      </c>
      <c r="AC136">
        <f ca="1"/>
      </c>
      <c r="AD136">
        <f ca="1"/>
      </c>
      <c r="AE136">
        <f ca="1"/>
      </c>
      <c r="AF136">
        <f ca="1"/>
      </c>
      <c r="AG136">
        <f ca="1"/>
      </c>
      <c r="AH136">
        <f ca="1"/>
      </c>
      <c r="AL136" s="7">
        <f ca="1"/>
      </c>
      <c r="AM136" s="14">
        <f ca="1"/>
      </c>
      <c r="AN136" s="14">
        <f ca="1"/>
      </c>
      <c r="AO136" s="14">
        <f ca="1"/>
      </c>
      <c r="AP136" s="14">
        <f ca="1"/>
      </c>
      <c r="AQ136" s="14">
        <f ca="1"/>
      </c>
      <c r="AR136" s="14">
        <f ca="1"/>
      </c>
      <c r="AV136" s="14">
        <f ca="1"/>
      </c>
      <c r="AW136" s="14">
        <f ca="1"/>
      </c>
      <c r="AX136" s="14">
        <f ca="1"/>
      </c>
      <c r="AY136" s="14">
        <f ca="1"/>
      </c>
      <c r="AZ136" s="14">
        <f ca="1"/>
      </c>
      <c r="BB136">
        <f ca="1"/>
      </c>
      <c r="BC136">
        <f ca="1"/>
      </c>
      <c r="BD136">
        <f ca="1"/>
      </c>
      <c r="BF136" s="7">
        <f ca="1"/>
      </c>
      <c r="BG136" s="14">
        <f ca="1"/>
      </c>
      <c r="BH136" s="14">
        <f ca="1"/>
      </c>
      <c r="BI136" s="14">
        <f ca="1"/>
      </c>
      <c r="BJ136" s="14">
        <f ca="1"/>
      </c>
      <c r="BK136" s="14">
        <f ca="1"/>
      </c>
    </row>
    <row r="137" spans="28:63" x14ac:dyDescent="0.55000000000000004">
      <c r="AB137">
        <f ca="1"/>
      </c>
      <c r="AC137">
        <f ca="1"/>
      </c>
      <c r="AD137">
        <f ca="1"/>
      </c>
      <c r="AE137">
        <f ca="1"/>
      </c>
      <c r="AF137">
        <f ca="1"/>
      </c>
      <c r="AG137">
        <f ca="1"/>
      </c>
      <c r="AH137">
        <f ca="1"/>
      </c>
      <c r="AL137" s="7">
        <f ca="1"/>
      </c>
      <c r="AM137" s="14">
        <f ca="1"/>
      </c>
      <c r="AN137" s="14">
        <f ca="1"/>
      </c>
      <c r="AO137" s="14">
        <f ca="1"/>
      </c>
      <c r="AP137" s="14">
        <f ca="1"/>
      </c>
      <c r="AQ137" s="14">
        <f ca="1"/>
      </c>
      <c r="AR137" s="14">
        <f ca="1"/>
      </c>
      <c r="AV137" s="14">
        <f ca="1"/>
      </c>
      <c r="AW137" s="14">
        <f ca="1"/>
      </c>
      <c r="AX137" s="14">
        <f ca="1"/>
      </c>
      <c r="AY137" s="14">
        <f ca="1"/>
      </c>
      <c r="AZ137" s="14">
        <f ca="1"/>
      </c>
      <c r="BB137">
        <f ca="1"/>
      </c>
      <c r="BC137">
        <f ca="1"/>
      </c>
      <c r="BD137">
        <f ca="1"/>
      </c>
      <c r="BF137" s="7">
        <f ca="1"/>
      </c>
      <c r="BG137" s="14">
        <f ca="1"/>
      </c>
      <c r="BH137" s="14">
        <f ca="1"/>
      </c>
      <c r="BI137" s="14">
        <f ca="1"/>
      </c>
      <c r="BJ137" s="14">
        <f ca="1"/>
      </c>
      <c r="BK137" s="14">
        <f ca="1"/>
      </c>
    </row>
    <row r="138" spans="28:63" x14ac:dyDescent="0.55000000000000004">
      <c r="AB138">
        <f ca="1"/>
      </c>
      <c r="AC138">
        <f ca="1"/>
      </c>
      <c r="AD138">
        <f ca="1"/>
      </c>
      <c r="AE138">
        <f ca="1"/>
      </c>
      <c r="AF138">
        <f ca="1"/>
      </c>
      <c r="AG138">
        <f ca="1"/>
      </c>
      <c r="AH138">
        <f ca="1"/>
      </c>
      <c r="AL138" s="7">
        <f ca="1"/>
      </c>
      <c r="AM138" s="14">
        <f ca="1"/>
      </c>
      <c r="AN138" s="14">
        <f ca="1"/>
      </c>
      <c r="AO138" s="14">
        <f ca="1"/>
      </c>
      <c r="AP138" s="14">
        <f ca="1"/>
      </c>
      <c r="AQ138" s="14">
        <f ca="1"/>
      </c>
      <c r="AR138" s="14">
        <f ca="1"/>
      </c>
      <c r="AV138" s="14">
        <f ca="1"/>
      </c>
      <c r="AW138" s="14">
        <f ca="1"/>
      </c>
      <c r="AX138" s="14">
        <f ca="1"/>
      </c>
      <c r="AY138" s="14">
        <f ca="1"/>
      </c>
      <c r="AZ138" s="14">
        <f ca="1"/>
      </c>
      <c r="BB138">
        <f ca="1"/>
      </c>
      <c r="BC138">
        <f ca="1"/>
      </c>
      <c r="BD138">
        <f ca="1"/>
      </c>
      <c r="BF138" s="7">
        <f ca="1"/>
      </c>
      <c r="BG138" s="14">
        <f ca="1"/>
      </c>
      <c r="BH138" s="14">
        <f ca="1"/>
      </c>
      <c r="BI138" s="14">
        <f ca="1"/>
      </c>
      <c r="BJ138" s="14">
        <f ca="1"/>
      </c>
      <c r="BK138" s="14">
        <f ca="1"/>
      </c>
    </row>
    <row r="139" spans="28:63" x14ac:dyDescent="0.55000000000000004">
      <c r="AB139">
        <f ca="1"/>
      </c>
      <c r="AC139">
        <f ca="1"/>
      </c>
      <c r="AD139">
        <f ca="1"/>
      </c>
      <c r="AE139">
        <f ca="1"/>
      </c>
      <c r="AF139">
        <f ca="1"/>
      </c>
      <c r="AG139">
        <f ca="1"/>
      </c>
      <c r="AH139">
        <f ca="1"/>
      </c>
      <c r="AL139" s="7">
        <f ca="1"/>
      </c>
      <c r="AM139" s="14">
        <f ca="1"/>
      </c>
      <c r="AN139" s="14">
        <f ca="1"/>
      </c>
      <c r="AO139" s="14">
        <f ca="1"/>
      </c>
      <c r="AP139" s="14">
        <f ca="1"/>
      </c>
      <c r="AQ139" s="14">
        <f ca="1"/>
      </c>
      <c r="AR139" s="14">
        <f ca="1"/>
      </c>
      <c r="AV139" s="14">
        <f ca="1"/>
      </c>
      <c r="AW139" s="14">
        <f ca="1"/>
      </c>
      <c r="AX139" s="14">
        <f ca="1"/>
      </c>
      <c r="AY139" s="14">
        <f ca="1"/>
      </c>
      <c r="AZ139" s="14">
        <f ca="1"/>
      </c>
      <c r="BB139">
        <f ca="1"/>
      </c>
      <c r="BC139">
        <f ca="1"/>
      </c>
      <c r="BD139">
        <f ca="1"/>
      </c>
      <c r="BF139" s="7">
        <f ca="1"/>
      </c>
      <c r="BG139" s="14">
        <f ca="1"/>
      </c>
      <c r="BH139" s="14">
        <f ca="1"/>
      </c>
      <c r="BI139" s="14">
        <f ca="1"/>
      </c>
      <c r="BJ139" s="14">
        <f ca="1"/>
      </c>
      <c r="BK139" s="14">
        <f ca="1"/>
      </c>
    </row>
    <row r="140" spans="28:63" x14ac:dyDescent="0.55000000000000004">
      <c r="AB140">
        <f ca="1"/>
      </c>
      <c r="AC140">
        <f ca="1"/>
      </c>
      <c r="AD140">
        <f ca="1"/>
      </c>
      <c r="AE140">
        <f ca="1"/>
      </c>
      <c r="AF140">
        <f ca="1"/>
      </c>
      <c r="AG140">
        <f ca="1"/>
      </c>
      <c r="AH140">
        <f ca="1"/>
      </c>
      <c r="AL140" s="7">
        <f ca="1"/>
      </c>
      <c r="AM140" s="14">
        <f ca="1"/>
      </c>
      <c r="AN140" s="14">
        <f ca="1"/>
      </c>
      <c r="AO140" s="14">
        <f ca="1"/>
      </c>
      <c r="AP140" s="14">
        <f ca="1"/>
      </c>
      <c r="AQ140" s="14">
        <f ca="1"/>
      </c>
      <c r="AR140" s="14">
        <f ca="1"/>
      </c>
      <c r="AV140" s="14">
        <f ca="1"/>
      </c>
      <c r="AW140" s="14">
        <f ca="1"/>
      </c>
      <c r="AX140" s="14">
        <f ca="1"/>
      </c>
      <c r="AY140" s="14">
        <f ca="1"/>
      </c>
      <c r="AZ140" s="14">
        <f ca="1"/>
      </c>
      <c r="BB140">
        <f ca="1"/>
      </c>
      <c r="BC140">
        <f ca="1"/>
      </c>
      <c r="BD140">
        <f ca="1"/>
      </c>
      <c r="BF140" s="7">
        <f ca="1"/>
      </c>
      <c r="BG140" s="14">
        <f ca="1"/>
      </c>
      <c r="BH140" s="14">
        <f ca="1"/>
      </c>
      <c r="BI140" s="14">
        <f ca="1"/>
      </c>
      <c r="BJ140" s="14">
        <f ca="1"/>
      </c>
      <c r="BK140" s="14">
        <f ca="1"/>
      </c>
    </row>
    <row r="141" spans="28:63" x14ac:dyDescent="0.55000000000000004">
      <c r="AB141">
        <f ca="1"/>
      </c>
      <c r="AC141">
        <f ca="1"/>
      </c>
      <c r="AD141">
        <f ca="1"/>
      </c>
      <c r="AE141">
        <f ca="1"/>
      </c>
      <c r="AF141">
        <f ca="1"/>
      </c>
      <c r="AG141">
        <f ca="1"/>
      </c>
      <c r="AH141">
        <f ca="1"/>
      </c>
      <c r="AL141" s="7">
        <f ca="1"/>
      </c>
      <c r="AM141" s="14">
        <f ca="1"/>
      </c>
      <c r="AN141" s="14">
        <f ca="1"/>
      </c>
      <c r="AO141" s="14">
        <f ca="1"/>
      </c>
      <c r="AP141" s="14">
        <f ca="1"/>
      </c>
      <c r="AQ141" s="14">
        <f ca="1"/>
      </c>
      <c r="AR141" s="14">
        <f ca="1"/>
      </c>
      <c r="AV141" s="14">
        <f ca="1"/>
      </c>
      <c r="AW141" s="14">
        <f ca="1"/>
      </c>
      <c r="AX141" s="14">
        <f ca="1"/>
      </c>
      <c r="AY141" s="14">
        <f ca="1"/>
      </c>
      <c r="AZ141" s="14">
        <f ca="1"/>
      </c>
      <c r="BB141">
        <f ca="1"/>
      </c>
      <c r="BC141">
        <f ca="1"/>
      </c>
      <c r="BD141">
        <f ca="1"/>
      </c>
      <c r="BF141" s="7">
        <f ca="1"/>
      </c>
      <c r="BG141" s="14">
        <f ca="1"/>
      </c>
      <c r="BH141" s="14">
        <f ca="1"/>
      </c>
      <c r="BI141" s="14">
        <f ca="1"/>
      </c>
      <c r="BJ141" s="14">
        <f ca="1"/>
      </c>
      <c r="BK141" s="14">
        <f ca="1"/>
      </c>
    </row>
    <row r="142" spans="28:63" x14ac:dyDescent="0.55000000000000004">
      <c r="AB142">
        <f ca="1"/>
      </c>
      <c r="AC142">
        <f ca="1"/>
      </c>
      <c r="AD142">
        <f ca="1"/>
      </c>
      <c r="AE142">
        <f ca="1"/>
      </c>
      <c r="AF142">
        <f ca="1"/>
      </c>
      <c r="AG142">
        <f ca="1"/>
      </c>
      <c r="AH142">
        <f ca="1"/>
      </c>
      <c r="AL142" s="7">
        <f ca="1"/>
      </c>
      <c r="AM142" s="14">
        <f ca="1"/>
      </c>
      <c r="AN142" s="14">
        <f ca="1"/>
      </c>
      <c r="AO142" s="14">
        <f ca="1"/>
      </c>
      <c r="AP142" s="14">
        <f ca="1"/>
      </c>
      <c r="AQ142" s="14">
        <f ca="1"/>
      </c>
      <c r="AR142" s="14">
        <f ca="1"/>
      </c>
      <c r="AV142" s="14">
        <f ca="1"/>
      </c>
      <c r="AW142" s="14">
        <f ca="1"/>
      </c>
      <c r="AX142" s="14">
        <f ca="1"/>
      </c>
      <c r="AY142" s="14">
        <f ca="1"/>
      </c>
      <c r="AZ142" s="14">
        <f ca="1"/>
      </c>
      <c r="BB142">
        <f ca="1"/>
      </c>
      <c r="BC142">
        <f ca="1"/>
      </c>
      <c r="BD142">
        <f ca="1"/>
      </c>
      <c r="BF142" s="7">
        <f ca="1"/>
      </c>
      <c r="BG142" s="14">
        <f ca="1"/>
      </c>
      <c r="BH142" s="14">
        <f ca="1"/>
      </c>
      <c r="BI142" s="14">
        <f ca="1"/>
      </c>
      <c r="BJ142" s="14">
        <f ca="1"/>
      </c>
      <c r="BK142" s="14">
        <f ca="1"/>
      </c>
    </row>
    <row r="143" spans="28:63" x14ac:dyDescent="0.55000000000000004">
      <c r="AB143">
        <f ca="1"/>
      </c>
      <c r="AC143">
        <f ca="1"/>
      </c>
      <c r="AD143">
        <f ca="1"/>
      </c>
      <c r="AE143">
        <f ca="1"/>
      </c>
      <c r="AF143">
        <f ca="1"/>
      </c>
      <c r="AG143">
        <f ca="1"/>
      </c>
      <c r="AH143">
        <f ca="1"/>
      </c>
      <c r="AL143" s="7">
        <f ca="1"/>
      </c>
      <c r="AM143" s="14">
        <f ca="1"/>
      </c>
      <c r="AN143" s="14">
        <f ca="1"/>
      </c>
      <c r="AO143" s="14">
        <f ca="1"/>
      </c>
      <c r="AP143" s="14">
        <f ca="1"/>
      </c>
      <c r="AQ143" s="14">
        <f ca="1"/>
      </c>
      <c r="AR143" s="14">
        <f ca="1"/>
      </c>
      <c r="AV143" s="14">
        <f ca="1"/>
      </c>
      <c r="AW143" s="14">
        <f ca="1"/>
      </c>
      <c r="AX143" s="14">
        <f ca="1"/>
      </c>
      <c r="AY143" s="14">
        <f ca="1"/>
      </c>
      <c r="AZ143" s="14">
        <f ca="1"/>
      </c>
      <c r="BB143">
        <f ca="1"/>
      </c>
      <c r="BC143">
        <f ca="1"/>
      </c>
      <c r="BD143">
        <f ca="1"/>
      </c>
      <c r="BF143" s="7">
        <f ca="1"/>
      </c>
      <c r="BG143" s="14">
        <f ca="1"/>
      </c>
      <c r="BH143" s="14">
        <f ca="1"/>
      </c>
      <c r="BI143" s="14">
        <f ca="1"/>
      </c>
      <c r="BJ143" s="14">
        <f ca="1"/>
      </c>
      <c r="BK143" s="14">
        <f ca="1"/>
      </c>
    </row>
    <row r="144" spans="28:63" x14ac:dyDescent="0.55000000000000004">
      <c r="AB144">
        <f ca="1"/>
      </c>
      <c r="AC144">
        <f ca="1"/>
      </c>
      <c r="AD144">
        <f ca="1"/>
      </c>
      <c r="AE144">
        <f ca="1"/>
      </c>
      <c r="AF144">
        <f ca="1"/>
      </c>
      <c r="AG144">
        <f ca="1"/>
      </c>
      <c r="AH144">
        <f ca="1"/>
      </c>
      <c r="AL144" s="7">
        <f ca="1"/>
      </c>
      <c r="AM144" s="14">
        <f ca="1"/>
      </c>
      <c r="AN144" s="14">
        <f ca="1"/>
      </c>
      <c r="AO144" s="14">
        <f ca="1"/>
      </c>
      <c r="AP144" s="14">
        <f ca="1"/>
      </c>
      <c r="AQ144" s="14">
        <f ca="1"/>
      </c>
      <c r="AR144" s="14">
        <f ca="1"/>
      </c>
      <c r="AV144" s="14">
        <f ca="1"/>
      </c>
      <c r="AW144" s="14">
        <f ca="1"/>
      </c>
      <c r="AX144" s="14">
        <f ca="1"/>
      </c>
      <c r="AY144" s="14">
        <f ca="1"/>
      </c>
      <c r="AZ144" s="14">
        <f ca="1"/>
      </c>
      <c r="BB144">
        <f ca="1"/>
      </c>
      <c r="BC144">
        <f ca="1"/>
      </c>
      <c r="BD144">
        <f ca="1"/>
      </c>
      <c r="BF144" s="7">
        <f ca="1"/>
      </c>
      <c r="BG144" s="14">
        <f ca="1"/>
      </c>
      <c r="BH144" s="14">
        <f ca="1"/>
      </c>
      <c r="BI144" s="14">
        <f ca="1"/>
      </c>
      <c r="BJ144" s="14">
        <f ca="1"/>
      </c>
      <c r="BK144" s="14">
        <f ca="1"/>
      </c>
    </row>
    <row r="145" spans="28:63" x14ac:dyDescent="0.55000000000000004">
      <c r="AB145">
        <f ca="1"/>
      </c>
      <c r="AC145">
        <f ca="1"/>
      </c>
      <c r="AD145">
        <f ca="1"/>
      </c>
      <c r="AE145">
        <f ca="1"/>
      </c>
      <c r="AF145">
        <f ca="1"/>
      </c>
      <c r="AG145">
        <f ca="1"/>
      </c>
      <c r="AH145">
        <f ca="1"/>
      </c>
      <c r="AL145" s="7">
        <f ca="1"/>
      </c>
      <c r="AM145" s="14">
        <f ca="1"/>
      </c>
      <c r="AN145" s="14">
        <f ca="1"/>
      </c>
      <c r="AO145" s="14">
        <f ca="1"/>
      </c>
      <c r="AP145" s="14">
        <f ca="1"/>
      </c>
      <c r="AQ145" s="14">
        <f ca="1"/>
      </c>
      <c r="AR145" s="14">
        <f ca="1"/>
      </c>
      <c r="AV145" s="14">
        <f ca="1"/>
      </c>
      <c r="AW145" s="14">
        <f ca="1"/>
      </c>
      <c r="AX145" s="14">
        <f ca="1"/>
      </c>
      <c r="AY145" s="14">
        <f ca="1"/>
      </c>
      <c r="AZ145" s="14">
        <f ca="1"/>
      </c>
      <c r="BB145">
        <f ca="1"/>
      </c>
      <c r="BC145">
        <f ca="1"/>
      </c>
      <c r="BD145">
        <f ca="1"/>
      </c>
      <c r="BF145" s="7">
        <f ca="1"/>
      </c>
      <c r="BG145" s="14">
        <f ca="1"/>
      </c>
      <c r="BH145" s="14">
        <f ca="1"/>
      </c>
      <c r="BI145" s="14">
        <f ca="1"/>
      </c>
      <c r="BJ145" s="14">
        <f ca="1"/>
      </c>
      <c r="BK145" s="14">
        <f ca="1"/>
      </c>
    </row>
    <row r="146" spans="28:63" x14ac:dyDescent="0.55000000000000004">
      <c r="AB146">
        <f ca="1"/>
      </c>
      <c r="AC146">
        <f ca="1"/>
      </c>
      <c r="AD146">
        <f ca="1"/>
      </c>
      <c r="AE146">
        <f ca="1"/>
      </c>
      <c r="AF146">
        <f ca="1"/>
      </c>
      <c r="AG146">
        <f ca="1"/>
      </c>
      <c r="AH146">
        <f ca="1"/>
      </c>
      <c r="AL146" s="7">
        <f ca="1"/>
      </c>
      <c r="AM146" s="14">
        <f ca="1"/>
      </c>
      <c r="AN146" s="14">
        <f ca="1"/>
      </c>
      <c r="AO146" s="14">
        <f ca="1"/>
      </c>
      <c r="AP146" s="14">
        <f ca="1"/>
      </c>
      <c r="AQ146" s="14">
        <f ca="1"/>
      </c>
      <c r="AR146" s="14">
        <f ca="1"/>
      </c>
      <c r="AV146" s="14">
        <f ca="1"/>
      </c>
      <c r="AW146" s="14">
        <f ca="1"/>
      </c>
      <c r="AX146" s="14">
        <f ca="1"/>
      </c>
      <c r="AY146" s="14">
        <f ca="1"/>
      </c>
      <c r="AZ146" s="14">
        <f ca="1"/>
      </c>
      <c r="BB146">
        <f ca="1"/>
      </c>
      <c r="BC146">
        <f ca="1"/>
      </c>
      <c r="BD146">
        <f ca="1"/>
      </c>
      <c r="BF146" s="7">
        <f ca="1"/>
      </c>
      <c r="BG146" s="14">
        <f ca="1"/>
      </c>
      <c r="BH146" s="14">
        <f ca="1"/>
      </c>
      <c r="BI146" s="14">
        <f ca="1"/>
      </c>
      <c r="BJ146" s="14">
        <f ca="1"/>
      </c>
      <c r="BK146" s="14">
        <f ca="1"/>
      </c>
    </row>
    <row r="147" spans="28:63" x14ac:dyDescent="0.55000000000000004">
      <c r="AB147">
        <f ca="1"/>
      </c>
      <c r="AC147">
        <f ca="1"/>
      </c>
      <c r="AD147">
        <f ca="1"/>
      </c>
      <c r="AE147">
        <f ca="1"/>
      </c>
      <c r="AF147">
        <f ca="1"/>
      </c>
      <c r="AG147">
        <f ca="1"/>
      </c>
      <c r="AH147">
        <f ca="1"/>
      </c>
      <c r="AL147" s="7">
        <f ca="1"/>
      </c>
      <c r="AM147" s="14">
        <f ca="1"/>
      </c>
      <c r="AN147" s="14">
        <f ca="1"/>
      </c>
      <c r="AO147" s="14">
        <f ca="1"/>
      </c>
      <c r="AP147" s="14">
        <f ca="1"/>
      </c>
      <c r="AQ147" s="14">
        <f ca="1"/>
      </c>
      <c r="AR147" s="14">
        <f ca="1"/>
      </c>
      <c r="AV147" s="14">
        <f ca="1"/>
      </c>
      <c r="AW147" s="14">
        <f ca="1"/>
      </c>
      <c r="AX147" s="14">
        <f ca="1"/>
      </c>
      <c r="AY147" s="14">
        <f ca="1"/>
      </c>
      <c r="AZ147" s="14">
        <f ca="1"/>
      </c>
      <c r="BB147">
        <f ca="1"/>
      </c>
      <c r="BC147">
        <f ca="1"/>
      </c>
      <c r="BD147">
        <f ca="1"/>
      </c>
      <c r="BF147" s="7">
        <f ca="1"/>
      </c>
      <c r="BG147" s="14">
        <f ca="1"/>
      </c>
      <c r="BH147" s="14">
        <f ca="1"/>
      </c>
      <c r="BI147" s="14">
        <f ca="1"/>
      </c>
      <c r="BJ147" s="14">
        <f ca="1"/>
      </c>
      <c r="BK147" s="14">
        <f ca="1"/>
      </c>
    </row>
    <row r="148" spans="28:63" x14ac:dyDescent="0.55000000000000004">
      <c r="AB148">
        <f ca="1"/>
      </c>
      <c r="AC148">
        <f ca="1"/>
      </c>
      <c r="AD148">
        <f ca="1"/>
      </c>
      <c r="AE148">
        <f ca="1"/>
      </c>
      <c r="AF148">
        <f ca="1"/>
      </c>
      <c r="AG148">
        <f ca="1"/>
      </c>
      <c r="AH148">
        <f ca="1"/>
      </c>
      <c r="AL148" s="7">
        <f ca="1"/>
      </c>
      <c r="AM148" s="14">
        <f ca="1"/>
      </c>
      <c r="AN148" s="14">
        <f ca="1"/>
      </c>
      <c r="AO148" s="14">
        <f ca="1"/>
      </c>
      <c r="AP148" s="14">
        <f ca="1"/>
      </c>
      <c r="AQ148" s="14">
        <f ca="1"/>
      </c>
      <c r="AR148" s="14">
        <f ca="1"/>
      </c>
      <c r="AV148" s="14">
        <f ca="1"/>
      </c>
      <c r="AW148" s="14">
        <f ca="1"/>
      </c>
      <c r="AX148" s="14">
        <f ca="1"/>
      </c>
      <c r="AY148" s="14">
        <f ca="1"/>
      </c>
      <c r="AZ148" s="14">
        <f ca="1"/>
      </c>
      <c r="BB148">
        <f ca="1"/>
      </c>
      <c r="BC148">
        <f ca="1"/>
      </c>
      <c r="BD148">
        <f ca="1"/>
      </c>
      <c r="BF148" s="7">
        <f ca="1"/>
      </c>
      <c r="BG148" s="14">
        <f ca="1"/>
      </c>
      <c r="BH148" s="14">
        <f ca="1"/>
      </c>
      <c r="BI148" s="14">
        <f ca="1"/>
      </c>
      <c r="BJ148" s="14">
        <f ca="1"/>
      </c>
      <c r="BK148" s="14">
        <f ca="1"/>
      </c>
    </row>
    <row r="149" spans="28:63" x14ac:dyDescent="0.55000000000000004">
      <c r="AB149">
        <f ca="1"/>
      </c>
      <c r="AC149">
        <f ca="1"/>
      </c>
      <c r="AD149">
        <f ca="1"/>
      </c>
      <c r="AE149">
        <f ca="1"/>
      </c>
      <c r="AF149">
        <f ca="1"/>
      </c>
      <c r="AG149">
        <f ca="1"/>
      </c>
      <c r="AH149">
        <f ca="1"/>
      </c>
      <c r="AL149" s="7">
        <f ca="1"/>
      </c>
      <c r="AM149" s="14">
        <f ca="1"/>
      </c>
      <c r="AN149" s="14">
        <f ca="1"/>
      </c>
      <c r="AO149" s="14">
        <f ca="1"/>
      </c>
      <c r="AP149" s="14">
        <f ca="1"/>
      </c>
      <c r="AQ149" s="14">
        <f ca="1"/>
      </c>
      <c r="AR149" s="14">
        <f ca="1"/>
      </c>
      <c r="AV149" s="14">
        <f ca="1"/>
      </c>
      <c r="AW149" s="14">
        <f ca="1"/>
      </c>
      <c r="AX149" s="14">
        <f ca="1"/>
      </c>
      <c r="AY149" s="14">
        <f ca="1"/>
      </c>
      <c r="AZ149" s="14">
        <f ca="1"/>
      </c>
      <c r="BB149">
        <f ca="1"/>
      </c>
      <c r="BC149">
        <f ca="1"/>
      </c>
      <c r="BD149">
        <f ca="1"/>
      </c>
      <c r="BF149" s="7">
        <f ca="1"/>
      </c>
      <c r="BG149" s="14">
        <f ca="1"/>
      </c>
      <c r="BH149" s="14">
        <f ca="1"/>
      </c>
      <c r="BI149" s="14">
        <f ca="1"/>
      </c>
      <c r="BJ149" s="14">
        <f ca="1"/>
      </c>
      <c r="BK149" s="14">
        <f ca="1"/>
      </c>
    </row>
    <row r="150" spans="28:63" x14ac:dyDescent="0.55000000000000004">
      <c r="AB150">
        <f ca="1"/>
      </c>
      <c r="AC150">
        <f ca="1"/>
      </c>
      <c r="AD150">
        <f ca="1"/>
      </c>
      <c r="AE150">
        <f ca="1"/>
      </c>
      <c r="AF150">
        <f ca="1"/>
      </c>
      <c r="AG150">
        <f ca="1"/>
      </c>
      <c r="AH150">
        <f ca="1"/>
      </c>
      <c r="AL150" s="7">
        <f ca="1"/>
      </c>
      <c r="AM150" s="14">
        <f ca="1"/>
      </c>
      <c r="AN150" s="14">
        <f ca="1"/>
      </c>
      <c r="AO150" s="14">
        <f ca="1"/>
      </c>
      <c r="AP150" s="14">
        <f ca="1"/>
      </c>
      <c r="AQ150" s="14">
        <f ca="1"/>
      </c>
      <c r="AR150" s="14">
        <f ca="1"/>
      </c>
      <c r="AV150" s="14">
        <f ca="1"/>
      </c>
      <c r="AW150" s="14">
        <f ca="1"/>
      </c>
      <c r="AX150" s="14">
        <f ca="1"/>
      </c>
      <c r="AY150" s="14">
        <f ca="1"/>
      </c>
      <c r="AZ150" s="14">
        <f ca="1"/>
      </c>
      <c r="BB150">
        <f ca="1"/>
      </c>
      <c r="BC150">
        <f ca="1"/>
      </c>
      <c r="BD150">
        <f ca="1"/>
      </c>
      <c r="BF150" s="7">
        <f ca="1"/>
      </c>
      <c r="BG150" s="14">
        <f ca="1"/>
      </c>
      <c r="BH150" s="14">
        <f ca="1"/>
      </c>
      <c r="BI150" s="14">
        <f ca="1"/>
      </c>
      <c r="BJ150" s="14">
        <f ca="1"/>
      </c>
      <c r="BK150" s="14">
        <f ca="1"/>
      </c>
    </row>
    <row r="151" spans="28:63" x14ac:dyDescent="0.55000000000000004">
      <c r="AB151">
        <f ca="1"/>
      </c>
      <c r="AC151">
        <f ca="1"/>
      </c>
      <c r="AD151">
        <f ca="1"/>
      </c>
      <c r="AE151">
        <f ca="1"/>
      </c>
      <c r="AF151">
        <f ca="1"/>
      </c>
      <c r="AG151">
        <f ca="1"/>
      </c>
      <c r="AH151">
        <f ca="1"/>
      </c>
      <c r="AL151" s="7">
        <f ca="1"/>
      </c>
      <c r="AM151" s="14">
        <f ca="1"/>
      </c>
      <c r="AN151" s="14">
        <f ca="1"/>
      </c>
      <c r="AO151" s="14">
        <f ca="1"/>
      </c>
      <c r="AP151" s="14">
        <f ca="1"/>
      </c>
      <c r="AQ151" s="14">
        <f ca="1"/>
      </c>
      <c r="AR151" s="14">
        <f ca="1"/>
      </c>
      <c r="AV151" s="14">
        <f ca="1"/>
      </c>
      <c r="AW151" s="14">
        <f ca="1"/>
      </c>
      <c r="AX151" s="14">
        <f ca="1"/>
      </c>
      <c r="AY151" s="14">
        <f ca="1"/>
      </c>
      <c r="AZ151" s="14">
        <f ca="1"/>
      </c>
      <c r="BB151">
        <f ca="1"/>
      </c>
      <c r="BC151">
        <f ca="1"/>
      </c>
      <c r="BD151">
        <f ca="1"/>
      </c>
      <c r="BF151" s="7">
        <f ca="1"/>
      </c>
      <c r="BG151" s="14">
        <f ca="1"/>
      </c>
      <c r="BH151" s="14">
        <f ca="1"/>
      </c>
      <c r="BI151" s="14">
        <f ca="1"/>
      </c>
      <c r="BJ151" s="14">
        <f ca="1"/>
      </c>
      <c r="BK151" s="14">
        <f ca="1"/>
      </c>
    </row>
    <row r="152" spans="28:63" x14ac:dyDescent="0.55000000000000004">
      <c r="AB152">
        <f ca="1"/>
      </c>
      <c r="AC152">
        <f ca="1"/>
      </c>
      <c r="AD152">
        <f ca="1"/>
      </c>
      <c r="AE152">
        <f ca="1"/>
      </c>
      <c r="AF152">
        <f ca="1"/>
      </c>
      <c r="AG152">
        <f ca="1"/>
      </c>
      <c r="AH152">
        <f ca="1"/>
      </c>
      <c r="AL152" s="7">
        <f ca="1"/>
      </c>
      <c r="AM152" s="14">
        <f ca="1"/>
      </c>
      <c r="AN152" s="14">
        <f ca="1"/>
      </c>
      <c r="AO152" s="14">
        <f ca="1"/>
      </c>
      <c r="AP152" s="14">
        <f ca="1"/>
      </c>
      <c r="AQ152" s="14">
        <f ca="1"/>
      </c>
      <c r="AR152" s="14">
        <f ca="1"/>
      </c>
      <c r="AV152" s="14">
        <f ca="1"/>
      </c>
      <c r="AW152" s="14">
        <f ca="1"/>
      </c>
      <c r="AX152" s="14">
        <f ca="1"/>
      </c>
      <c r="AY152" s="14">
        <f ca="1"/>
      </c>
      <c r="AZ152" s="14">
        <f ca="1"/>
      </c>
      <c r="BB152">
        <f ca="1"/>
      </c>
      <c r="BC152">
        <f ca="1"/>
      </c>
      <c r="BD152">
        <f ca="1"/>
      </c>
      <c r="BF152" s="7">
        <f ca="1"/>
      </c>
      <c r="BG152" s="14">
        <f ca="1"/>
      </c>
      <c r="BH152" s="14">
        <f ca="1"/>
      </c>
      <c r="BI152" s="14">
        <f ca="1"/>
      </c>
      <c r="BJ152" s="14">
        <f ca="1"/>
      </c>
      <c r="BK152" s="14">
        <f ca="1"/>
      </c>
    </row>
    <row r="153" spans="28:63" x14ac:dyDescent="0.55000000000000004">
      <c r="AB153">
        <f ca="1"/>
      </c>
      <c r="AC153">
        <f ca="1"/>
      </c>
      <c r="AD153">
        <f ca="1"/>
      </c>
      <c r="AE153">
        <f ca="1"/>
      </c>
      <c r="AF153">
        <f ca="1"/>
      </c>
      <c r="AG153">
        <f ca="1"/>
      </c>
      <c r="AH153">
        <f ca="1"/>
      </c>
      <c r="AL153" s="7">
        <f ca="1"/>
      </c>
      <c r="AM153" s="14">
        <f ca="1"/>
      </c>
      <c r="AN153" s="14">
        <f ca="1"/>
      </c>
      <c r="AO153" s="14">
        <f ca="1"/>
      </c>
      <c r="AP153" s="14">
        <f ca="1"/>
      </c>
      <c r="AQ153" s="14">
        <f ca="1"/>
      </c>
      <c r="AR153" s="14">
        <f ca="1"/>
      </c>
      <c r="AV153" s="14">
        <f ca="1"/>
      </c>
      <c r="AW153" s="14">
        <f ca="1"/>
      </c>
      <c r="AX153" s="14">
        <f ca="1"/>
      </c>
      <c r="AY153" s="14">
        <f ca="1"/>
      </c>
      <c r="AZ153" s="14">
        <f ca="1"/>
      </c>
      <c r="BB153">
        <f ca="1"/>
      </c>
      <c r="BC153">
        <f ca="1"/>
      </c>
      <c r="BD153">
        <f ca="1"/>
      </c>
      <c r="BF153" s="7">
        <f ca="1"/>
      </c>
      <c r="BG153" s="14">
        <f ca="1"/>
      </c>
      <c r="BH153" s="14">
        <f ca="1"/>
      </c>
      <c r="BI153" s="14">
        <f ca="1"/>
      </c>
      <c r="BJ153" s="14">
        <f ca="1"/>
      </c>
      <c r="BK153" s="14">
        <f ca="1"/>
      </c>
    </row>
    <row r="154" spans="28:63" x14ac:dyDescent="0.55000000000000004">
      <c r="AB154">
        <f ca="1"/>
      </c>
      <c r="AC154">
        <f ca="1"/>
      </c>
      <c r="AD154">
        <f ca="1"/>
      </c>
      <c r="AE154">
        <f ca="1"/>
      </c>
      <c r="AF154">
        <f ca="1"/>
      </c>
      <c r="AG154">
        <f ca="1"/>
      </c>
      <c r="AH154">
        <f ca="1"/>
      </c>
      <c r="AL154" s="7">
        <f ca="1"/>
      </c>
      <c r="AM154" s="14">
        <f ca="1"/>
      </c>
      <c r="AN154" s="14">
        <f ca="1"/>
      </c>
      <c r="AO154" s="14">
        <f ca="1"/>
      </c>
      <c r="AP154" s="14">
        <f ca="1"/>
      </c>
      <c r="AQ154" s="14">
        <f ca="1"/>
      </c>
      <c r="AR154" s="14">
        <f ca="1"/>
      </c>
      <c r="AV154" s="14">
        <f ca="1"/>
      </c>
      <c r="AW154" s="14">
        <f ca="1"/>
      </c>
      <c r="AX154" s="14">
        <f ca="1"/>
      </c>
      <c r="AY154" s="14">
        <f ca="1"/>
      </c>
      <c r="AZ154" s="14">
        <f ca="1"/>
      </c>
      <c r="BB154">
        <f ca="1"/>
      </c>
      <c r="BC154">
        <f ca="1"/>
      </c>
      <c r="BD154">
        <f ca="1"/>
      </c>
      <c r="BF154" s="7">
        <f ca="1"/>
      </c>
      <c r="BG154" s="14">
        <f ca="1"/>
      </c>
      <c r="BH154" s="14">
        <f ca="1"/>
      </c>
      <c r="BI154" s="14">
        <f ca="1"/>
      </c>
      <c r="BJ154" s="14">
        <f ca="1"/>
      </c>
      <c r="BK154" s="14">
        <f ca="1"/>
      </c>
    </row>
    <row r="155" spans="28:63" x14ac:dyDescent="0.55000000000000004">
      <c r="AB155">
        <f ca="1"/>
      </c>
      <c r="AC155">
        <f ca="1"/>
      </c>
      <c r="AD155">
        <f ca="1"/>
      </c>
      <c r="AE155">
        <f ca="1"/>
      </c>
      <c r="AF155">
        <f ca="1"/>
      </c>
      <c r="AG155">
        <f ca="1"/>
      </c>
      <c r="AH155">
        <f ca="1"/>
      </c>
      <c r="AL155" s="7">
        <f ca="1"/>
      </c>
      <c r="AM155" s="14">
        <f ca="1"/>
      </c>
      <c r="AN155" s="14">
        <f ca="1"/>
      </c>
      <c r="AO155" s="14">
        <f ca="1"/>
      </c>
      <c r="AP155" s="14">
        <f ca="1"/>
      </c>
      <c r="AQ155" s="14">
        <f ca="1"/>
      </c>
      <c r="AR155" s="14">
        <f ca="1"/>
      </c>
      <c r="AV155" s="14">
        <f ca="1"/>
      </c>
      <c r="AW155" s="14">
        <f ca="1"/>
      </c>
      <c r="AX155" s="14">
        <f ca="1"/>
      </c>
      <c r="AY155" s="14">
        <f ca="1"/>
      </c>
      <c r="AZ155" s="14">
        <f ca="1"/>
      </c>
      <c r="BB155">
        <f ca="1"/>
      </c>
      <c r="BC155">
        <f ca="1"/>
      </c>
      <c r="BD155">
        <f ca="1"/>
      </c>
      <c r="BF155" s="7">
        <f ca="1"/>
      </c>
      <c r="BG155" s="14">
        <f ca="1"/>
      </c>
      <c r="BH155" s="14">
        <f ca="1"/>
      </c>
      <c r="BI155" s="14">
        <f ca="1"/>
      </c>
      <c r="BJ155" s="14">
        <f ca="1"/>
      </c>
      <c r="BK155" s="14">
        <f ca="1"/>
      </c>
    </row>
    <row r="156" spans="28:63" x14ac:dyDescent="0.55000000000000004">
      <c r="AB156">
        <f ca="1"/>
      </c>
      <c r="AC156">
        <f ca="1"/>
      </c>
      <c r="AD156">
        <f ca="1"/>
      </c>
      <c r="AE156">
        <f ca="1"/>
      </c>
      <c r="AF156">
        <f ca="1"/>
      </c>
      <c r="AG156">
        <f ca="1"/>
      </c>
      <c r="AH156">
        <f ca="1"/>
      </c>
      <c r="AL156" s="7">
        <f ca="1"/>
      </c>
      <c r="AM156" s="14">
        <f ca="1"/>
      </c>
      <c r="AN156" s="14">
        <f ca="1"/>
      </c>
      <c r="AO156" s="14">
        <f ca="1"/>
      </c>
      <c r="AP156" s="14">
        <f ca="1"/>
      </c>
      <c r="AQ156" s="14">
        <f ca="1"/>
      </c>
      <c r="AR156" s="14">
        <f ca="1"/>
      </c>
      <c r="AV156" s="14">
        <f ca="1"/>
      </c>
      <c r="AW156" s="14">
        <f ca="1"/>
      </c>
      <c r="AX156" s="14">
        <f ca="1"/>
      </c>
      <c r="AY156" s="14">
        <f ca="1"/>
      </c>
      <c r="AZ156" s="14">
        <f ca="1"/>
      </c>
      <c r="BB156">
        <f ca="1"/>
      </c>
      <c r="BC156">
        <f ca="1"/>
      </c>
      <c r="BD156">
        <f ca="1"/>
      </c>
      <c r="BF156" s="7">
        <f ca="1"/>
      </c>
      <c r="BG156" s="14">
        <f ca="1"/>
      </c>
      <c r="BH156" s="14">
        <f ca="1"/>
      </c>
      <c r="BI156" s="14">
        <f ca="1"/>
      </c>
      <c r="BJ156" s="14">
        <f ca="1"/>
      </c>
      <c r="BK156" s="14">
        <f ca="1"/>
      </c>
    </row>
    <row r="157" spans="28:63" x14ac:dyDescent="0.55000000000000004">
      <c r="AB157">
        <f ca="1"/>
      </c>
      <c r="AC157">
        <f ca="1"/>
      </c>
      <c r="AD157">
        <f ca="1"/>
      </c>
      <c r="AE157">
        <f ca="1"/>
      </c>
      <c r="AF157">
        <f ca="1"/>
      </c>
      <c r="AG157">
        <f ca="1"/>
      </c>
      <c r="AH157">
        <f ca="1"/>
      </c>
      <c r="AL157" s="7">
        <f ca="1"/>
      </c>
      <c r="AM157" s="14">
        <f ca="1"/>
      </c>
      <c r="AN157" s="14">
        <f ca="1"/>
      </c>
      <c r="AO157" s="14">
        <f ca="1"/>
      </c>
      <c r="AP157" s="14">
        <f ca="1"/>
      </c>
      <c r="AQ157" s="14">
        <f ca="1"/>
      </c>
      <c r="AR157" s="14">
        <f ca="1"/>
      </c>
      <c r="AV157" s="14">
        <f ca="1"/>
      </c>
      <c r="AW157" s="14">
        <f ca="1"/>
      </c>
      <c r="AX157" s="14">
        <f ca="1"/>
      </c>
      <c r="AY157" s="14">
        <f ca="1"/>
      </c>
      <c r="AZ157" s="14">
        <f ca="1"/>
      </c>
      <c r="BB157">
        <f ca="1"/>
      </c>
      <c r="BC157">
        <f ca="1"/>
      </c>
      <c r="BD157">
        <f ca="1"/>
      </c>
      <c r="BF157" s="7">
        <f ca="1"/>
      </c>
      <c r="BG157" s="14">
        <f ca="1"/>
      </c>
      <c r="BH157" s="14">
        <f ca="1"/>
      </c>
      <c r="BI157" s="14">
        <f ca="1"/>
      </c>
      <c r="BJ157" s="14">
        <f ca="1"/>
      </c>
      <c r="BK157" s="14">
        <f ca="1"/>
      </c>
    </row>
    <row r="158" spans="28:63" x14ac:dyDescent="0.55000000000000004">
      <c r="AB158">
        <f ca="1"/>
      </c>
      <c r="AC158">
        <f ca="1"/>
      </c>
      <c r="AD158">
        <f ca="1"/>
      </c>
      <c r="AE158">
        <f ca="1"/>
      </c>
      <c r="AF158">
        <f ca="1"/>
      </c>
      <c r="AG158">
        <f ca="1"/>
      </c>
      <c r="AH158">
        <f ca="1"/>
      </c>
      <c r="AL158" s="7">
        <f ca="1"/>
      </c>
      <c r="AM158" s="14">
        <f ca="1"/>
      </c>
      <c r="AN158" s="14">
        <f ca="1"/>
      </c>
      <c r="AO158" s="14">
        <f ca="1"/>
      </c>
      <c r="AP158" s="14">
        <f ca="1"/>
      </c>
      <c r="AQ158" s="14">
        <f ca="1"/>
      </c>
      <c r="AR158" s="14">
        <f ca="1"/>
      </c>
      <c r="AV158" s="14">
        <f ca="1"/>
      </c>
      <c r="AW158" s="14">
        <f ca="1"/>
      </c>
      <c r="AX158" s="14">
        <f ca="1"/>
      </c>
      <c r="AY158" s="14">
        <f ca="1"/>
      </c>
      <c r="AZ158" s="14">
        <f ca="1"/>
      </c>
      <c r="BB158">
        <f ca="1"/>
      </c>
      <c r="BC158">
        <f ca="1"/>
      </c>
      <c r="BD158">
        <f ca="1"/>
      </c>
      <c r="BF158" s="7">
        <f ca="1"/>
      </c>
      <c r="BG158" s="14">
        <f ca="1"/>
      </c>
      <c r="BH158" s="14">
        <f ca="1"/>
      </c>
      <c r="BI158" s="14">
        <f ca="1"/>
      </c>
      <c r="BJ158" s="14">
        <f ca="1"/>
      </c>
      <c r="BK158" s="14">
        <f ca="1"/>
      </c>
    </row>
    <row r="159" spans="28:63" x14ac:dyDescent="0.55000000000000004">
      <c r="AB159">
        <f ca="1"/>
      </c>
      <c r="AC159">
        <f ca="1"/>
      </c>
      <c r="AD159">
        <f ca="1"/>
      </c>
      <c r="AE159">
        <f ca="1"/>
      </c>
      <c r="AF159">
        <f ca="1"/>
      </c>
      <c r="AG159">
        <f ca="1"/>
      </c>
      <c r="AH159">
        <f ca="1"/>
      </c>
      <c r="AL159" s="7">
        <f ca="1"/>
      </c>
      <c r="AM159" s="14">
        <f ca="1"/>
      </c>
      <c r="AN159" s="14">
        <f ca="1"/>
      </c>
      <c r="AO159" s="14">
        <f ca="1"/>
      </c>
      <c r="AP159" s="14">
        <f ca="1"/>
      </c>
      <c r="AQ159" s="14">
        <f ca="1"/>
      </c>
      <c r="AR159" s="14">
        <f ca="1"/>
      </c>
      <c r="AV159" s="14">
        <f ca="1"/>
      </c>
      <c r="AW159" s="14">
        <f ca="1"/>
      </c>
      <c r="AX159" s="14">
        <f ca="1"/>
      </c>
      <c r="AY159" s="14">
        <f ca="1"/>
      </c>
      <c r="AZ159" s="14">
        <f ca="1"/>
      </c>
      <c r="BB159">
        <f ca="1"/>
      </c>
      <c r="BC159">
        <f ca="1"/>
      </c>
      <c r="BD159">
        <f ca="1"/>
      </c>
      <c r="BF159" s="7">
        <f ca="1"/>
      </c>
      <c r="BG159" s="14">
        <f ca="1"/>
      </c>
      <c r="BH159" s="14">
        <f ca="1"/>
      </c>
      <c r="BI159" s="14">
        <f ca="1"/>
      </c>
      <c r="BJ159" s="14">
        <f ca="1"/>
      </c>
      <c r="BK159" s="14">
        <f ca="1"/>
      </c>
    </row>
    <row r="160" spans="28:63" x14ac:dyDescent="0.55000000000000004">
      <c r="AB160">
        <f ca="1"/>
      </c>
      <c r="AC160">
        <f ca="1"/>
      </c>
      <c r="AD160">
        <f ca="1"/>
      </c>
      <c r="AE160">
        <f ca="1"/>
      </c>
      <c r="AF160">
        <f ca="1"/>
      </c>
      <c r="AG160">
        <f ca="1"/>
      </c>
      <c r="AH160">
        <f ca="1"/>
      </c>
      <c r="AL160" s="7">
        <f ca="1"/>
      </c>
      <c r="AM160" s="14">
        <f ca="1"/>
      </c>
      <c r="AN160" s="14">
        <f ca="1"/>
      </c>
      <c r="AO160" s="14">
        <f ca="1"/>
      </c>
      <c r="AP160" s="14">
        <f ca="1"/>
      </c>
      <c r="AQ160" s="14">
        <f ca="1"/>
      </c>
      <c r="AR160" s="14">
        <f ca="1"/>
      </c>
      <c r="AV160" s="14">
        <f ca="1"/>
      </c>
      <c r="AW160" s="14">
        <f ca="1"/>
      </c>
      <c r="AX160" s="14">
        <f ca="1"/>
      </c>
      <c r="AY160" s="14">
        <f ca="1"/>
      </c>
      <c r="AZ160" s="14">
        <f ca="1"/>
      </c>
      <c r="BB160">
        <f ca="1"/>
      </c>
      <c r="BC160">
        <f ca="1"/>
      </c>
      <c r="BD160">
        <f ca="1"/>
      </c>
      <c r="BF160" s="7">
        <f ca="1"/>
      </c>
      <c r="BG160" s="14">
        <f ca="1"/>
      </c>
      <c r="BH160" s="14">
        <f ca="1"/>
      </c>
      <c r="BI160" s="14">
        <f ca="1"/>
      </c>
      <c r="BJ160" s="14">
        <f ca="1"/>
      </c>
      <c r="BK160" s="14">
        <f ca="1"/>
      </c>
    </row>
    <row r="161" spans="28:63" x14ac:dyDescent="0.55000000000000004">
      <c r="AB161">
        <f ca="1"/>
      </c>
      <c r="AC161">
        <f ca="1"/>
      </c>
      <c r="AD161">
        <f ca="1"/>
      </c>
      <c r="AE161">
        <f ca="1"/>
      </c>
      <c r="AF161">
        <f ca="1"/>
      </c>
      <c r="AG161">
        <f ca="1"/>
      </c>
      <c r="AH161">
        <f ca="1"/>
      </c>
      <c r="AL161" s="7">
        <f ca="1"/>
      </c>
      <c r="AM161" s="14">
        <f ca="1"/>
      </c>
      <c r="AN161" s="14">
        <f ca="1"/>
      </c>
      <c r="AO161" s="14">
        <f ca="1"/>
      </c>
      <c r="AP161" s="14">
        <f ca="1"/>
      </c>
      <c r="AQ161" s="14">
        <f ca="1"/>
      </c>
      <c r="AR161" s="14">
        <f ca="1"/>
      </c>
      <c r="AV161" s="14">
        <f ca="1"/>
      </c>
      <c r="AW161" s="14">
        <f ca="1"/>
      </c>
      <c r="AX161" s="14">
        <f ca="1"/>
      </c>
      <c r="AY161" s="14">
        <f ca="1"/>
      </c>
      <c r="AZ161" s="14">
        <f ca="1"/>
      </c>
      <c r="BB161">
        <f ca="1"/>
      </c>
      <c r="BC161">
        <f ca="1"/>
      </c>
      <c r="BD161">
        <f ca="1"/>
      </c>
      <c r="BF161" s="7">
        <f ca="1"/>
      </c>
      <c r="BG161" s="14">
        <f ca="1"/>
      </c>
      <c r="BH161" s="14">
        <f ca="1"/>
      </c>
      <c r="BI161" s="14">
        <f ca="1"/>
      </c>
      <c r="BJ161" s="14">
        <f ca="1"/>
      </c>
      <c r="BK161" s="14">
        <f ca="1"/>
      </c>
    </row>
    <row r="162" spans="28:63" x14ac:dyDescent="0.55000000000000004">
      <c r="AB162">
        <f ca="1"/>
      </c>
      <c r="AC162">
        <f ca="1"/>
      </c>
      <c r="AD162">
        <f ca="1"/>
      </c>
      <c r="AE162">
        <f ca="1"/>
      </c>
      <c r="AF162">
        <f ca="1"/>
      </c>
      <c r="AG162">
        <f ca="1"/>
      </c>
      <c r="AH162">
        <f ca="1"/>
      </c>
      <c r="AL162" s="7">
        <f ca="1"/>
      </c>
      <c r="AM162" s="14">
        <f ca="1"/>
      </c>
      <c r="AN162" s="14">
        <f ca="1"/>
      </c>
      <c r="AO162" s="14">
        <f ca="1"/>
      </c>
      <c r="AP162" s="14">
        <f ca="1"/>
      </c>
      <c r="AQ162" s="14">
        <f ca="1"/>
      </c>
      <c r="AR162" s="14">
        <f ca="1"/>
      </c>
      <c r="AV162" s="14">
        <f ca="1"/>
      </c>
      <c r="AW162" s="14">
        <f ca="1"/>
      </c>
      <c r="AX162" s="14">
        <f ca="1"/>
      </c>
      <c r="AY162" s="14">
        <f ca="1"/>
      </c>
      <c r="AZ162" s="14">
        <f ca="1"/>
      </c>
      <c r="BB162">
        <f ca="1"/>
      </c>
      <c r="BC162">
        <f ca="1"/>
      </c>
      <c r="BD162">
        <f ca="1"/>
      </c>
      <c r="BF162" s="7">
        <f ca="1"/>
      </c>
      <c r="BG162" s="14">
        <f ca="1"/>
      </c>
      <c r="BH162" s="14">
        <f ca="1"/>
      </c>
      <c r="BI162" s="14">
        <f ca="1"/>
      </c>
      <c r="BJ162" s="14">
        <f ca="1"/>
      </c>
      <c r="BK162" s="14">
        <f ca="1"/>
      </c>
    </row>
    <row r="163" spans="28:63" x14ac:dyDescent="0.55000000000000004">
      <c r="AB163">
        <f ca="1"/>
      </c>
      <c r="AC163">
        <f ca="1"/>
      </c>
      <c r="AD163">
        <f ca="1"/>
      </c>
      <c r="AE163">
        <f ca="1"/>
      </c>
      <c r="AF163">
        <f ca="1"/>
      </c>
      <c r="AG163">
        <f ca="1"/>
      </c>
      <c r="AH163">
        <f ca="1"/>
      </c>
      <c r="AL163" s="7">
        <f ca="1"/>
      </c>
      <c r="AM163" s="14">
        <f ca="1"/>
      </c>
      <c r="AN163" s="14">
        <f ca="1"/>
      </c>
      <c r="AO163" s="14">
        <f ca="1"/>
      </c>
      <c r="AP163" s="14">
        <f ca="1"/>
      </c>
      <c r="AQ163" s="14">
        <f ca="1"/>
      </c>
      <c r="AR163" s="14">
        <f ca="1"/>
      </c>
      <c r="AV163" s="14">
        <f ca="1"/>
      </c>
      <c r="AW163" s="14">
        <f ca="1"/>
      </c>
      <c r="AX163" s="14">
        <f ca="1"/>
      </c>
      <c r="AY163" s="14">
        <f ca="1"/>
      </c>
      <c r="AZ163" s="14">
        <f ca="1"/>
      </c>
      <c r="BB163">
        <f ca="1"/>
      </c>
      <c r="BC163">
        <f ca="1"/>
      </c>
      <c r="BD163">
        <f ca="1"/>
      </c>
      <c r="BF163" s="7">
        <f ca="1"/>
      </c>
      <c r="BG163" s="14">
        <f ca="1"/>
      </c>
      <c r="BH163" s="14">
        <f ca="1"/>
      </c>
      <c r="BI163" s="14">
        <f ca="1"/>
      </c>
      <c r="BJ163" s="14">
        <f ca="1"/>
      </c>
      <c r="BK163" s="14">
        <f ca="1"/>
      </c>
    </row>
    <row r="164" spans="28:63" x14ac:dyDescent="0.55000000000000004">
      <c r="AB164">
        <f ca="1"/>
      </c>
      <c r="AC164">
        <f ca="1"/>
      </c>
      <c r="AD164">
        <f ca="1"/>
      </c>
      <c r="AE164">
        <f ca="1"/>
      </c>
      <c r="AF164">
        <f ca="1"/>
      </c>
      <c r="AG164">
        <f ca="1"/>
      </c>
      <c r="AH164">
        <f ca="1"/>
      </c>
      <c r="AL164" s="7">
        <f ca="1"/>
      </c>
      <c r="AM164" s="14">
        <f ca="1"/>
      </c>
      <c r="AN164" s="14">
        <f ca="1"/>
      </c>
      <c r="AO164" s="14">
        <f ca="1"/>
      </c>
      <c r="AP164" s="14">
        <f ca="1"/>
      </c>
      <c r="AQ164" s="14">
        <f ca="1"/>
      </c>
      <c r="AR164" s="14">
        <f ca="1"/>
      </c>
      <c r="AV164" s="14">
        <f ca="1"/>
      </c>
      <c r="AW164" s="14">
        <f ca="1"/>
      </c>
      <c r="AX164" s="14">
        <f ca="1"/>
      </c>
      <c r="AY164" s="14">
        <f ca="1"/>
      </c>
      <c r="AZ164" s="14">
        <f ca="1"/>
      </c>
      <c r="BB164">
        <f ca="1"/>
      </c>
      <c r="BC164">
        <f ca="1"/>
      </c>
      <c r="BD164">
        <f ca="1"/>
      </c>
      <c r="BF164" s="7">
        <f ca="1"/>
      </c>
      <c r="BG164" s="14">
        <f ca="1"/>
      </c>
      <c r="BH164" s="14">
        <f ca="1"/>
      </c>
      <c r="BI164" s="14">
        <f ca="1"/>
      </c>
      <c r="BJ164" s="14">
        <f ca="1"/>
      </c>
      <c r="BK164" s="14">
        <f ca="1"/>
      </c>
    </row>
    <row r="165" spans="28:63" x14ac:dyDescent="0.55000000000000004">
      <c r="AB165">
        <f ca="1"/>
      </c>
      <c r="AC165">
        <f ca="1"/>
      </c>
      <c r="AD165">
        <f ca="1"/>
      </c>
      <c r="AE165">
        <f ca="1"/>
      </c>
      <c r="AF165">
        <f ca="1"/>
      </c>
      <c r="AG165">
        <f ca="1"/>
      </c>
      <c r="AH165">
        <f ca="1"/>
      </c>
      <c r="AL165" s="7">
        <f ca="1"/>
      </c>
      <c r="AM165" s="14">
        <f ca="1"/>
      </c>
      <c r="AN165" s="14">
        <f ca="1"/>
      </c>
      <c r="AO165" s="14">
        <f ca="1"/>
      </c>
      <c r="AP165" s="14">
        <f ca="1"/>
      </c>
      <c r="AQ165" s="14">
        <f ca="1"/>
      </c>
      <c r="AR165" s="14">
        <f ca="1"/>
      </c>
      <c r="AV165" s="14">
        <f ca="1"/>
      </c>
      <c r="AW165" s="14">
        <f ca="1"/>
      </c>
      <c r="AX165" s="14">
        <f ca="1"/>
      </c>
      <c r="AY165" s="14">
        <f ca="1"/>
      </c>
      <c r="AZ165" s="14">
        <f ca="1"/>
      </c>
      <c r="BB165">
        <f ca="1"/>
      </c>
      <c r="BC165">
        <f ca="1"/>
      </c>
      <c r="BD165">
        <f ca="1"/>
      </c>
      <c r="BF165" s="7">
        <f ca="1"/>
      </c>
      <c r="BG165" s="14">
        <f ca="1"/>
      </c>
      <c r="BH165" s="14">
        <f ca="1"/>
      </c>
      <c r="BI165" s="14">
        <f ca="1"/>
      </c>
      <c r="BJ165" s="14">
        <f ca="1"/>
      </c>
      <c r="BK165" s="14">
        <f ca="1"/>
      </c>
    </row>
    <row r="166" spans="28:63" x14ac:dyDescent="0.55000000000000004">
      <c r="AB166">
        <f ca="1"/>
      </c>
      <c r="AC166">
        <f ca="1"/>
      </c>
      <c r="AD166">
        <f ca="1"/>
      </c>
      <c r="AE166">
        <f ca="1"/>
      </c>
      <c r="AF166">
        <f ca="1"/>
      </c>
      <c r="AG166">
        <f ca="1"/>
      </c>
      <c r="AH166">
        <f ca="1"/>
      </c>
      <c r="AL166" s="7">
        <f ca="1"/>
      </c>
      <c r="AM166" s="14">
        <f ca="1"/>
      </c>
      <c r="AN166" s="14">
        <f ca="1"/>
      </c>
      <c r="AO166" s="14">
        <f ca="1"/>
      </c>
      <c r="AP166" s="14">
        <f ca="1"/>
      </c>
      <c r="AQ166" s="14">
        <f ca="1"/>
      </c>
      <c r="AR166" s="14">
        <f ca="1"/>
      </c>
      <c r="AV166" s="14">
        <f ca="1"/>
      </c>
      <c r="AW166" s="14">
        <f ca="1"/>
      </c>
      <c r="AX166" s="14">
        <f ca="1"/>
      </c>
      <c r="AY166" s="14">
        <f ca="1"/>
      </c>
      <c r="AZ166" s="14">
        <f ca="1"/>
      </c>
      <c r="BB166">
        <f ca="1"/>
      </c>
      <c r="BC166">
        <f ca="1"/>
      </c>
      <c r="BD166">
        <f ca="1"/>
      </c>
      <c r="BF166" s="7">
        <f ca="1"/>
      </c>
      <c r="BG166" s="14">
        <f ca="1"/>
      </c>
      <c r="BH166" s="14">
        <f ca="1"/>
      </c>
      <c r="BI166" s="14">
        <f ca="1"/>
      </c>
      <c r="BJ166" s="14">
        <f ca="1"/>
      </c>
      <c r="BK166" s="14">
        <f ca="1"/>
      </c>
    </row>
    <row r="167" spans="28:63" x14ac:dyDescent="0.55000000000000004">
      <c r="AB167">
        <f ca="1"/>
      </c>
      <c r="AC167">
        <f ca="1"/>
      </c>
      <c r="AD167">
        <f ca="1"/>
      </c>
      <c r="AE167">
        <f ca="1"/>
      </c>
      <c r="AF167">
        <f ca="1"/>
      </c>
      <c r="AG167">
        <f ca="1"/>
      </c>
      <c r="AH167">
        <f ca="1"/>
      </c>
      <c r="AL167" s="7">
        <f ca="1"/>
      </c>
      <c r="AM167" s="14">
        <f ca="1"/>
      </c>
      <c r="AN167" s="14">
        <f ca="1"/>
      </c>
      <c r="AO167" s="14">
        <f ca="1"/>
      </c>
      <c r="AP167" s="14">
        <f ca="1"/>
      </c>
      <c r="AQ167" s="14">
        <f ca="1"/>
      </c>
      <c r="AR167" s="14">
        <f ca="1"/>
      </c>
      <c r="AV167" s="14">
        <f ca="1"/>
      </c>
      <c r="AW167" s="14">
        <f ca="1"/>
      </c>
      <c r="AX167" s="14">
        <f ca="1"/>
      </c>
      <c r="AY167" s="14">
        <f ca="1"/>
      </c>
      <c r="AZ167" s="14">
        <f ca="1"/>
      </c>
      <c r="BB167">
        <f ca="1"/>
      </c>
      <c r="BC167">
        <f ca="1"/>
      </c>
      <c r="BD167">
        <f ca="1"/>
      </c>
      <c r="BF167" s="7">
        <f ca="1"/>
      </c>
      <c r="BG167" s="14">
        <f ca="1"/>
      </c>
      <c r="BH167" s="14">
        <f ca="1"/>
      </c>
      <c r="BI167" s="14">
        <f ca="1"/>
      </c>
      <c r="BJ167" s="14">
        <f ca="1"/>
      </c>
      <c r="BK167" s="14">
        <f ca="1"/>
      </c>
    </row>
    <row r="168" spans="28:63" x14ac:dyDescent="0.55000000000000004">
      <c r="AB168">
        <f ca="1"/>
      </c>
      <c r="AC168">
        <f ca="1"/>
      </c>
      <c r="AD168">
        <f ca="1"/>
      </c>
      <c r="AE168">
        <f ca="1"/>
      </c>
      <c r="AF168">
        <f ca="1"/>
      </c>
      <c r="AG168">
        <f ca="1"/>
      </c>
      <c r="AH168">
        <f ca="1"/>
      </c>
      <c r="AL168" s="7">
        <f ca="1"/>
      </c>
      <c r="AM168" s="14">
        <f ca="1"/>
      </c>
      <c r="AN168" s="14">
        <f ca="1"/>
      </c>
      <c r="AO168" s="14">
        <f ca="1"/>
      </c>
      <c r="AP168" s="14">
        <f ca="1"/>
      </c>
      <c r="AQ168" s="14">
        <f ca="1"/>
      </c>
      <c r="AR168" s="14">
        <f ca="1"/>
      </c>
      <c r="AV168" s="14">
        <f ca="1"/>
      </c>
      <c r="AW168" s="14">
        <f ca="1"/>
      </c>
      <c r="AX168" s="14">
        <f ca="1"/>
      </c>
      <c r="AY168" s="14">
        <f ca="1"/>
      </c>
      <c r="AZ168" s="14">
        <f ca="1"/>
      </c>
      <c r="BB168">
        <f ca="1"/>
      </c>
      <c r="BC168">
        <f ca="1"/>
      </c>
      <c r="BD168">
        <f ca="1"/>
      </c>
      <c r="BF168" s="7">
        <f ca="1"/>
      </c>
      <c r="BG168" s="14">
        <f ca="1"/>
      </c>
      <c r="BH168" s="14">
        <f ca="1"/>
      </c>
      <c r="BI168" s="14">
        <f ca="1"/>
      </c>
      <c r="BJ168" s="14">
        <f ca="1"/>
      </c>
      <c r="BK168" s="14">
        <f ca="1"/>
      </c>
    </row>
    <row r="169" spans="28:63" x14ac:dyDescent="0.55000000000000004">
      <c r="AB169">
        <f ca="1"/>
      </c>
      <c r="AC169">
        <f ca="1"/>
      </c>
      <c r="AD169">
        <f ca="1"/>
      </c>
      <c r="AE169">
        <f ca="1"/>
      </c>
      <c r="AF169">
        <f ca="1"/>
      </c>
      <c r="AG169">
        <f ca="1"/>
      </c>
      <c r="AH169">
        <f ca="1"/>
      </c>
      <c r="AL169" s="7">
        <f ca="1"/>
      </c>
      <c r="AM169" s="14">
        <f ca="1"/>
      </c>
      <c r="AN169" s="14">
        <f ca="1"/>
      </c>
      <c r="AO169" s="14">
        <f ca="1"/>
      </c>
      <c r="AP169" s="14">
        <f ca="1"/>
      </c>
      <c r="AQ169" s="14">
        <f ca="1"/>
      </c>
      <c r="AR169" s="14">
        <f ca="1"/>
      </c>
      <c r="AV169" s="14">
        <f ca="1"/>
      </c>
      <c r="AW169" s="14">
        <f ca="1"/>
      </c>
      <c r="AX169" s="14">
        <f ca="1"/>
      </c>
      <c r="AY169" s="14">
        <f ca="1"/>
      </c>
      <c r="AZ169" s="14">
        <f ca="1"/>
      </c>
      <c r="BB169">
        <f ca="1"/>
      </c>
      <c r="BC169">
        <f ca="1"/>
      </c>
      <c r="BD169">
        <f ca="1"/>
      </c>
      <c r="BF169" s="7">
        <f ca="1"/>
      </c>
      <c r="BG169" s="14">
        <f ca="1"/>
      </c>
      <c r="BH169" s="14">
        <f ca="1"/>
      </c>
      <c r="BI169" s="14">
        <f ca="1"/>
      </c>
      <c r="BJ169" s="14">
        <f ca="1"/>
      </c>
      <c r="BK169" s="14">
        <f ca="1"/>
      </c>
    </row>
    <row r="170" spans="28:63" x14ac:dyDescent="0.55000000000000004">
      <c r="AB170">
        <f ca="1"/>
      </c>
      <c r="AC170">
        <f ca="1"/>
      </c>
      <c r="AD170">
        <f ca="1"/>
      </c>
      <c r="AE170">
        <f ca="1"/>
      </c>
      <c r="AF170">
        <f ca="1"/>
      </c>
      <c r="AG170">
        <f ca="1"/>
      </c>
      <c r="AH170">
        <f ca="1"/>
      </c>
      <c r="AL170" s="7">
        <f ca="1"/>
      </c>
      <c r="AM170" s="14">
        <f ca="1"/>
      </c>
      <c r="AN170" s="14">
        <f ca="1"/>
      </c>
      <c r="AO170" s="14">
        <f ca="1"/>
      </c>
      <c r="AP170" s="14">
        <f ca="1"/>
      </c>
      <c r="AQ170" s="14">
        <f ca="1"/>
      </c>
      <c r="AR170" s="14">
        <f ca="1"/>
      </c>
      <c r="AV170" s="14">
        <f ca="1"/>
      </c>
      <c r="AW170" s="14">
        <f ca="1"/>
      </c>
      <c r="AX170" s="14">
        <f ca="1"/>
      </c>
      <c r="AY170" s="14">
        <f ca="1"/>
      </c>
      <c r="AZ170" s="14">
        <f ca="1"/>
      </c>
      <c r="BB170">
        <f ca="1"/>
      </c>
      <c r="BC170">
        <f ca="1"/>
      </c>
      <c r="BD170">
        <f ca="1"/>
      </c>
      <c r="BF170" s="7">
        <f ca="1"/>
      </c>
      <c r="BG170" s="14">
        <f ca="1"/>
      </c>
      <c r="BH170" s="14">
        <f ca="1"/>
      </c>
      <c r="BI170" s="14">
        <f ca="1"/>
      </c>
      <c r="BJ170" s="14">
        <f ca="1"/>
      </c>
      <c r="BK170" s="14">
        <f ca="1"/>
      </c>
    </row>
    <row r="171" spans="28:63" x14ac:dyDescent="0.55000000000000004">
      <c r="AB171">
        <f ca="1"/>
      </c>
      <c r="AC171">
        <f ca="1"/>
      </c>
      <c r="AD171">
        <f ca="1"/>
      </c>
      <c r="AE171">
        <f ca="1"/>
      </c>
      <c r="AF171">
        <f ca="1"/>
      </c>
      <c r="AG171">
        <f ca="1"/>
      </c>
      <c r="AH171">
        <f ca="1"/>
      </c>
      <c r="AL171" s="7">
        <f ca="1"/>
      </c>
      <c r="AM171" s="14">
        <f ca="1"/>
      </c>
      <c r="AN171" s="14">
        <f ca="1"/>
      </c>
      <c r="AO171" s="14">
        <f ca="1"/>
      </c>
      <c r="AP171" s="14">
        <f ca="1"/>
      </c>
      <c r="AQ171" s="14">
        <f ca="1"/>
      </c>
      <c r="AR171" s="14">
        <f ca="1"/>
      </c>
      <c r="AV171" s="14">
        <f ca="1"/>
      </c>
      <c r="AW171" s="14">
        <f ca="1"/>
      </c>
      <c r="AX171" s="14">
        <f ca="1"/>
      </c>
      <c r="AY171" s="14">
        <f ca="1"/>
      </c>
      <c r="AZ171" s="14">
        <f ca="1"/>
      </c>
      <c r="BB171">
        <f ca="1"/>
      </c>
      <c r="BC171">
        <f ca="1"/>
      </c>
      <c r="BD171">
        <f ca="1"/>
      </c>
      <c r="BF171" s="7">
        <f ca="1"/>
      </c>
      <c r="BG171" s="14">
        <f ca="1"/>
      </c>
      <c r="BH171" s="14">
        <f ca="1"/>
      </c>
      <c r="BI171" s="14">
        <f ca="1"/>
      </c>
      <c r="BJ171" s="14">
        <f ca="1"/>
      </c>
      <c r="BK171" s="14">
        <f ca="1"/>
      </c>
    </row>
    <row r="172" spans="28:63" x14ac:dyDescent="0.55000000000000004">
      <c r="AB172">
        <f ca="1"/>
      </c>
      <c r="AC172">
        <f ca="1"/>
      </c>
      <c r="AD172">
        <f ca="1"/>
      </c>
      <c r="AE172">
        <f ca="1"/>
      </c>
      <c r="AF172">
        <f ca="1"/>
      </c>
      <c r="AG172">
        <f ca="1"/>
      </c>
      <c r="AH172">
        <f ca="1"/>
      </c>
      <c r="AL172" s="7">
        <f ca="1"/>
      </c>
      <c r="AM172" s="14">
        <f ca="1"/>
      </c>
      <c r="AN172" s="14">
        <f ca="1"/>
      </c>
      <c r="AO172" s="14">
        <f ca="1"/>
      </c>
      <c r="AP172" s="14">
        <f ca="1"/>
      </c>
      <c r="AQ172" s="14">
        <f ca="1"/>
      </c>
      <c r="AR172" s="14">
        <f ca="1"/>
      </c>
      <c r="AV172" s="14">
        <f ca="1"/>
      </c>
      <c r="AW172" s="14">
        <f ca="1"/>
      </c>
      <c r="AX172" s="14">
        <f ca="1"/>
      </c>
      <c r="AY172" s="14">
        <f ca="1"/>
      </c>
      <c r="AZ172" s="14">
        <f ca="1"/>
      </c>
      <c r="BB172">
        <f ca="1"/>
      </c>
      <c r="BC172">
        <f ca="1"/>
      </c>
      <c r="BD172">
        <f ca="1"/>
      </c>
      <c r="BF172" s="7">
        <f ca="1"/>
      </c>
      <c r="BG172" s="14">
        <f ca="1"/>
      </c>
      <c r="BH172" s="14">
        <f ca="1"/>
      </c>
      <c r="BI172" s="14">
        <f ca="1"/>
      </c>
      <c r="BJ172" s="14">
        <f ca="1"/>
      </c>
      <c r="BK172" s="14">
        <f ca="1"/>
      </c>
    </row>
    <row r="173" spans="28:63" x14ac:dyDescent="0.55000000000000004">
      <c r="AB173">
        <f ca="1"/>
      </c>
      <c r="AC173">
        <f ca="1"/>
      </c>
      <c r="AD173">
        <f ca="1"/>
      </c>
      <c r="AE173">
        <f ca="1"/>
      </c>
      <c r="AF173">
        <f ca="1"/>
      </c>
      <c r="AG173">
        <f ca="1"/>
      </c>
      <c r="AH173">
        <f ca="1"/>
      </c>
      <c r="AL173" s="7">
        <f ca="1"/>
      </c>
      <c r="AM173" s="14">
        <f ca="1"/>
      </c>
      <c r="AN173" s="14">
        <f ca="1"/>
      </c>
      <c r="AO173" s="14">
        <f ca="1"/>
      </c>
      <c r="AP173" s="14">
        <f ca="1"/>
      </c>
      <c r="AQ173" s="14">
        <f ca="1"/>
      </c>
      <c r="AR173" s="14">
        <f ca="1"/>
      </c>
      <c r="AV173" s="14">
        <f ca="1"/>
      </c>
      <c r="AW173" s="14">
        <f ca="1"/>
      </c>
      <c r="AX173" s="14">
        <f ca="1"/>
      </c>
      <c r="AY173" s="14">
        <f ca="1"/>
      </c>
      <c r="AZ173" s="14">
        <f ca="1"/>
      </c>
      <c r="BB173">
        <f ca="1"/>
      </c>
      <c r="BC173">
        <f ca="1"/>
      </c>
      <c r="BD173">
        <f ca="1"/>
      </c>
      <c r="BF173" s="7">
        <f ca="1"/>
      </c>
      <c r="BG173" s="14">
        <f ca="1"/>
      </c>
      <c r="BH173" s="14">
        <f ca="1"/>
      </c>
      <c r="BI173" s="14">
        <f ca="1"/>
      </c>
      <c r="BJ173" s="14">
        <f ca="1"/>
      </c>
      <c r="BK173" s="14">
        <f ca="1"/>
      </c>
    </row>
    <row r="174" spans="28:63" x14ac:dyDescent="0.55000000000000004">
      <c r="AB174">
        <f ca="1"/>
      </c>
      <c r="AC174">
        <f ca="1"/>
      </c>
      <c r="AD174">
        <f ca="1"/>
      </c>
      <c r="AE174">
        <f ca="1"/>
      </c>
      <c r="AF174">
        <f ca="1"/>
      </c>
      <c r="AG174">
        <f ca="1"/>
      </c>
      <c r="AH174">
        <f ca="1"/>
      </c>
      <c r="AL174" s="7">
        <f ca="1"/>
      </c>
      <c r="AM174" s="14">
        <f ca="1"/>
      </c>
      <c r="AN174" s="14">
        <f ca="1"/>
      </c>
      <c r="AO174" s="14">
        <f ca="1"/>
      </c>
      <c r="AP174" s="14">
        <f ca="1"/>
      </c>
      <c r="AQ174" s="14">
        <f ca="1"/>
      </c>
      <c r="AR174" s="14">
        <f ca="1"/>
      </c>
      <c r="AV174" s="14">
        <f ca="1"/>
      </c>
      <c r="AW174" s="14">
        <f ca="1"/>
      </c>
      <c r="AX174" s="14">
        <f ca="1"/>
      </c>
      <c r="AY174" s="14">
        <f ca="1"/>
      </c>
      <c r="AZ174" s="14">
        <f ca="1"/>
      </c>
      <c r="BB174">
        <f ca="1"/>
      </c>
      <c r="BC174">
        <f ca="1"/>
      </c>
      <c r="BD174">
        <f ca="1"/>
      </c>
      <c r="BF174" s="7">
        <f ca="1"/>
      </c>
      <c r="BG174" s="14">
        <f ca="1"/>
      </c>
      <c r="BH174" s="14">
        <f ca="1"/>
      </c>
      <c r="BI174" s="14">
        <f ca="1"/>
      </c>
      <c r="BJ174" s="14">
        <f ca="1"/>
      </c>
      <c r="BK174" s="14">
        <f ca="1"/>
      </c>
    </row>
    <row r="175" spans="28:63" x14ac:dyDescent="0.55000000000000004">
      <c r="AB175">
        <f ca="1"/>
      </c>
      <c r="AC175">
        <f ca="1"/>
      </c>
      <c r="AD175">
        <f ca="1"/>
      </c>
      <c r="AE175">
        <f ca="1"/>
      </c>
      <c r="AF175">
        <f ca="1"/>
      </c>
      <c r="AG175">
        <f ca="1"/>
      </c>
      <c r="AH175">
        <f ca="1"/>
      </c>
      <c r="AL175" s="7">
        <f ca="1"/>
      </c>
      <c r="AM175" s="14">
        <f ca="1"/>
      </c>
      <c r="AN175" s="14">
        <f ca="1"/>
      </c>
      <c r="AO175" s="14">
        <f ca="1"/>
      </c>
      <c r="AP175" s="14">
        <f ca="1"/>
      </c>
      <c r="AQ175" s="14">
        <f ca="1"/>
      </c>
      <c r="AR175" s="14">
        <f ca="1"/>
      </c>
      <c r="AV175" s="14">
        <f ca="1"/>
      </c>
      <c r="AW175" s="14">
        <f ca="1"/>
      </c>
      <c r="AX175" s="14">
        <f ca="1"/>
      </c>
      <c r="AY175" s="14">
        <f ca="1"/>
      </c>
      <c r="AZ175" s="14">
        <f ca="1"/>
      </c>
      <c r="BB175">
        <f ca="1"/>
      </c>
      <c r="BC175">
        <f ca="1"/>
      </c>
      <c r="BD175">
        <f ca="1"/>
      </c>
      <c r="BF175" s="7">
        <f ca="1"/>
      </c>
      <c r="BG175" s="14">
        <f ca="1"/>
      </c>
      <c r="BH175" s="14">
        <f ca="1"/>
      </c>
      <c r="BI175" s="14">
        <f ca="1"/>
      </c>
      <c r="BJ175" s="14">
        <f ca="1"/>
      </c>
      <c r="BK175" s="14">
        <f ca="1"/>
      </c>
    </row>
    <row r="176" spans="28:63" x14ac:dyDescent="0.55000000000000004">
      <c r="AB176">
        <f ca="1"/>
      </c>
      <c r="AC176">
        <f ca="1"/>
      </c>
      <c r="AD176">
        <f ca="1"/>
      </c>
      <c r="AE176">
        <f ca="1"/>
      </c>
      <c r="AF176">
        <f ca="1"/>
      </c>
      <c r="AG176">
        <f ca="1"/>
      </c>
      <c r="AH176">
        <f ca="1"/>
      </c>
      <c r="AL176" s="7">
        <f ca="1"/>
      </c>
      <c r="AM176" s="14">
        <f ca="1"/>
      </c>
      <c r="AN176" s="14">
        <f ca="1"/>
      </c>
      <c r="AO176" s="14">
        <f ca="1"/>
      </c>
      <c r="AP176" s="14">
        <f ca="1"/>
      </c>
      <c r="AQ176" s="14">
        <f ca="1"/>
      </c>
      <c r="AR176" s="14">
        <f ca="1"/>
      </c>
      <c r="AV176" s="14">
        <f ca="1"/>
      </c>
      <c r="AW176" s="14">
        <f ca="1"/>
      </c>
      <c r="AX176" s="14">
        <f ca="1"/>
      </c>
      <c r="AY176" s="14">
        <f ca="1"/>
      </c>
      <c r="AZ176" s="14">
        <f ca="1"/>
      </c>
      <c r="BB176">
        <f ca="1"/>
      </c>
      <c r="BC176">
        <f ca="1"/>
      </c>
      <c r="BD176">
        <f ca="1"/>
      </c>
      <c r="BF176" s="7">
        <f ca="1"/>
      </c>
      <c r="BG176" s="14">
        <f ca="1"/>
      </c>
      <c r="BH176" s="14">
        <f ca="1"/>
      </c>
      <c r="BI176" s="14">
        <f ca="1"/>
      </c>
      <c r="BJ176" s="14">
        <f ca="1"/>
      </c>
      <c r="BK176" s="14">
        <f ca="1"/>
      </c>
    </row>
    <row r="177" spans="28:63" x14ac:dyDescent="0.55000000000000004">
      <c r="AB177">
        <f ca="1"/>
      </c>
      <c r="AC177">
        <f ca="1"/>
      </c>
      <c r="AD177">
        <f ca="1"/>
      </c>
      <c r="AE177">
        <f ca="1"/>
      </c>
      <c r="AF177">
        <f ca="1"/>
      </c>
      <c r="AG177">
        <f ca="1"/>
      </c>
      <c r="AH177">
        <f ca="1"/>
      </c>
      <c r="AL177" s="7">
        <f ca="1"/>
      </c>
      <c r="AM177" s="14">
        <f ca="1"/>
      </c>
      <c r="AN177" s="14">
        <f ca="1"/>
      </c>
      <c r="AO177" s="14">
        <f ca="1"/>
      </c>
      <c r="AP177" s="14">
        <f ca="1"/>
      </c>
      <c r="AQ177" s="14">
        <f ca="1"/>
      </c>
      <c r="AR177" s="14">
        <f ca="1"/>
      </c>
      <c r="AV177" s="14">
        <f ca="1"/>
      </c>
      <c r="AW177" s="14">
        <f ca="1"/>
      </c>
      <c r="AX177" s="14">
        <f ca="1"/>
      </c>
      <c r="AY177" s="14">
        <f ca="1"/>
      </c>
      <c r="AZ177" s="14">
        <f ca="1"/>
      </c>
      <c r="BB177">
        <f ca="1"/>
      </c>
      <c r="BC177">
        <f ca="1"/>
      </c>
      <c r="BD177">
        <f ca="1"/>
      </c>
      <c r="BF177" s="7">
        <f ca="1"/>
      </c>
      <c r="BG177" s="14">
        <f ca="1"/>
      </c>
      <c r="BH177" s="14">
        <f ca="1"/>
      </c>
      <c r="BI177" s="14">
        <f ca="1"/>
      </c>
      <c r="BJ177" s="14">
        <f ca="1"/>
      </c>
      <c r="BK177" s="14">
        <f ca="1"/>
      </c>
    </row>
    <row r="178" spans="28:63" x14ac:dyDescent="0.55000000000000004">
      <c r="AB178">
        <f ca="1"/>
      </c>
      <c r="AC178">
        <f ca="1"/>
      </c>
      <c r="AD178">
        <f ca="1"/>
      </c>
      <c r="AE178">
        <f ca="1"/>
      </c>
      <c r="AF178">
        <f ca="1"/>
      </c>
      <c r="AG178">
        <f ca="1"/>
      </c>
      <c r="AH178">
        <f ca="1"/>
      </c>
      <c r="AL178" s="7">
        <f ca="1"/>
      </c>
      <c r="AM178" s="14">
        <f ca="1"/>
      </c>
      <c r="AN178" s="14">
        <f ca="1"/>
      </c>
      <c r="AO178" s="14">
        <f ca="1"/>
      </c>
      <c r="AP178" s="14">
        <f ca="1"/>
      </c>
      <c r="AQ178" s="14">
        <f ca="1"/>
      </c>
      <c r="AR178" s="14">
        <f ca="1"/>
      </c>
      <c r="AV178" s="14">
        <f ca="1"/>
      </c>
      <c r="AW178" s="14">
        <f ca="1"/>
      </c>
      <c r="AX178" s="14">
        <f ca="1"/>
      </c>
      <c r="AY178" s="14">
        <f ca="1"/>
      </c>
      <c r="AZ178" s="14">
        <f ca="1"/>
      </c>
      <c r="BB178">
        <f ca="1"/>
      </c>
      <c r="BC178">
        <f ca="1"/>
      </c>
      <c r="BD178">
        <f ca="1"/>
      </c>
      <c r="BF178" s="7">
        <f ca="1"/>
      </c>
      <c r="BG178" s="14">
        <f ca="1"/>
      </c>
      <c r="BH178" s="14">
        <f ca="1"/>
      </c>
      <c r="BI178" s="14">
        <f ca="1"/>
      </c>
      <c r="BJ178" s="14">
        <f ca="1"/>
      </c>
      <c r="BK178" s="14">
        <f ca="1"/>
      </c>
    </row>
    <row r="179" spans="28:63" x14ac:dyDescent="0.55000000000000004">
      <c r="AB179">
        <f ca="1"/>
      </c>
      <c r="AC179">
        <f ca="1"/>
      </c>
      <c r="AD179">
        <f ca="1"/>
      </c>
      <c r="AE179">
        <f ca="1"/>
      </c>
      <c r="AF179">
        <f ca="1"/>
      </c>
      <c r="AG179">
        <f ca="1"/>
      </c>
      <c r="AH179">
        <f ca="1"/>
      </c>
      <c r="AL179" s="7">
        <f ca="1"/>
      </c>
      <c r="AM179" s="14">
        <f ca="1"/>
      </c>
      <c r="AN179" s="14">
        <f ca="1"/>
      </c>
      <c r="AO179" s="14">
        <f ca="1"/>
      </c>
      <c r="AP179" s="14">
        <f ca="1"/>
      </c>
      <c r="AQ179" s="14">
        <f ca="1"/>
      </c>
      <c r="AR179" s="14">
        <f ca="1"/>
      </c>
      <c r="AV179" s="14">
        <f ca="1"/>
      </c>
      <c r="AW179" s="14">
        <f ca="1"/>
      </c>
      <c r="AX179" s="14">
        <f ca="1"/>
      </c>
      <c r="AY179" s="14">
        <f ca="1"/>
      </c>
      <c r="AZ179" s="14">
        <f ca="1"/>
      </c>
      <c r="BB179">
        <f ca="1"/>
      </c>
      <c r="BC179">
        <f ca="1"/>
      </c>
      <c r="BD179">
        <f ca="1"/>
      </c>
      <c r="BF179" s="7">
        <f ca="1"/>
      </c>
      <c r="BG179" s="14">
        <f ca="1"/>
      </c>
      <c r="BH179" s="14">
        <f ca="1"/>
      </c>
      <c r="BI179" s="14">
        <f ca="1"/>
      </c>
      <c r="BJ179" s="14">
        <f ca="1"/>
      </c>
      <c r="BK179" s="14">
        <f ca="1"/>
      </c>
    </row>
    <row r="180" spans="28:63" x14ac:dyDescent="0.55000000000000004">
      <c r="AB180">
        <f ca="1"/>
      </c>
      <c r="AC180">
        <f ca="1"/>
      </c>
      <c r="AD180">
        <f ca="1"/>
      </c>
      <c r="AE180">
        <f ca="1"/>
      </c>
      <c r="AF180">
        <f ca="1"/>
      </c>
      <c r="AG180">
        <f ca="1"/>
      </c>
      <c r="AH180">
        <f ca="1"/>
      </c>
      <c r="AL180" s="7">
        <f ca="1"/>
      </c>
      <c r="AM180" s="14">
        <f ca="1"/>
      </c>
      <c r="AN180" s="14">
        <f ca="1"/>
      </c>
      <c r="AO180" s="14">
        <f ca="1"/>
      </c>
      <c r="AP180" s="14">
        <f ca="1"/>
      </c>
      <c r="AQ180" s="14">
        <f ca="1"/>
      </c>
      <c r="AR180" s="14">
        <f ca="1"/>
      </c>
      <c r="AV180" s="14">
        <f ca="1"/>
      </c>
      <c r="AW180" s="14">
        <f ca="1"/>
      </c>
      <c r="AX180" s="14">
        <f ca="1"/>
      </c>
      <c r="AY180" s="14">
        <f ca="1"/>
      </c>
      <c r="AZ180" s="14">
        <f ca="1"/>
      </c>
      <c r="BB180">
        <f ca="1"/>
      </c>
      <c r="BC180">
        <f ca="1"/>
      </c>
      <c r="BD180">
        <f ca="1"/>
      </c>
      <c r="BF180" s="7">
        <f ca="1"/>
      </c>
      <c r="BG180" s="14">
        <f ca="1"/>
      </c>
      <c r="BH180" s="14">
        <f ca="1"/>
      </c>
      <c r="BI180" s="14">
        <f ca="1"/>
      </c>
      <c r="BJ180" s="14">
        <f ca="1"/>
      </c>
      <c r="BK180" s="14">
        <f ca="1"/>
      </c>
    </row>
    <row r="181" spans="28:63" x14ac:dyDescent="0.55000000000000004">
      <c r="AB181">
        <f ca="1"/>
      </c>
      <c r="AC181">
        <f ca="1"/>
      </c>
      <c r="AD181">
        <f ca="1"/>
      </c>
      <c r="AE181">
        <f ca="1"/>
      </c>
      <c r="AF181">
        <f ca="1"/>
      </c>
      <c r="AG181">
        <f ca="1"/>
      </c>
      <c r="AH181">
        <f ca="1"/>
      </c>
      <c r="AL181" s="7">
        <f ca="1"/>
      </c>
      <c r="AM181" s="14">
        <f ca="1"/>
      </c>
      <c r="AN181" s="14">
        <f ca="1"/>
      </c>
      <c r="AO181" s="14">
        <f ca="1"/>
      </c>
      <c r="AP181" s="14">
        <f ca="1"/>
      </c>
      <c r="AQ181" s="14">
        <f ca="1"/>
      </c>
      <c r="AR181" s="14">
        <f ca="1"/>
      </c>
      <c r="AV181" s="14">
        <f ca="1"/>
      </c>
      <c r="AW181" s="14">
        <f ca="1"/>
      </c>
      <c r="AX181" s="14">
        <f ca="1"/>
      </c>
      <c r="AY181" s="14">
        <f ca="1"/>
      </c>
      <c r="AZ181" s="14">
        <f ca="1"/>
      </c>
      <c r="BB181">
        <f ca="1"/>
      </c>
      <c r="BC181">
        <f ca="1"/>
      </c>
      <c r="BD181">
        <f ca="1"/>
      </c>
      <c r="BF181" s="7">
        <f ca="1"/>
      </c>
      <c r="BG181" s="14">
        <f ca="1"/>
      </c>
      <c r="BH181" s="14">
        <f ca="1"/>
      </c>
      <c r="BI181" s="14">
        <f ca="1"/>
      </c>
      <c r="BJ181" s="14">
        <f ca="1"/>
      </c>
      <c r="BK181" s="14">
        <f ca="1"/>
      </c>
    </row>
    <row r="182" spans="28:63" x14ac:dyDescent="0.55000000000000004">
      <c r="AB182">
        <f ca="1"/>
      </c>
      <c r="AC182">
        <f ca="1"/>
      </c>
      <c r="AD182">
        <f ca="1"/>
      </c>
      <c r="AE182">
        <f ca="1"/>
      </c>
      <c r="AF182">
        <f ca="1"/>
      </c>
      <c r="AG182">
        <f ca="1"/>
      </c>
      <c r="AH182">
        <f ca="1"/>
      </c>
      <c r="AL182" s="7">
        <f ca="1"/>
      </c>
      <c r="AM182" s="14">
        <f ca="1"/>
      </c>
      <c r="AN182" s="14">
        <f ca="1"/>
      </c>
      <c r="AO182" s="14">
        <f ca="1"/>
      </c>
      <c r="AP182" s="14">
        <f ca="1"/>
      </c>
      <c r="AQ182" s="14">
        <f ca="1"/>
      </c>
      <c r="AR182" s="14">
        <f ca="1"/>
      </c>
      <c r="AV182" s="14">
        <f ca="1"/>
      </c>
      <c r="AW182" s="14">
        <f ca="1"/>
      </c>
      <c r="AX182" s="14">
        <f ca="1"/>
      </c>
      <c r="AY182" s="14">
        <f ca="1"/>
      </c>
      <c r="AZ182" s="14">
        <f ca="1"/>
      </c>
      <c r="BB182">
        <f ca="1"/>
      </c>
      <c r="BC182">
        <f ca="1"/>
      </c>
      <c r="BD182">
        <f ca="1"/>
      </c>
      <c r="BF182" s="7">
        <f ca="1"/>
      </c>
      <c r="BG182" s="14">
        <f ca="1"/>
      </c>
      <c r="BH182" s="14">
        <f ca="1"/>
      </c>
      <c r="BI182" s="14">
        <f ca="1"/>
      </c>
      <c r="BJ182" s="14">
        <f ca="1"/>
      </c>
      <c r="BK182" s="14">
        <f ca="1"/>
      </c>
    </row>
    <row r="183" spans="28:63" x14ac:dyDescent="0.55000000000000004">
      <c r="AB183">
        <f ca="1"/>
      </c>
      <c r="AC183">
        <f ca="1"/>
      </c>
      <c r="AD183">
        <f ca="1"/>
      </c>
      <c r="AE183">
        <f ca="1"/>
      </c>
      <c r="AF183">
        <f ca="1"/>
      </c>
      <c r="AG183">
        <f ca="1"/>
      </c>
      <c r="AH183">
        <f ca="1"/>
      </c>
      <c r="AL183" s="7">
        <f ca="1"/>
      </c>
      <c r="AM183" s="14">
        <f ca="1"/>
      </c>
      <c r="AN183" s="14">
        <f ca="1"/>
      </c>
      <c r="AO183" s="14">
        <f ca="1"/>
      </c>
      <c r="AP183" s="14">
        <f ca="1"/>
      </c>
      <c r="AQ183" s="14">
        <f ca="1"/>
      </c>
      <c r="AR183" s="14">
        <f ca="1"/>
      </c>
      <c r="AV183" s="14">
        <f ca="1"/>
      </c>
      <c r="AW183" s="14">
        <f ca="1"/>
      </c>
      <c r="AX183" s="14">
        <f ca="1"/>
      </c>
      <c r="AY183" s="14">
        <f ca="1"/>
      </c>
      <c r="AZ183" s="14">
        <f ca="1"/>
      </c>
      <c r="BB183">
        <f ca="1"/>
      </c>
      <c r="BC183">
        <f ca="1"/>
      </c>
      <c r="BD183">
        <f ca="1"/>
      </c>
      <c r="BF183" s="7">
        <f ca="1"/>
      </c>
      <c r="BG183" s="14">
        <f ca="1"/>
      </c>
      <c r="BH183" s="14">
        <f ca="1"/>
      </c>
      <c r="BI183" s="14">
        <f ca="1"/>
      </c>
      <c r="BJ183" s="14">
        <f ca="1"/>
      </c>
      <c r="BK183" s="14">
        <f ca="1"/>
      </c>
    </row>
    <row r="184" spans="28:63" x14ac:dyDescent="0.55000000000000004">
      <c r="AB184">
        <f ca="1"/>
      </c>
      <c r="AC184">
        <f ca="1"/>
      </c>
      <c r="AD184">
        <f ca="1"/>
      </c>
      <c r="AE184">
        <f ca="1"/>
      </c>
      <c r="AF184">
        <f ca="1"/>
      </c>
      <c r="AG184">
        <f ca="1"/>
      </c>
      <c r="AH184">
        <f ca="1"/>
      </c>
      <c r="AL184" s="7">
        <f ca="1"/>
      </c>
      <c r="AM184" s="14">
        <f ca="1"/>
      </c>
      <c r="AN184" s="14">
        <f ca="1"/>
      </c>
      <c r="AO184" s="14">
        <f ca="1"/>
      </c>
      <c r="AP184" s="14">
        <f ca="1"/>
      </c>
      <c r="AQ184" s="14">
        <f ca="1"/>
      </c>
      <c r="AR184" s="14">
        <f ca="1"/>
      </c>
      <c r="AV184" s="14">
        <f ca="1"/>
      </c>
      <c r="AW184" s="14">
        <f ca="1"/>
      </c>
      <c r="AX184" s="14">
        <f ca="1"/>
      </c>
      <c r="AY184" s="14">
        <f ca="1"/>
      </c>
      <c r="AZ184" s="14">
        <f ca="1"/>
      </c>
      <c r="BB184">
        <f ca="1"/>
      </c>
      <c r="BC184">
        <f ca="1"/>
      </c>
      <c r="BD184">
        <f ca="1"/>
      </c>
      <c r="BF184" s="7">
        <f ca="1"/>
      </c>
      <c r="BG184" s="14">
        <f ca="1"/>
      </c>
      <c r="BH184" s="14">
        <f ca="1"/>
      </c>
      <c r="BI184" s="14">
        <f ca="1"/>
      </c>
      <c r="BJ184" s="14">
        <f ca="1"/>
      </c>
      <c r="BK184" s="14">
        <f ca="1"/>
      </c>
    </row>
    <row r="185" spans="28:63" x14ac:dyDescent="0.55000000000000004">
      <c r="AB185">
        <f ca="1"/>
      </c>
      <c r="AC185">
        <f ca="1"/>
      </c>
      <c r="AD185">
        <f ca="1"/>
      </c>
      <c r="AE185">
        <f ca="1"/>
      </c>
      <c r="AF185">
        <f ca="1"/>
      </c>
      <c r="AG185">
        <f ca="1"/>
      </c>
      <c r="AH185">
        <f ca="1"/>
      </c>
      <c r="AL185" s="7">
        <f ca="1"/>
      </c>
      <c r="AM185" s="14">
        <f ca="1"/>
      </c>
      <c r="AN185" s="14">
        <f ca="1"/>
      </c>
      <c r="AO185" s="14">
        <f ca="1"/>
      </c>
      <c r="AP185" s="14">
        <f ca="1"/>
      </c>
      <c r="AQ185" s="14">
        <f ca="1"/>
      </c>
      <c r="AR185" s="14">
        <f ca="1"/>
      </c>
      <c r="AV185" s="14">
        <f ca="1"/>
      </c>
      <c r="AW185" s="14">
        <f ca="1"/>
      </c>
      <c r="AX185" s="14">
        <f ca="1"/>
      </c>
      <c r="AY185" s="14">
        <f ca="1"/>
      </c>
      <c r="AZ185" s="14">
        <f ca="1"/>
      </c>
      <c r="BB185">
        <f ca="1"/>
      </c>
      <c r="BC185">
        <f ca="1"/>
      </c>
      <c r="BD185">
        <f ca="1"/>
      </c>
      <c r="BF185" s="7">
        <f ca="1"/>
      </c>
      <c r="BG185" s="14">
        <f ca="1"/>
      </c>
      <c r="BH185" s="14">
        <f ca="1"/>
      </c>
      <c r="BI185" s="14">
        <f ca="1"/>
      </c>
      <c r="BJ185" s="14">
        <f ca="1"/>
      </c>
      <c r="BK185" s="14">
        <f ca="1"/>
      </c>
    </row>
    <row r="186" spans="28:63" x14ac:dyDescent="0.55000000000000004">
      <c r="AB186">
        <f ca="1"/>
      </c>
      <c r="AC186">
        <f ca="1"/>
      </c>
      <c r="AD186">
        <f ca="1"/>
      </c>
      <c r="AE186">
        <f ca="1"/>
      </c>
      <c r="AF186">
        <f ca="1"/>
      </c>
      <c r="AG186">
        <f ca="1"/>
      </c>
      <c r="AH186">
        <f ca="1"/>
      </c>
      <c r="AL186" s="7">
        <f ca="1"/>
      </c>
      <c r="AM186" s="14">
        <f ca="1"/>
      </c>
      <c r="AN186" s="14">
        <f ca="1"/>
      </c>
      <c r="AO186" s="14">
        <f ca="1"/>
      </c>
      <c r="AP186" s="14">
        <f ca="1"/>
      </c>
      <c r="AQ186" s="14">
        <f ca="1"/>
      </c>
      <c r="AR186" s="14">
        <f ca="1"/>
      </c>
      <c r="AV186" s="14">
        <f ca="1"/>
      </c>
      <c r="AW186" s="14">
        <f ca="1"/>
      </c>
      <c r="AX186" s="14">
        <f ca="1"/>
      </c>
      <c r="AY186" s="14">
        <f ca="1"/>
      </c>
      <c r="AZ186" s="14">
        <f ca="1"/>
      </c>
      <c r="BB186">
        <f ca="1"/>
      </c>
      <c r="BC186">
        <f ca="1"/>
      </c>
      <c r="BD186">
        <f ca="1"/>
      </c>
      <c r="BF186" s="7">
        <f ca="1"/>
      </c>
      <c r="BG186" s="14">
        <f ca="1"/>
      </c>
      <c r="BH186" s="14">
        <f ca="1"/>
      </c>
      <c r="BI186" s="14">
        <f ca="1"/>
      </c>
      <c r="BJ186" s="14">
        <f ca="1"/>
      </c>
      <c r="BK186" s="14">
        <f ca="1"/>
      </c>
    </row>
    <row r="187" spans="28:63" x14ac:dyDescent="0.55000000000000004">
      <c r="AB187">
        <f ca="1"/>
      </c>
      <c r="AC187">
        <f ca="1"/>
      </c>
      <c r="AD187">
        <f ca="1"/>
      </c>
      <c r="AE187">
        <f ca="1"/>
      </c>
      <c r="AF187">
        <f ca="1"/>
      </c>
      <c r="AG187">
        <f ca="1"/>
      </c>
      <c r="AH187">
        <f ca="1"/>
      </c>
      <c r="AL187" s="7">
        <f ca="1"/>
      </c>
      <c r="AM187" s="14">
        <f ca="1"/>
      </c>
      <c r="AN187" s="14">
        <f ca="1"/>
      </c>
      <c r="AO187" s="14">
        <f ca="1"/>
      </c>
      <c r="AP187" s="14">
        <f ca="1"/>
      </c>
      <c r="AQ187" s="14">
        <f ca="1"/>
      </c>
      <c r="AR187" s="14">
        <f ca="1"/>
      </c>
      <c r="AV187" s="14">
        <f ca="1"/>
      </c>
      <c r="AW187" s="14">
        <f ca="1"/>
      </c>
      <c r="AX187" s="14">
        <f ca="1"/>
      </c>
      <c r="AY187" s="14">
        <f ca="1"/>
      </c>
      <c r="AZ187" s="14">
        <f ca="1"/>
      </c>
      <c r="BB187">
        <f ca="1"/>
      </c>
      <c r="BC187">
        <f ca="1"/>
      </c>
      <c r="BD187">
        <f ca="1"/>
      </c>
      <c r="BF187" s="7">
        <f ca="1"/>
      </c>
      <c r="BG187" s="14">
        <f ca="1"/>
      </c>
      <c r="BH187" s="14">
        <f ca="1"/>
      </c>
      <c r="BI187" s="14">
        <f ca="1"/>
      </c>
      <c r="BJ187" s="14">
        <f ca="1"/>
      </c>
      <c r="BK187" s="14">
        <f ca="1"/>
      </c>
    </row>
    <row r="188" spans="28:63" x14ac:dyDescent="0.55000000000000004">
      <c r="AB188">
        <f ca="1"/>
      </c>
      <c r="AC188">
        <f ca="1"/>
      </c>
      <c r="AD188">
        <f ca="1"/>
      </c>
      <c r="AE188">
        <f ca="1"/>
      </c>
      <c r="AF188">
        <f ca="1"/>
      </c>
      <c r="AG188">
        <f ca="1"/>
      </c>
      <c r="AH188">
        <f ca="1"/>
      </c>
      <c r="AL188" s="7">
        <f ca="1"/>
      </c>
      <c r="AM188" s="14">
        <f ca="1"/>
      </c>
      <c r="AN188" s="14">
        <f ca="1"/>
      </c>
      <c r="AO188" s="14">
        <f ca="1"/>
      </c>
      <c r="AP188" s="14">
        <f ca="1"/>
      </c>
      <c r="AQ188" s="14">
        <f ca="1"/>
      </c>
      <c r="AR188" s="14">
        <f ca="1"/>
      </c>
      <c r="AV188" s="14">
        <f ca="1"/>
      </c>
      <c r="AW188" s="14">
        <f ca="1"/>
      </c>
      <c r="AX188" s="14">
        <f ca="1"/>
      </c>
      <c r="AY188" s="14">
        <f ca="1"/>
      </c>
      <c r="AZ188" s="14">
        <f ca="1"/>
      </c>
      <c r="BB188">
        <f ca="1"/>
      </c>
      <c r="BC188">
        <f ca="1"/>
      </c>
      <c r="BD188">
        <f ca="1"/>
      </c>
      <c r="BF188" s="7">
        <f ca="1"/>
      </c>
      <c r="BG188" s="14">
        <f ca="1"/>
      </c>
      <c r="BH188" s="14">
        <f ca="1"/>
      </c>
      <c r="BI188" s="14">
        <f ca="1"/>
      </c>
      <c r="BJ188" s="14">
        <f ca="1"/>
      </c>
      <c r="BK188" s="14">
        <f ca="1"/>
      </c>
    </row>
    <row r="189" spans="28:63" x14ac:dyDescent="0.55000000000000004">
      <c r="AB189">
        <f ca="1"/>
      </c>
      <c r="AC189">
        <f ca="1"/>
      </c>
      <c r="AD189">
        <f ca="1"/>
      </c>
      <c r="AE189">
        <f ca="1"/>
      </c>
      <c r="AF189">
        <f ca="1"/>
      </c>
      <c r="AG189">
        <f ca="1"/>
      </c>
      <c r="AH189">
        <f ca="1"/>
      </c>
      <c r="AL189" s="7">
        <f ca="1"/>
      </c>
      <c r="AM189" s="14">
        <f ca="1"/>
      </c>
      <c r="AN189" s="14">
        <f ca="1"/>
      </c>
      <c r="AO189" s="14">
        <f ca="1"/>
      </c>
      <c r="AP189" s="14">
        <f ca="1"/>
      </c>
      <c r="AQ189" s="14">
        <f ca="1"/>
      </c>
      <c r="AR189" s="14">
        <f ca="1"/>
      </c>
      <c r="AV189" s="14">
        <f ca="1"/>
      </c>
      <c r="AW189" s="14">
        <f ca="1"/>
      </c>
      <c r="AX189" s="14">
        <f ca="1"/>
      </c>
      <c r="AY189" s="14">
        <f ca="1"/>
      </c>
      <c r="AZ189" s="14">
        <f ca="1"/>
      </c>
      <c r="BB189">
        <f ca="1"/>
      </c>
      <c r="BC189">
        <f ca="1"/>
      </c>
      <c r="BD189">
        <f ca="1"/>
      </c>
      <c r="BF189" s="7">
        <f ca="1"/>
      </c>
      <c r="BG189" s="14">
        <f ca="1"/>
      </c>
      <c r="BH189" s="14">
        <f ca="1"/>
      </c>
      <c r="BI189" s="14">
        <f ca="1"/>
      </c>
      <c r="BJ189" s="14">
        <f ca="1"/>
      </c>
      <c r="BK189" s="14">
        <f ca="1"/>
      </c>
    </row>
    <row r="190" spans="28:63" x14ac:dyDescent="0.55000000000000004">
      <c r="AB190">
        <f ca="1"/>
      </c>
      <c r="AC190">
        <f ca="1"/>
      </c>
      <c r="AD190">
        <f ca="1"/>
      </c>
      <c r="AE190">
        <f ca="1"/>
      </c>
      <c r="AF190">
        <f ca="1"/>
      </c>
      <c r="AG190">
        <f ca="1"/>
      </c>
      <c r="AH190">
        <f ca="1"/>
      </c>
      <c r="AL190" s="7">
        <f ca="1"/>
      </c>
      <c r="AM190" s="14">
        <f ca="1"/>
      </c>
      <c r="AN190" s="14">
        <f ca="1"/>
      </c>
      <c r="AO190" s="14">
        <f ca="1"/>
      </c>
      <c r="AP190" s="14">
        <f ca="1"/>
      </c>
      <c r="AQ190" s="14">
        <f ca="1"/>
      </c>
      <c r="AR190" s="14">
        <f ca="1"/>
      </c>
      <c r="AV190" s="14">
        <f ca="1"/>
      </c>
      <c r="AW190" s="14">
        <f ca="1"/>
      </c>
      <c r="AX190" s="14">
        <f ca="1"/>
      </c>
      <c r="AY190" s="14">
        <f ca="1"/>
      </c>
      <c r="AZ190" s="14">
        <f ca="1"/>
      </c>
      <c r="BB190">
        <f ca="1"/>
      </c>
      <c r="BC190">
        <f ca="1"/>
      </c>
      <c r="BD190">
        <f ca="1"/>
      </c>
      <c r="BF190" s="7">
        <f ca="1"/>
      </c>
      <c r="BG190" s="14">
        <f ca="1"/>
      </c>
      <c r="BH190" s="14">
        <f ca="1"/>
      </c>
      <c r="BI190" s="14">
        <f ca="1"/>
      </c>
      <c r="BJ190" s="14">
        <f ca="1"/>
      </c>
      <c r="BK190" s="14">
        <f ca="1"/>
      </c>
    </row>
    <row r="191" spans="28:63" x14ac:dyDescent="0.55000000000000004">
      <c r="AB191">
        <f ca="1"/>
      </c>
      <c r="AC191">
        <f ca="1"/>
      </c>
      <c r="AD191">
        <f ca="1"/>
      </c>
      <c r="AE191">
        <f ca="1"/>
      </c>
      <c r="AF191">
        <f ca="1"/>
      </c>
      <c r="AG191">
        <f ca="1"/>
      </c>
      <c r="AH191">
        <f ca="1"/>
      </c>
      <c r="AL191" s="7">
        <f ca="1"/>
      </c>
      <c r="AM191" s="14">
        <f ca="1"/>
      </c>
      <c r="AN191" s="14">
        <f ca="1"/>
      </c>
      <c r="AO191" s="14">
        <f ca="1"/>
      </c>
      <c r="AP191" s="14">
        <f ca="1"/>
      </c>
      <c r="AQ191" s="14">
        <f ca="1"/>
      </c>
      <c r="AR191" s="14">
        <f ca="1"/>
      </c>
      <c r="AV191" s="14">
        <f ca="1"/>
      </c>
      <c r="AW191" s="14">
        <f ca="1"/>
      </c>
      <c r="AX191" s="14">
        <f ca="1"/>
      </c>
      <c r="AY191" s="14">
        <f ca="1"/>
      </c>
      <c r="AZ191" s="14">
        <f ca="1"/>
      </c>
      <c r="BB191">
        <f ca="1"/>
      </c>
      <c r="BC191">
        <f ca="1"/>
      </c>
      <c r="BD191">
        <f ca="1"/>
      </c>
      <c r="BF191" s="7">
        <f ca="1"/>
      </c>
      <c r="BG191" s="14">
        <f ca="1"/>
      </c>
      <c r="BH191" s="14">
        <f ca="1"/>
      </c>
      <c r="BI191" s="14">
        <f ca="1"/>
      </c>
      <c r="BJ191" s="14">
        <f ca="1"/>
      </c>
      <c r="BK191" s="14">
        <f ca="1"/>
      </c>
    </row>
    <row r="192" spans="28:63" x14ac:dyDescent="0.55000000000000004">
      <c r="AB192">
        <f ca="1"/>
      </c>
      <c r="AC192">
        <f ca="1"/>
      </c>
      <c r="AD192">
        <f ca="1"/>
      </c>
      <c r="AE192">
        <f ca="1"/>
      </c>
      <c r="AF192">
        <f ca="1"/>
      </c>
      <c r="AG192">
        <f ca="1"/>
      </c>
      <c r="AH192">
        <f ca="1"/>
      </c>
      <c r="AL192" s="7">
        <f ca="1"/>
      </c>
      <c r="AM192" s="14">
        <f ca="1"/>
      </c>
      <c r="AN192" s="14">
        <f ca="1"/>
      </c>
      <c r="AO192" s="14">
        <f ca="1"/>
      </c>
      <c r="AP192" s="14">
        <f ca="1"/>
      </c>
      <c r="AQ192" s="14">
        <f ca="1"/>
      </c>
      <c r="AR192" s="14">
        <f ca="1"/>
      </c>
      <c r="AV192" s="14">
        <f ca="1"/>
      </c>
      <c r="AW192" s="14">
        <f ca="1"/>
      </c>
      <c r="AX192" s="14">
        <f ca="1"/>
      </c>
      <c r="AY192" s="14">
        <f ca="1"/>
      </c>
      <c r="AZ192" s="14">
        <f ca="1"/>
      </c>
      <c r="BB192">
        <f ca="1"/>
      </c>
      <c r="BC192">
        <f ca="1"/>
      </c>
      <c r="BD192">
        <f ca="1"/>
      </c>
      <c r="BF192" s="7">
        <f ca="1"/>
      </c>
      <c r="BG192" s="14">
        <f ca="1"/>
      </c>
      <c r="BH192" s="14">
        <f ca="1"/>
      </c>
      <c r="BI192" s="14">
        <f ca="1"/>
      </c>
      <c r="BJ192" s="14">
        <f ca="1"/>
      </c>
      <c r="BK192" s="14">
        <f ca="1"/>
      </c>
    </row>
    <row r="193" spans="28:63" x14ac:dyDescent="0.55000000000000004">
      <c r="AB193">
        <f ca="1"/>
      </c>
      <c r="AC193">
        <f ca="1"/>
      </c>
      <c r="AD193">
        <f ca="1"/>
      </c>
      <c r="AE193">
        <f ca="1"/>
      </c>
      <c r="AF193">
        <f ca="1"/>
      </c>
      <c r="AG193">
        <f ca="1"/>
      </c>
      <c r="AH193">
        <f ca="1"/>
      </c>
      <c r="AL193" s="7">
        <f ca="1"/>
      </c>
      <c r="AM193" s="14">
        <f ca="1"/>
      </c>
      <c r="AN193" s="14">
        <f ca="1"/>
      </c>
      <c r="AO193" s="14">
        <f ca="1"/>
      </c>
      <c r="AP193" s="14">
        <f ca="1"/>
      </c>
      <c r="AQ193" s="14">
        <f ca="1"/>
      </c>
      <c r="AR193" s="14">
        <f ca="1"/>
      </c>
      <c r="AV193" s="14">
        <f ca="1"/>
      </c>
      <c r="AW193" s="14">
        <f ca="1"/>
      </c>
      <c r="AX193" s="14">
        <f ca="1"/>
      </c>
      <c r="AY193" s="14">
        <f ca="1"/>
      </c>
      <c r="AZ193" s="14">
        <f ca="1"/>
      </c>
      <c r="BB193">
        <f ca="1"/>
      </c>
      <c r="BC193">
        <f ca="1"/>
      </c>
      <c r="BD193">
        <f ca="1"/>
      </c>
      <c r="BF193" s="7">
        <f ca="1"/>
      </c>
      <c r="BG193" s="14">
        <f ca="1"/>
      </c>
      <c r="BH193" s="14">
        <f ca="1"/>
      </c>
      <c r="BI193" s="14">
        <f ca="1"/>
      </c>
      <c r="BJ193" s="14">
        <f ca="1"/>
      </c>
      <c r="BK193" s="14">
        <f ca="1"/>
      </c>
    </row>
    <row r="194" spans="28:63" x14ac:dyDescent="0.55000000000000004">
      <c r="AB194">
        <f ca="1"/>
      </c>
      <c r="AC194">
        <f ca="1"/>
      </c>
      <c r="AD194">
        <f ca="1"/>
      </c>
      <c r="AE194">
        <f ca="1"/>
      </c>
      <c r="AF194">
        <f ca="1"/>
      </c>
      <c r="AG194">
        <f ca="1"/>
      </c>
      <c r="AH194">
        <f ca="1"/>
      </c>
      <c r="AL194" s="7">
        <f ca="1"/>
      </c>
      <c r="AM194" s="14">
        <f ca="1"/>
      </c>
      <c r="AN194" s="14">
        <f ca="1"/>
      </c>
      <c r="AO194" s="14">
        <f ca="1"/>
      </c>
      <c r="AP194" s="14">
        <f ca="1"/>
      </c>
      <c r="AQ194" s="14">
        <f ca="1"/>
      </c>
      <c r="AR194" s="14">
        <f ca="1"/>
      </c>
      <c r="AV194" s="14">
        <f ca="1"/>
      </c>
      <c r="AW194" s="14">
        <f ca="1"/>
      </c>
      <c r="AX194" s="14">
        <f ca="1"/>
      </c>
      <c r="AY194" s="14">
        <f ca="1"/>
      </c>
      <c r="AZ194" s="14">
        <f ca="1"/>
      </c>
      <c r="BB194">
        <f ca="1"/>
      </c>
      <c r="BC194">
        <f ca="1"/>
      </c>
      <c r="BD194">
        <f ca="1"/>
      </c>
      <c r="BF194" s="7">
        <f ca="1"/>
      </c>
      <c r="BG194" s="14">
        <f ca="1"/>
      </c>
      <c r="BH194" s="14">
        <f ca="1"/>
      </c>
      <c r="BI194" s="14">
        <f ca="1"/>
      </c>
      <c r="BJ194" s="14">
        <f ca="1"/>
      </c>
      <c r="BK194" s="14">
        <f ca="1"/>
      </c>
    </row>
    <row r="195" spans="28:63" x14ac:dyDescent="0.55000000000000004">
      <c r="AB195">
        <f ca="1"/>
      </c>
      <c r="AC195">
        <f ca="1"/>
      </c>
      <c r="AD195">
        <f ca="1"/>
      </c>
      <c r="AE195">
        <f ca="1"/>
      </c>
      <c r="AF195">
        <f ca="1"/>
      </c>
      <c r="AG195">
        <f ca="1"/>
      </c>
      <c r="AH195">
        <f ca="1"/>
      </c>
      <c r="AL195" s="7">
        <f ca="1"/>
      </c>
      <c r="AM195" s="14">
        <f ca="1"/>
      </c>
      <c r="AN195" s="14">
        <f ca="1"/>
      </c>
      <c r="AO195" s="14">
        <f ca="1"/>
      </c>
      <c r="AP195" s="14">
        <f ca="1"/>
      </c>
      <c r="AQ195" s="14">
        <f ca="1"/>
      </c>
      <c r="AR195" s="14">
        <f ca="1"/>
      </c>
      <c r="AV195" s="14">
        <f ca="1"/>
      </c>
      <c r="AW195" s="14">
        <f ca="1"/>
      </c>
      <c r="AX195" s="14">
        <f ca="1"/>
      </c>
      <c r="AY195" s="14">
        <f ca="1"/>
      </c>
      <c r="AZ195" s="14">
        <f ca="1"/>
      </c>
      <c r="BF195" s="7">
        <f ca="1"/>
      </c>
      <c r="BG195" s="14">
        <f ca="1"/>
      </c>
      <c r="BH195" s="14">
        <f ca="1"/>
      </c>
      <c r="BI195" s="14">
        <f ca="1"/>
      </c>
      <c r="BJ195" s="14">
        <f ca="1"/>
      </c>
      <c r="BK195" s="14">
        <f ca="1"/>
      </c>
    </row>
    <row r="196" spans="28:63" x14ac:dyDescent="0.55000000000000004">
      <c r="AB196">
        <f ca="1"/>
      </c>
      <c r="AC196">
        <f ca="1"/>
      </c>
      <c r="AD196">
        <f ca="1"/>
      </c>
      <c r="AE196">
        <f ca="1"/>
      </c>
      <c r="AF196">
        <f ca="1"/>
      </c>
      <c r="AG196">
        <f ca="1"/>
      </c>
      <c r="AH196">
        <f ca="1"/>
      </c>
      <c r="AL196" s="7">
        <f ca="1"/>
      </c>
      <c r="AM196" s="14">
        <f ca="1"/>
      </c>
      <c r="AN196" s="14">
        <f ca="1"/>
      </c>
      <c r="AO196" s="14">
        <f ca="1"/>
      </c>
      <c r="AP196" s="14">
        <f ca="1"/>
      </c>
      <c r="AQ196" s="14">
        <f ca="1"/>
      </c>
      <c r="AR196" s="14">
        <f ca="1"/>
      </c>
      <c r="AV196" s="14">
        <f ca="1"/>
      </c>
      <c r="AW196" s="14">
        <f ca="1"/>
      </c>
      <c r="AX196" s="14">
        <f ca="1"/>
      </c>
      <c r="AY196" s="14">
        <f ca="1"/>
      </c>
      <c r="AZ196" s="14">
        <f ca="1"/>
      </c>
      <c r="BF196" s="7">
        <f ca="1"/>
      </c>
      <c r="BG196" s="14">
        <f ca="1"/>
      </c>
      <c r="BH196" s="14">
        <f ca="1"/>
      </c>
      <c r="BI196" s="14">
        <f ca="1"/>
      </c>
      <c r="BJ196" s="14">
        <f ca="1"/>
      </c>
      <c r="BK196" s="14">
        <f ca="1"/>
      </c>
    </row>
    <row r="197" spans="28:63" x14ac:dyDescent="0.55000000000000004">
      <c r="AB197">
        <f ca="1"/>
      </c>
      <c r="AC197">
        <f ca="1"/>
      </c>
      <c r="AD197">
        <f ca="1"/>
      </c>
      <c r="AE197">
        <f ca="1"/>
      </c>
      <c r="AF197">
        <f ca="1"/>
      </c>
      <c r="AG197">
        <f ca="1"/>
      </c>
      <c r="AH197">
        <f ca="1"/>
      </c>
      <c r="AL197" s="7">
        <f ca="1"/>
      </c>
      <c r="AM197" s="14">
        <f ca="1"/>
      </c>
      <c r="AN197" s="14">
        <f ca="1"/>
      </c>
      <c r="AO197" s="14">
        <f ca="1"/>
      </c>
      <c r="AP197" s="14">
        <f ca="1"/>
      </c>
      <c r="AQ197" s="14">
        <f ca="1"/>
      </c>
      <c r="AR197" s="14">
        <f ca="1"/>
      </c>
      <c r="AV197" s="14">
        <f ca="1"/>
      </c>
      <c r="AW197" s="14">
        <f ca="1"/>
      </c>
      <c r="AX197" s="14">
        <f ca="1"/>
      </c>
      <c r="AY197" s="14">
        <f ca="1"/>
      </c>
      <c r="AZ197" s="14">
        <f ca="1"/>
      </c>
      <c r="BF197" s="7">
        <f ca="1"/>
      </c>
      <c r="BG197" s="14">
        <f ca="1"/>
      </c>
      <c r="BH197" s="14">
        <f ca="1"/>
      </c>
      <c r="BI197" s="14">
        <f ca="1"/>
      </c>
      <c r="BJ197" s="14">
        <f ca="1"/>
      </c>
      <c r="BK197" s="14">
        <f ca="1"/>
      </c>
    </row>
    <row r="198" spans="28:63" x14ac:dyDescent="0.55000000000000004">
      <c r="AB198">
        <f ca="1"/>
      </c>
      <c r="AC198">
        <f ca="1"/>
      </c>
      <c r="AD198">
        <f ca="1"/>
      </c>
      <c r="AE198">
        <f ca="1"/>
      </c>
      <c r="AF198">
        <f ca="1"/>
      </c>
      <c r="AG198">
        <f ca="1"/>
      </c>
      <c r="AH198">
        <f ca="1"/>
      </c>
      <c r="AL198" s="7">
        <f ca="1"/>
      </c>
      <c r="AM198" s="14">
        <f ca="1"/>
      </c>
      <c r="AN198" s="14">
        <f ca="1"/>
      </c>
      <c r="AO198" s="14">
        <f ca="1"/>
      </c>
      <c r="AP198" s="14">
        <f ca="1"/>
      </c>
      <c r="AQ198" s="14">
        <f ca="1"/>
      </c>
      <c r="AR198" s="14">
        <f ca="1"/>
      </c>
      <c r="AV198" s="14">
        <f ca="1"/>
      </c>
      <c r="AW198" s="14">
        <f ca="1"/>
      </c>
      <c r="AX198" s="14">
        <f ca="1"/>
      </c>
      <c r="AY198" s="14">
        <f ca="1"/>
      </c>
      <c r="AZ198" s="14">
        <f ca="1"/>
      </c>
      <c r="BF198" s="7">
        <f ca="1"/>
      </c>
      <c r="BG198" s="14">
        <f ca="1"/>
      </c>
      <c r="BH198" s="14">
        <f ca="1"/>
      </c>
      <c r="BI198" s="14">
        <f ca="1"/>
      </c>
      <c r="BJ198" s="14">
        <f ca="1"/>
      </c>
      <c r="BK198" s="14">
        <f ca="1"/>
      </c>
    </row>
    <row r="199" spans="28:63" x14ac:dyDescent="0.55000000000000004">
      <c r="AB199">
        <f ca="1"/>
      </c>
      <c r="AC199">
        <f ca="1"/>
      </c>
      <c r="AD199">
        <f ca="1"/>
      </c>
      <c r="AE199">
        <f ca="1"/>
      </c>
      <c r="AF199">
        <f ca="1"/>
      </c>
      <c r="AG199">
        <f ca="1"/>
      </c>
      <c r="AH199">
        <f ca="1"/>
      </c>
      <c r="AL199" s="7">
        <f ca="1"/>
      </c>
      <c r="AM199" s="14">
        <f ca="1"/>
      </c>
      <c r="AN199" s="14">
        <f ca="1"/>
      </c>
      <c r="AO199" s="14">
        <f ca="1"/>
      </c>
      <c r="AP199" s="14">
        <f ca="1"/>
      </c>
      <c r="AQ199" s="14">
        <f ca="1"/>
      </c>
      <c r="AR199" s="14">
        <f ca="1"/>
      </c>
      <c r="AV199" s="14">
        <f ca="1"/>
      </c>
      <c r="AW199" s="14">
        <f ca="1"/>
      </c>
      <c r="AX199" s="14">
        <f ca="1"/>
      </c>
      <c r="AY199" s="14">
        <f ca="1"/>
      </c>
      <c r="AZ199" s="14">
        <f ca="1"/>
      </c>
      <c r="BF199" s="7">
        <f ca="1"/>
      </c>
      <c r="BG199" s="14">
        <f ca="1"/>
      </c>
      <c r="BH199" s="14">
        <f ca="1"/>
      </c>
      <c r="BI199" s="14">
        <f ca="1"/>
      </c>
      <c r="BJ199" s="14">
        <f ca="1"/>
      </c>
      <c r="BK199" s="14">
        <f ca="1"/>
      </c>
    </row>
    <row r="200" spans="28:63" x14ac:dyDescent="0.55000000000000004">
      <c r="AB200">
        <f ca="1"/>
      </c>
      <c r="AC200">
        <f ca="1"/>
      </c>
      <c r="AD200">
        <f ca="1"/>
      </c>
      <c r="AE200">
        <f ca="1"/>
      </c>
      <c r="AF200">
        <f ca="1"/>
      </c>
      <c r="AG200">
        <f ca="1"/>
      </c>
      <c r="AH200">
        <f ca="1"/>
      </c>
      <c r="AL200" s="7">
        <f ca="1"/>
      </c>
      <c r="AM200" s="14">
        <f ca="1"/>
      </c>
      <c r="AN200" s="14">
        <f ca="1"/>
      </c>
      <c r="AO200" s="14">
        <f ca="1"/>
      </c>
      <c r="AP200" s="14">
        <f ca="1"/>
      </c>
      <c r="AQ200" s="14">
        <f ca="1"/>
      </c>
      <c r="AR200" s="14">
        <f ca="1"/>
      </c>
      <c r="AV200" s="14">
        <f ca="1"/>
      </c>
      <c r="AW200" s="14">
        <f ca="1"/>
      </c>
      <c r="AX200" s="14">
        <f ca="1"/>
      </c>
      <c r="AY200" s="14">
        <f ca="1"/>
      </c>
      <c r="AZ200" s="14">
        <f ca="1"/>
      </c>
      <c r="BF200" s="7">
        <f ca="1"/>
      </c>
      <c r="BG200" s="14">
        <f ca="1"/>
      </c>
      <c r="BH200" s="14">
        <f ca="1"/>
      </c>
      <c r="BI200" s="14">
        <f ca="1"/>
      </c>
      <c r="BJ200" s="14">
        <f ca="1"/>
      </c>
      <c r="BK200" s="14">
        <f ca="1"/>
      </c>
    </row>
    <row r="201" spans="28:63" x14ac:dyDescent="0.55000000000000004">
      <c r="AB201">
        <f ca="1"/>
      </c>
      <c r="AC201">
        <f ca="1"/>
      </c>
      <c r="AD201">
        <f ca="1"/>
      </c>
      <c r="AE201">
        <f ca="1"/>
      </c>
      <c r="AF201">
        <f ca="1"/>
      </c>
      <c r="AG201">
        <f ca="1"/>
      </c>
      <c r="AH201">
        <f ca="1"/>
      </c>
      <c r="AL201" s="7">
        <f ca="1"/>
      </c>
      <c r="AM201" s="14">
        <f ca="1"/>
      </c>
      <c r="AN201" s="14">
        <f ca="1"/>
      </c>
      <c r="AO201" s="14">
        <f ca="1"/>
      </c>
      <c r="AP201" s="14">
        <f ca="1"/>
      </c>
      <c r="AQ201" s="14">
        <f ca="1"/>
      </c>
      <c r="AR201" s="14">
        <f ca="1"/>
      </c>
      <c r="AV201" s="14">
        <f ca="1"/>
      </c>
      <c r="AW201" s="14">
        <f ca="1"/>
      </c>
      <c r="AX201" s="14">
        <f ca="1"/>
      </c>
      <c r="AY201" s="14">
        <f ca="1"/>
      </c>
      <c r="AZ201" s="14">
        <f ca="1"/>
      </c>
      <c r="BF201" s="7">
        <f ca="1"/>
      </c>
      <c r="BG201" s="14">
        <f ca="1"/>
      </c>
      <c r="BH201" s="14">
        <f ca="1"/>
      </c>
      <c r="BI201" s="14">
        <f ca="1"/>
      </c>
      <c r="BJ201" s="14">
        <f ca="1"/>
      </c>
      <c r="BK201" s="14">
        <f ca="1"/>
      </c>
    </row>
    <row r="202" spans="28:63" x14ac:dyDescent="0.55000000000000004">
      <c r="AB202">
        <f ca="1"/>
      </c>
      <c r="AC202">
        <f ca="1"/>
      </c>
      <c r="AD202">
        <f ca="1"/>
      </c>
      <c r="AE202">
        <f ca="1"/>
      </c>
      <c r="AF202">
        <f ca="1"/>
      </c>
      <c r="AG202">
        <f ca="1"/>
      </c>
      <c r="AH202">
        <f ca="1"/>
      </c>
      <c r="AL202" s="7">
        <f ca="1"/>
      </c>
      <c r="AM202" s="14">
        <f ca="1"/>
      </c>
      <c r="AN202" s="14">
        <f ca="1"/>
      </c>
      <c r="AO202" s="14">
        <f ca="1"/>
      </c>
      <c r="AP202" s="14">
        <f ca="1"/>
      </c>
      <c r="AQ202" s="14">
        <f ca="1"/>
      </c>
      <c r="AR202" s="14">
        <f ca="1"/>
      </c>
      <c r="AV202" s="14">
        <f ca="1"/>
      </c>
      <c r="AW202" s="14">
        <f ca="1"/>
      </c>
      <c r="AX202" s="14">
        <f ca="1"/>
      </c>
      <c r="AY202" s="14">
        <f ca="1"/>
      </c>
      <c r="AZ202" s="14">
        <f ca="1"/>
      </c>
      <c r="BF202" s="7">
        <f ca="1"/>
      </c>
      <c r="BG202" s="14">
        <f ca="1"/>
      </c>
      <c r="BH202" s="14">
        <f ca="1"/>
      </c>
      <c r="BI202" s="14">
        <f ca="1"/>
      </c>
      <c r="BJ202" s="14">
        <f ca="1"/>
      </c>
      <c r="BK202" s="14">
        <f ca="1"/>
      </c>
    </row>
    <row r="203" spans="28:63" x14ac:dyDescent="0.55000000000000004">
      <c r="AB203">
        <f ca="1"/>
      </c>
      <c r="AC203">
        <f ca="1"/>
      </c>
      <c r="AD203">
        <f ca="1"/>
      </c>
      <c r="AE203">
        <f ca="1"/>
      </c>
      <c r="AF203">
        <f ca="1"/>
      </c>
      <c r="AG203">
        <f ca="1"/>
      </c>
      <c r="AH203">
        <f ca="1"/>
      </c>
      <c r="AL203" s="7">
        <f ca="1"/>
      </c>
      <c r="AM203" s="14">
        <f ca="1"/>
      </c>
      <c r="AN203" s="14">
        <f ca="1"/>
      </c>
      <c r="AO203" s="14">
        <f ca="1"/>
      </c>
      <c r="AP203" s="14">
        <f ca="1"/>
      </c>
      <c r="AQ203" s="14">
        <f ca="1"/>
      </c>
      <c r="AR203" s="14">
        <f ca="1"/>
      </c>
      <c r="AV203" s="14">
        <f ca="1"/>
      </c>
      <c r="AW203" s="14">
        <f ca="1"/>
      </c>
      <c r="AX203" s="14">
        <f ca="1"/>
      </c>
      <c r="AY203" s="14">
        <f ca="1"/>
      </c>
      <c r="AZ203" s="14">
        <f ca="1"/>
      </c>
      <c r="BF203" s="7">
        <f ca="1"/>
      </c>
      <c r="BG203" s="14">
        <f ca="1"/>
      </c>
      <c r="BH203" s="14">
        <f ca="1"/>
      </c>
      <c r="BI203" s="14">
        <f ca="1"/>
      </c>
      <c r="BJ203" s="14">
        <f ca="1"/>
      </c>
      <c r="BK203" s="14">
        <f ca="1"/>
      </c>
    </row>
    <row r="204" spans="28:63" x14ac:dyDescent="0.55000000000000004">
      <c r="AB204">
        <f ca="1"/>
      </c>
      <c r="AC204">
        <f ca="1"/>
      </c>
      <c r="AD204">
        <f ca="1"/>
      </c>
      <c r="AE204">
        <f ca="1"/>
      </c>
      <c r="AF204">
        <f ca="1"/>
      </c>
      <c r="AG204">
        <f ca="1"/>
      </c>
      <c r="AH204">
        <f ca="1"/>
      </c>
      <c r="AL204" s="7">
        <f ca="1"/>
      </c>
      <c r="AM204" s="14">
        <f ca="1"/>
      </c>
      <c r="AN204" s="14">
        <f ca="1"/>
      </c>
      <c r="AO204" s="14">
        <f ca="1"/>
      </c>
      <c r="AP204" s="14">
        <f ca="1"/>
      </c>
      <c r="AQ204" s="14">
        <f ca="1"/>
      </c>
      <c r="AR204" s="14">
        <f ca="1"/>
      </c>
      <c r="AV204" s="14">
        <f ca="1"/>
      </c>
      <c r="AW204" s="14">
        <f ca="1"/>
      </c>
      <c r="AX204" s="14">
        <f ca="1"/>
      </c>
      <c r="AY204" s="14">
        <f ca="1"/>
      </c>
      <c r="AZ204" s="14">
        <f ca="1"/>
      </c>
      <c r="BF204" s="7">
        <f ca="1"/>
      </c>
      <c r="BG204" s="14">
        <f ca="1"/>
      </c>
      <c r="BH204" s="14">
        <f ca="1"/>
      </c>
      <c r="BI204" s="14">
        <f ca="1"/>
      </c>
      <c r="BJ204" s="14">
        <f ca="1"/>
      </c>
      <c r="BK204" s="14">
        <f ca="1"/>
      </c>
    </row>
    <row r="205" spans="28:63" x14ac:dyDescent="0.55000000000000004">
      <c r="AB205">
        <f ca="1"/>
      </c>
      <c r="AC205">
        <f ca="1"/>
      </c>
      <c r="AD205">
        <f ca="1"/>
      </c>
      <c r="AE205">
        <f ca="1"/>
      </c>
      <c r="AF205">
        <f ca="1"/>
      </c>
      <c r="AG205">
        <f ca="1"/>
      </c>
      <c r="AH205">
        <f ca="1"/>
      </c>
      <c r="AL205" s="7">
        <f ca="1"/>
      </c>
      <c r="AM205" s="14">
        <f ca="1"/>
      </c>
      <c r="AN205" s="14">
        <f ca="1"/>
      </c>
      <c r="AO205" s="14">
        <f ca="1"/>
      </c>
      <c r="AP205" s="14">
        <f ca="1"/>
      </c>
      <c r="AQ205" s="14">
        <f ca="1"/>
      </c>
      <c r="AR205" s="14">
        <f ca="1"/>
      </c>
      <c r="AV205" s="14">
        <f ca="1"/>
      </c>
      <c r="AW205" s="14">
        <f ca="1"/>
      </c>
      <c r="AX205" s="14">
        <f ca="1"/>
      </c>
      <c r="AY205" s="14">
        <f ca="1"/>
      </c>
      <c r="AZ205" s="14">
        <f ca="1"/>
      </c>
      <c r="BF205" s="7">
        <f ca="1"/>
      </c>
      <c r="BG205" s="14">
        <f ca="1"/>
      </c>
      <c r="BH205" s="14">
        <f ca="1"/>
      </c>
      <c r="BI205" s="14">
        <f ca="1"/>
      </c>
      <c r="BJ205" s="14">
        <f ca="1"/>
      </c>
      <c r="BK205" s="14">
        <f ca="1"/>
      </c>
    </row>
    <row r="206" spans="28:63" x14ac:dyDescent="0.55000000000000004">
      <c r="AB206">
        <f ca="1"/>
      </c>
      <c r="AC206">
        <f ca="1"/>
      </c>
      <c r="AD206">
        <f ca="1"/>
      </c>
      <c r="AE206">
        <f ca="1"/>
      </c>
      <c r="AF206">
        <f ca="1"/>
      </c>
      <c r="AG206">
        <f ca="1"/>
      </c>
      <c r="AH206">
        <f ca="1"/>
      </c>
      <c r="AL206" s="7">
        <f ca="1"/>
      </c>
      <c r="AM206" s="14">
        <f ca="1"/>
      </c>
      <c r="AN206" s="14">
        <f ca="1"/>
      </c>
      <c r="AO206" s="14">
        <f ca="1"/>
      </c>
      <c r="AP206" s="14">
        <f ca="1"/>
      </c>
      <c r="AQ206" s="14">
        <f ca="1"/>
      </c>
      <c r="AR206" s="14">
        <f ca="1"/>
      </c>
      <c r="AV206" s="14">
        <f ca="1"/>
      </c>
      <c r="AW206" s="14">
        <f ca="1"/>
      </c>
      <c r="AX206" s="14">
        <f ca="1"/>
      </c>
      <c r="AY206" s="14">
        <f ca="1"/>
      </c>
      <c r="AZ206" s="14">
        <f ca="1"/>
      </c>
      <c r="BF206" s="7">
        <f ca="1"/>
      </c>
      <c r="BG206" s="14">
        <f ca="1"/>
      </c>
      <c r="BH206" s="14">
        <f ca="1"/>
      </c>
      <c r="BI206" s="14">
        <f ca="1"/>
      </c>
      <c r="BJ206" s="14">
        <f ca="1"/>
      </c>
      <c r="BK206" s="14">
        <f ca="1"/>
      </c>
    </row>
    <row r="207" spans="28:63" x14ac:dyDescent="0.55000000000000004">
      <c r="AB207">
        <f ca="1"/>
      </c>
      <c r="AC207">
        <f ca="1"/>
      </c>
      <c r="AD207">
        <f ca="1"/>
      </c>
      <c r="AE207">
        <f ca="1"/>
      </c>
      <c r="AF207">
        <f ca="1"/>
      </c>
      <c r="AG207">
        <f ca="1"/>
      </c>
      <c r="AH207">
        <f ca="1"/>
      </c>
      <c r="AL207" s="7">
        <f ca="1"/>
      </c>
      <c r="AM207" s="14">
        <f ca="1"/>
      </c>
      <c r="AN207" s="14">
        <f ca="1"/>
      </c>
      <c r="AO207" s="14">
        <f ca="1"/>
      </c>
      <c r="AP207" s="14">
        <f ca="1"/>
      </c>
      <c r="AQ207" s="14">
        <f ca="1"/>
      </c>
      <c r="AR207" s="14">
        <f ca="1"/>
      </c>
      <c r="AV207" s="14">
        <f ca="1"/>
      </c>
      <c r="AW207" s="14">
        <f ca="1"/>
      </c>
      <c r="AX207" s="14">
        <f ca="1"/>
      </c>
      <c r="AY207" s="14">
        <f ca="1"/>
      </c>
      <c r="AZ207" s="14">
        <f ca="1"/>
      </c>
      <c r="BF207" s="7">
        <f ca="1"/>
      </c>
      <c r="BG207" s="14">
        <f ca="1"/>
      </c>
      <c r="BH207" s="14">
        <f ca="1"/>
      </c>
      <c r="BI207" s="14">
        <f ca="1"/>
      </c>
      <c r="BJ207" s="14">
        <f ca="1"/>
      </c>
      <c r="BK207" s="14">
        <f ca="1"/>
      </c>
    </row>
    <row r="208" spans="28:63" x14ac:dyDescent="0.55000000000000004">
      <c r="AB208">
        <f ca="1"/>
      </c>
      <c r="AC208">
        <f ca="1"/>
      </c>
      <c r="AD208">
        <f ca="1"/>
      </c>
      <c r="AE208">
        <f ca="1"/>
      </c>
      <c r="AF208">
        <f ca="1"/>
      </c>
      <c r="AG208">
        <f ca="1"/>
      </c>
      <c r="AH208">
        <f ca="1"/>
      </c>
      <c r="AL208" s="7">
        <f ca="1"/>
      </c>
      <c r="AM208" s="14">
        <f ca="1"/>
      </c>
      <c r="AN208" s="14">
        <f ca="1"/>
      </c>
      <c r="AO208" s="14">
        <f ca="1"/>
      </c>
      <c r="AP208" s="14">
        <f ca="1"/>
      </c>
      <c r="AQ208" s="14">
        <f ca="1"/>
      </c>
      <c r="AR208" s="14">
        <f ca="1"/>
      </c>
      <c r="AV208" s="14">
        <f ca="1"/>
      </c>
      <c r="AW208" s="14">
        <f ca="1"/>
      </c>
      <c r="AX208" s="14">
        <f ca="1"/>
      </c>
      <c r="AY208" s="14">
        <f ca="1"/>
      </c>
      <c r="AZ208" s="14">
        <f ca="1"/>
      </c>
      <c r="BF208" s="7">
        <f ca="1"/>
      </c>
      <c r="BG208" s="14">
        <f ca="1"/>
      </c>
      <c r="BH208" s="14">
        <f ca="1"/>
      </c>
      <c r="BI208" s="14">
        <f ca="1"/>
      </c>
      <c r="BJ208" s="14">
        <f ca="1"/>
      </c>
      <c r="BK208" s="14">
        <f ca="1"/>
      </c>
    </row>
    <row r="209" spans="28:63" x14ac:dyDescent="0.55000000000000004">
      <c r="AB209">
        <f ca="1"/>
      </c>
      <c r="AC209">
        <f ca="1"/>
      </c>
      <c r="AD209">
        <f ca="1"/>
      </c>
      <c r="AE209">
        <f ca="1"/>
      </c>
      <c r="AF209">
        <f ca="1"/>
      </c>
      <c r="AG209">
        <f ca="1"/>
      </c>
      <c r="AH209">
        <f ca="1"/>
      </c>
      <c r="AL209" s="7">
        <f ca="1"/>
      </c>
      <c r="AM209" s="14">
        <f ca="1"/>
      </c>
      <c r="AN209" s="14">
        <f ca="1"/>
      </c>
      <c r="AO209" s="14">
        <f ca="1"/>
      </c>
      <c r="AP209" s="14">
        <f ca="1"/>
      </c>
      <c r="AQ209" s="14">
        <f ca="1"/>
      </c>
      <c r="AR209" s="14">
        <f ca="1"/>
      </c>
      <c r="AV209" s="14">
        <f ca="1"/>
      </c>
      <c r="AW209" s="14">
        <f ca="1"/>
      </c>
      <c r="AX209" s="14">
        <f ca="1"/>
      </c>
      <c r="AY209" s="14">
        <f ca="1"/>
      </c>
      <c r="AZ209" s="14">
        <f ca="1"/>
      </c>
      <c r="BF209" s="7">
        <f ca="1"/>
      </c>
      <c r="BG209" s="14">
        <f ca="1"/>
      </c>
      <c r="BH209" s="14">
        <f ca="1"/>
      </c>
      <c r="BI209" s="14">
        <f ca="1"/>
      </c>
      <c r="BJ209" s="14">
        <f ca="1"/>
      </c>
      <c r="BK209" s="14">
        <f ca="1"/>
      </c>
    </row>
    <row r="210" spans="28:63" x14ac:dyDescent="0.55000000000000004">
      <c r="AB210">
        <f ca="1"/>
      </c>
      <c r="AC210">
        <f ca="1"/>
      </c>
      <c r="AD210">
        <f ca="1"/>
      </c>
      <c r="AE210">
        <f ca="1"/>
      </c>
      <c r="AF210">
        <f ca="1"/>
      </c>
      <c r="AG210">
        <f ca="1"/>
      </c>
      <c r="AH210">
        <f ca="1"/>
      </c>
      <c r="AL210" s="7">
        <f ca="1"/>
      </c>
      <c r="AM210" s="14">
        <f ca="1"/>
      </c>
      <c r="AN210" s="14">
        <f ca="1"/>
      </c>
      <c r="AO210" s="14">
        <f ca="1"/>
      </c>
      <c r="AP210" s="14">
        <f ca="1"/>
      </c>
      <c r="AQ210" s="14">
        <f ca="1"/>
      </c>
      <c r="AR210" s="14">
        <f ca="1"/>
      </c>
      <c r="AV210" s="14">
        <f ca="1"/>
      </c>
      <c r="AW210" s="14">
        <f ca="1"/>
      </c>
      <c r="AX210" s="14">
        <f ca="1"/>
      </c>
      <c r="AY210" s="14">
        <f ca="1"/>
      </c>
      <c r="AZ210" s="14">
        <f ca="1"/>
      </c>
      <c r="BF210" s="7">
        <f ca="1"/>
      </c>
      <c r="BG210" s="14">
        <f ca="1"/>
      </c>
      <c r="BH210" s="14">
        <f ca="1"/>
      </c>
      <c r="BI210" s="14">
        <f ca="1"/>
      </c>
      <c r="BJ210" s="14">
        <f ca="1"/>
      </c>
      <c r="BK210" s="14">
        <f ca="1"/>
      </c>
    </row>
    <row r="211" spans="28:63" x14ac:dyDescent="0.55000000000000004">
      <c r="AB211">
        <f ca="1"/>
      </c>
      <c r="AC211">
        <f ca="1"/>
      </c>
      <c r="AD211">
        <f ca="1"/>
      </c>
      <c r="AE211">
        <f ca="1"/>
      </c>
      <c r="AF211">
        <f ca="1"/>
      </c>
      <c r="AG211">
        <f ca="1"/>
      </c>
      <c r="AH211">
        <f ca="1"/>
      </c>
      <c r="AL211" s="7">
        <f ca="1"/>
      </c>
      <c r="AM211" s="14">
        <f ca="1"/>
      </c>
      <c r="AN211" s="14">
        <f ca="1"/>
      </c>
      <c r="AO211" s="14">
        <f ca="1"/>
      </c>
      <c r="AP211" s="14">
        <f ca="1"/>
      </c>
      <c r="AQ211" s="14">
        <f ca="1"/>
      </c>
      <c r="AR211" s="14">
        <f ca="1"/>
      </c>
      <c r="AV211" s="14">
        <f ca="1"/>
      </c>
      <c r="AW211" s="14">
        <f ca="1"/>
      </c>
      <c r="AX211" s="14">
        <f ca="1"/>
      </c>
      <c r="AY211" s="14">
        <f ca="1"/>
      </c>
      <c r="AZ211" s="14">
        <f ca="1"/>
      </c>
      <c r="BF211" s="7">
        <f ca="1"/>
      </c>
      <c r="BG211" s="14">
        <f ca="1"/>
      </c>
      <c r="BH211" s="14">
        <f ca="1"/>
      </c>
      <c r="BI211" s="14">
        <f ca="1"/>
      </c>
      <c r="BJ211" s="14">
        <f ca="1"/>
      </c>
      <c r="BK211" s="14">
        <f ca="1"/>
      </c>
    </row>
    <row r="212" spans="28:63" x14ac:dyDescent="0.55000000000000004">
      <c r="AB212">
        <f ca="1"/>
      </c>
      <c r="AC212">
        <f ca="1"/>
      </c>
      <c r="AD212">
        <f ca="1"/>
      </c>
      <c r="AE212">
        <f ca="1"/>
      </c>
      <c r="AF212">
        <f ca="1"/>
      </c>
      <c r="AG212">
        <f ca="1"/>
      </c>
      <c r="AH212">
        <f ca="1"/>
      </c>
      <c r="AL212" s="7">
        <f ca="1"/>
      </c>
      <c r="AM212" s="14">
        <f ca="1"/>
      </c>
      <c r="AN212" s="14">
        <f ca="1"/>
      </c>
      <c r="AO212" s="14">
        <f ca="1"/>
      </c>
      <c r="AP212" s="14">
        <f ca="1"/>
      </c>
      <c r="AQ212" s="14">
        <f ca="1"/>
      </c>
      <c r="AR212" s="14">
        <f ca="1"/>
      </c>
      <c r="AV212" s="14">
        <f ca="1"/>
      </c>
      <c r="AW212" s="14">
        <f ca="1"/>
      </c>
      <c r="AX212" s="14">
        <f ca="1"/>
      </c>
      <c r="AY212" s="14">
        <f ca="1"/>
      </c>
      <c r="AZ212" s="14">
        <f ca="1"/>
      </c>
      <c r="BF212" s="7">
        <f ca="1"/>
      </c>
      <c r="BG212" s="14">
        <f ca="1"/>
      </c>
      <c r="BH212" s="14">
        <f ca="1"/>
      </c>
      <c r="BI212" s="14">
        <f ca="1"/>
      </c>
      <c r="BJ212" s="14">
        <f ca="1"/>
      </c>
      <c r="BK212" s="14">
        <f ca="1"/>
      </c>
    </row>
    <row r="213" spans="28:63" x14ac:dyDescent="0.55000000000000004">
      <c r="AB213">
        <f ca="1"/>
      </c>
      <c r="AC213">
        <f ca="1"/>
      </c>
      <c r="AD213">
        <f ca="1"/>
      </c>
      <c r="AE213">
        <f ca="1"/>
      </c>
      <c r="AF213">
        <f ca="1"/>
      </c>
      <c r="AG213">
        <f ca="1"/>
      </c>
      <c r="AH213">
        <f ca="1"/>
      </c>
      <c r="AL213" s="7">
        <f ca="1"/>
      </c>
      <c r="AM213" s="14">
        <f ca="1"/>
      </c>
      <c r="AN213" s="14">
        <f ca="1"/>
      </c>
      <c r="AO213" s="14">
        <f ca="1"/>
      </c>
      <c r="AP213" s="14">
        <f ca="1"/>
      </c>
      <c r="AQ213" s="14">
        <f ca="1"/>
      </c>
      <c r="AR213" s="14">
        <f ca="1"/>
      </c>
      <c r="AV213" s="14">
        <f ca="1"/>
      </c>
      <c r="AW213" s="14">
        <f ca="1"/>
      </c>
      <c r="AX213" s="14">
        <f ca="1"/>
      </c>
      <c r="AY213" s="14">
        <f ca="1"/>
      </c>
      <c r="AZ213" s="14">
        <f ca="1"/>
      </c>
      <c r="BF213" s="7">
        <f ca="1"/>
      </c>
      <c r="BG213" s="14">
        <f ca="1"/>
      </c>
      <c r="BH213" s="14">
        <f ca="1"/>
      </c>
      <c r="BI213" s="14">
        <f ca="1"/>
      </c>
      <c r="BJ213" s="14">
        <f ca="1"/>
      </c>
      <c r="BK213" s="14">
        <f ca="1"/>
      </c>
    </row>
    <row r="214" spans="28:63" x14ac:dyDescent="0.55000000000000004">
      <c r="AB214">
        <f ca="1"/>
      </c>
      <c r="AC214">
        <f ca="1"/>
      </c>
      <c r="AD214">
        <f ca="1"/>
      </c>
      <c r="AE214">
        <f ca="1"/>
      </c>
      <c r="AF214">
        <f ca="1"/>
      </c>
      <c r="AG214">
        <f ca="1"/>
      </c>
      <c r="AH214">
        <f ca="1"/>
      </c>
      <c r="AL214" s="7">
        <f ca="1"/>
      </c>
      <c r="AM214" s="14">
        <f ca="1"/>
      </c>
      <c r="AN214" s="14">
        <f ca="1"/>
      </c>
      <c r="AO214" s="14">
        <f ca="1"/>
      </c>
      <c r="AP214" s="14">
        <f ca="1"/>
      </c>
      <c r="AQ214" s="14">
        <f ca="1"/>
      </c>
      <c r="AR214" s="14">
        <f ca="1"/>
      </c>
      <c r="AV214" s="14">
        <f ca="1"/>
      </c>
      <c r="AW214" s="14">
        <f ca="1"/>
      </c>
      <c r="AX214" s="14">
        <f ca="1"/>
      </c>
      <c r="AY214" s="14">
        <f ca="1"/>
      </c>
      <c r="AZ214" s="14">
        <f ca="1"/>
      </c>
      <c r="BF214" s="7">
        <f ca="1"/>
      </c>
      <c r="BG214" s="14">
        <f ca="1"/>
      </c>
      <c r="BH214" s="14">
        <f ca="1"/>
      </c>
      <c r="BI214" s="14">
        <f ca="1"/>
      </c>
      <c r="BJ214" s="14">
        <f ca="1"/>
      </c>
      <c r="BK214" s="14">
        <f ca="1"/>
      </c>
    </row>
    <row r="215" spans="28:63" x14ac:dyDescent="0.55000000000000004">
      <c r="AB215">
        <f ca="1"/>
      </c>
      <c r="AC215">
        <f ca="1"/>
      </c>
      <c r="AD215">
        <f ca="1"/>
      </c>
      <c r="AE215">
        <f ca="1"/>
      </c>
      <c r="AF215">
        <f ca="1"/>
      </c>
      <c r="AG215">
        <f ca="1"/>
      </c>
      <c r="AH215">
        <f ca="1"/>
      </c>
      <c r="AL215" s="7">
        <f ca="1"/>
      </c>
      <c r="AM215" s="14">
        <f ca="1"/>
      </c>
      <c r="AN215" s="14">
        <f ca="1"/>
      </c>
      <c r="AO215" s="14">
        <f ca="1"/>
      </c>
      <c r="AP215" s="14">
        <f ca="1"/>
      </c>
      <c r="AQ215" s="14">
        <f ca="1"/>
      </c>
      <c r="AR215" s="14">
        <f ca="1"/>
      </c>
      <c r="AV215" s="14">
        <f ca="1"/>
      </c>
      <c r="AW215" s="14">
        <f ca="1"/>
      </c>
      <c r="AX215" s="14">
        <f ca="1"/>
      </c>
      <c r="AY215" s="14">
        <f ca="1"/>
      </c>
      <c r="AZ215" s="14">
        <f ca="1"/>
      </c>
      <c r="BF215" s="7">
        <f ca="1"/>
      </c>
      <c r="BG215" s="14">
        <f ca="1"/>
      </c>
      <c r="BH215" s="14">
        <f ca="1"/>
      </c>
      <c r="BI215" s="14">
        <f ca="1"/>
      </c>
      <c r="BJ215" s="14">
        <f ca="1"/>
      </c>
      <c r="BK215" s="14">
        <f ca="1"/>
      </c>
    </row>
    <row r="216" spans="28:63" x14ac:dyDescent="0.55000000000000004">
      <c r="AB216">
        <f ca="1"/>
      </c>
      <c r="AC216">
        <f ca="1"/>
      </c>
      <c r="AD216">
        <f ca="1"/>
      </c>
      <c r="AE216">
        <f ca="1"/>
      </c>
      <c r="AF216">
        <f ca="1"/>
      </c>
      <c r="AG216">
        <f ca="1"/>
      </c>
      <c r="AH216">
        <f ca="1"/>
      </c>
      <c r="AL216" s="7">
        <f ca="1"/>
      </c>
      <c r="AM216" s="14">
        <f ca="1"/>
      </c>
      <c r="AN216" s="14">
        <f ca="1"/>
      </c>
      <c r="AO216" s="14">
        <f ca="1"/>
      </c>
      <c r="AP216" s="14">
        <f ca="1"/>
      </c>
      <c r="AQ216" s="14">
        <f ca="1"/>
      </c>
      <c r="AR216" s="14">
        <f ca="1"/>
      </c>
      <c r="AV216" s="14">
        <f ca="1"/>
      </c>
      <c r="AW216" s="14">
        <f ca="1"/>
      </c>
      <c r="AX216" s="14">
        <f ca="1"/>
      </c>
      <c r="AY216" s="14">
        <f ca="1"/>
      </c>
      <c r="AZ216" s="14">
        <f ca="1"/>
      </c>
      <c r="BF216" s="7">
        <f ca="1"/>
      </c>
      <c r="BG216" s="14">
        <f ca="1"/>
      </c>
      <c r="BH216" s="14">
        <f ca="1"/>
      </c>
      <c r="BI216" s="14">
        <f ca="1"/>
      </c>
      <c r="BJ216" s="14">
        <f ca="1"/>
      </c>
      <c r="BK216" s="14">
        <f ca="1"/>
      </c>
    </row>
    <row r="217" spans="28:63" x14ac:dyDescent="0.55000000000000004">
      <c r="AB217">
        <f ca="1"/>
      </c>
      <c r="AC217">
        <f ca="1"/>
      </c>
      <c r="AD217">
        <f ca="1"/>
      </c>
      <c r="AE217">
        <f ca="1"/>
      </c>
      <c r="AF217">
        <f ca="1"/>
      </c>
      <c r="AG217">
        <f ca="1"/>
      </c>
      <c r="AH217">
        <f ca="1"/>
      </c>
      <c r="AL217" s="7">
        <f ca="1"/>
      </c>
      <c r="AM217" s="14">
        <f ca="1"/>
      </c>
      <c r="AN217" s="14">
        <f ca="1"/>
      </c>
      <c r="AO217" s="14">
        <f ca="1"/>
      </c>
      <c r="AP217" s="14">
        <f ca="1"/>
      </c>
      <c r="AQ217" s="14">
        <f ca="1"/>
      </c>
      <c r="AR217" s="14">
        <f ca="1"/>
      </c>
      <c r="AV217" s="14">
        <f ca="1"/>
      </c>
      <c r="AW217" s="14">
        <f ca="1"/>
      </c>
      <c r="AX217" s="14">
        <f ca="1"/>
      </c>
      <c r="AY217" s="14">
        <f ca="1"/>
      </c>
      <c r="AZ217" s="14">
        <f ca="1"/>
      </c>
      <c r="BF217" s="7">
        <f ca="1"/>
      </c>
      <c r="BG217" s="14">
        <f ca="1"/>
      </c>
      <c r="BH217" s="14">
        <f ca="1"/>
      </c>
      <c r="BI217" s="14">
        <f ca="1"/>
      </c>
      <c r="BJ217" s="14">
        <f ca="1"/>
      </c>
      <c r="BK217" s="14">
        <f ca="1"/>
      </c>
    </row>
    <row r="218" spans="28:63" x14ac:dyDescent="0.55000000000000004">
      <c r="AB218">
        <f ca="1"/>
      </c>
      <c r="AC218">
        <f ca="1"/>
      </c>
      <c r="AD218">
        <f ca="1"/>
      </c>
      <c r="AE218">
        <f ca="1"/>
      </c>
      <c r="AF218">
        <f ca="1"/>
      </c>
      <c r="AG218">
        <f ca="1"/>
      </c>
      <c r="AH218">
        <f ca="1"/>
      </c>
      <c r="AL218" s="7">
        <f ca="1"/>
      </c>
      <c r="AM218" s="14">
        <f ca="1"/>
      </c>
      <c r="AN218" s="14">
        <f ca="1"/>
      </c>
      <c r="AO218" s="14">
        <f ca="1"/>
      </c>
      <c r="AP218" s="14">
        <f ca="1"/>
      </c>
      <c r="AQ218" s="14">
        <f ca="1"/>
      </c>
      <c r="AR218" s="14">
        <f ca="1"/>
      </c>
      <c r="AV218" s="14">
        <f ca="1"/>
      </c>
      <c r="AW218" s="14">
        <f ca="1"/>
      </c>
      <c r="AX218" s="14">
        <f ca="1"/>
      </c>
      <c r="AY218" s="14">
        <f ca="1"/>
      </c>
      <c r="AZ218" s="14">
        <f ca="1"/>
      </c>
      <c r="BF218" s="7">
        <f ca="1"/>
      </c>
      <c r="BG218" s="14">
        <f ca="1"/>
      </c>
      <c r="BH218" s="14">
        <f ca="1"/>
      </c>
      <c r="BI218" s="14">
        <f ca="1"/>
      </c>
      <c r="BJ218" s="14">
        <f ca="1"/>
      </c>
      <c r="BK218" s="14">
        <f ca="1"/>
      </c>
    </row>
    <row r="219" spans="28:63" x14ac:dyDescent="0.55000000000000004">
      <c r="AB219">
        <f ca="1"/>
      </c>
      <c r="AC219">
        <f ca="1"/>
      </c>
      <c r="AD219">
        <f ca="1"/>
      </c>
      <c r="AE219">
        <f ca="1"/>
      </c>
      <c r="AF219">
        <f ca="1"/>
      </c>
      <c r="AG219">
        <f ca="1"/>
      </c>
      <c r="AH219">
        <f ca="1"/>
      </c>
      <c r="AL219" s="7">
        <f ca="1"/>
      </c>
      <c r="AM219" s="14">
        <f ca="1"/>
      </c>
      <c r="AN219" s="14">
        <f ca="1"/>
      </c>
      <c r="AO219" s="14">
        <f ca="1"/>
      </c>
      <c r="AP219" s="14">
        <f ca="1"/>
      </c>
      <c r="AQ219" s="14">
        <f ca="1"/>
      </c>
      <c r="AR219" s="14">
        <f ca="1"/>
      </c>
      <c r="AV219" s="14">
        <f ca="1"/>
      </c>
      <c r="AW219" s="14">
        <f ca="1"/>
      </c>
      <c r="AX219" s="14">
        <f ca="1"/>
      </c>
      <c r="AY219" s="14">
        <f ca="1"/>
      </c>
      <c r="AZ219" s="14">
        <f ca="1"/>
      </c>
      <c r="BF219" s="7">
        <f ca="1"/>
      </c>
      <c r="BG219" s="14">
        <f ca="1"/>
      </c>
      <c r="BH219" s="14">
        <f ca="1"/>
      </c>
      <c r="BI219" s="14">
        <f ca="1"/>
      </c>
      <c r="BJ219" s="14">
        <f ca="1"/>
      </c>
      <c r="BK219" s="14">
        <f ca="1"/>
      </c>
    </row>
    <row r="220" spans="28:63" x14ac:dyDescent="0.55000000000000004">
      <c r="AB220">
        <f ca="1"/>
      </c>
      <c r="AC220">
        <f ca="1"/>
      </c>
      <c r="AD220">
        <f ca="1"/>
      </c>
      <c r="AE220">
        <f ca="1"/>
      </c>
      <c r="AF220">
        <f ca="1"/>
      </c>
      <c r="AG220">
        <f ca="1"/>
      </c>
      <c r="AH220">
        <f ca="1"/>
      </c>
      <c r="AL220" s="7">
        <f ca="1"/>
      </c>
      <c r="AM220" s="14">
        <f ca="1"/>
      </c>
      <c r="AN220" s="14">
        <f ca="1"/>
      </c>
      <c r="AO220" s="14">
        <f ca="1"/>
      </c>
      <c r="AP220" s="14">
        <f ca="1"/>
      </c>
      <c r="AQ220" s="14">
        <f ca="1"/>
      </c>
      <c r="AR220" s="14">
        <f ca="1"/>
      </c>
      <c r="AV220" s="14">
        <f ca="1"/>
      </c>
      <c r="AW220" s="14">
        <f ca="1"/>
      </c>
      <c r="AX220" s="14">
        <f ca="1"/>
      </c>
      <c r="AY220" s="14">
        <f ca="1"/>
      </c>
      <c r="AZ220" s="14">
        <f ca="1"/>
      </c>
      <c r="BF220" s="7">
        <f ca="1"/>
      </c>
      <c r="BG220" s="14">
        <f ca="1"/>
      </c>
      <c r="BH220" s="14">
        <f ca="1"/>
      </c>
      <c r="BI220" s="14">
        <f ca="1"/>
      </c>
      <c r="BJ220" s="14">
        <f ca="1"/>
      </c>
      <c r="BK220" s="14">
        <f ca="1"/>
      </c>
    </row>
    <row r="221" spans="28:63" x14ac:dyDescent="0.55000000000000004">
      <c r="AB221">
        <f ca="1"/>
      </c>
      <c r="AC221">
        <f ca="1"/>
      </c>
      <c r="AD221">
        <f ca="1"/>
      </c>
      <c r="AE221">
        <f ca="1"/>
      </c>
      <c r="AF221">
        <f ca="1"/>
      </c>
      <c r="AG221">
        <f ca="1"/>
      </c>
      <c r="AH221">
        <f ca="1"/>
      </c>
      <c r="AL221" s="7">
        <f ca="1"/>
      </c>
      <c r="AM221" s="14">
        <f ca="1"/>
      </c>
      <c r="AN221" s="14">
        <f ca="1"/>
      </c>
      <c r="AO221" s="14">
        <f ca="1"/>
      </c>
      <c r="AP221" s="14">
        <f ca="1"/>
      </c>
      <c r="AQ221" s="14">
        <f ca="1"/>
      </c>
      <c r="AR221" s="14">
        <f ca="1"/>
      </c>
      <c r="AV221" s="14">
        <f ca="1"/>
      </c>
      <c r="AW221" s="14">
        <f ca="1"/>
      </c>
      <c r="AX221" s="14">
        <f ca="1"/>
      </c>
      <c r="AY221" s="14">
        <f ca="1"/>
      </c>
      <c r="AZ221" s="14">
        <f ca="1"/>
      </c>
      <c r="BF221" s="7">
        <f ca="1"/>
      </c>
      <c r="BG221" s="14">
        <f ca="1"/>
      </c>
      <c r="BH221" s="14">
        <f ca="1"/>
      </c>
      <c r="BI221" s="14">
        <f ca="1"/>
      </c>
      <c r="BJ221" s="14">
        <f ca="1"/>
      </c>
      <c r="BK221" s="14">
        <f ca="1"/>
      </c>
    </row>
    <row r="222" spans="28:63" x14ac:dyDescent="0.55000000000000004">
      <c r="AB222">
        <f ca="1"/>
      </c>
      <c r="AC222">
        <f ca="1"/>
      </c>
      <c r="AD222">
        <f ca="1"/>
      </c>
      <c r="AE222">
        <f ca="1"/>
      </c>
      <c r="AF222">
        <f ca="1"/>
      </c>
      <c r="AG222">
        <f ca="1"/>
      </c>
      <c r="AH222">
        <f ca="1"/>
      </c>
      <c r="AL222" s="7">
        <f ca="1"/>
      </c>
      <c r="AM222" s="14">
        <f ca="1"/>
      </c>
      <c r="AN222" s="14">
        <f ca="1"/>
      </c>
      <c r="AO222" s="14">
        <f ca="1"/>
      </c>
      <c r="AP222" s="14">
        <f ca="1"/>
      </c>
      <c r="AQ222" s="14">
        <f ca="1"/>
      </c>
      <c r="AR222" s="14">
        <f ca="1"/>
      </c>
      <c r="AV222" s="14">
        <f ca="1"/>
      </c>
      <c r="AW222" s="14">
        <f ca="1"/>
      </c>
      <c r="AX222" s="14">
        <f ca="1"/>
      </c>
      <c r="AY222" s="14">
        <f ca="1"/>
      </c>
      <c r="AZ222" s="14">
        <f ca="1"/>
      </c>
      <c r="BF222" s="7">
        <f ca="1"/>
      </c>
      <c r="BG222" s="14">
        <f ca="1"/>
      </c>
      <c r="BH222" s="14">
        <f ca="1"/>
      </c>
      <c r="BI222" s="14">
        <f ca="1"/>
      </c>
      <c r="BJ222" s="14">
        <f ca="1"/>
      </c>
      <c r="BK222" s="14">
        <f ca="1"/>
      </c>
    </row>
    <row r="223" spans="28:63" x14ac:dyDescent="0.55000000000000004">
      <c r="AB223">
        <f ca="1"/>
      </c>
      <c r="AC223">
        <f ca="1"/>
      </c>
      <c r="AD223">
        <f ca="1"/>
      </c>
      <c r="AE223">
        <f ca="1"/>
      </c>
      <c r="AF223">
        <f ca="1"/>
      </c>
      <c r="AG223">
        <f ca="1"/>
      </c>
      <c r="AH223">
        <f ca="1"/>
      </c>
      <c r="AL223" s="7">
        <f ca="1"/>
      </c>
      <c r="AM223" s="14">
        <f ca="1"/>
      </c>
      <c r="AN223" s="14">
        <f ca="1"/>
      </c>
      <c r="AO223" s="14">
        <f ca="1"/>
      </c>
      <c r="AP223" s="14">
        <f ca="1"/>
      </c>
      <c r="AQ223" s="14">
        <f ca="1"/>
      </c>
      <c r="AR223" s="14">
        <f ca="1"/>
      </c>
      <c r="AV223" s="14">
        <f ca="1"/>
      </c>
      <c r="AW223" s="14">
        <f ca="1"/>
      </c>
      <c r="AX223" s="14">
        <f ca="1"/>
      </c>
      <c r="AY223" s="14">
        <f ca="1"/>
      </c>
      <c r="AZ223" s="14">
        <f ca="1"/>
      </c>
      <c r="BF223" s="7">
        <f ca="1"/>
      </c>
      <c r="BG223" s="14">
        <f ca="1"/>
      </c>
      <c r="BH223" s="14">
        <f ca="1"/>
      </c>
      <c r="BI223" s="14">
        <f ca="1"/>
      </c>
      <c r="BJ223" s="14">
        <f ca="1"/>
      </c>
      <c r="BK223" s="14">
        <f ca="1"/>
      </c>
    </row>
    <row r="224" spans="28:63" x14ac:dyDescent="0.55000000000000004">
      <c r="AB224">
        <f ca="1"/>
      </c>
      <c r="AC224">
        <f ca="1"/>
      </c>
      <c r="AD224">
        <f ca="1"/>
      </c>
      <c r="AE224">
        <f ca="1"/>
      </c>
      <c r="AF224">
        <f ca="1"/>
      </c>
      <c r="AG224">
        <f ca="1"/>
      </c>
      <c r="AH224">
        <f ca="1"/>
      </c>
      <c r="AL224" s="7">
        <f ca="1"/>
      </c>
      <c r="AM224" s="14">
        <f ca="1"/>
      </c>
      <c r="AN224" s="14">
        <f ca="1"/>
      </c>
      <c r="AO224" s="14">
        <f ca="1"/>
      </c>
      <c r="AP224" s="14">
        <f ca="1"/>
      </c>
      <c r="AQ224" s="14">
        <f ca="1"/>
      </c>
      <c r="AR224" s="14">
        <f ca="1"/>
      </c>
      <c r="AV224" s="14">
        <f ca="1"/>
      </c>
      <c r="AW224" s="14">
        <f ca="1"/>
      </c>
      <c r="AX224" s="14">
        <f ca="1"/>
      </c>
      <c r="AY224" s="14">
        <f ca="1"/>
      </c>
      <c r="AZ224" s="14">
        <f ca="1"/>
      </c>
      <c r="BF224" s="7">
        <f ca="1"/>
      </c>
      <c r="BG224" s="14">
        <f ca="1"/>
      </c>
      <c r="BH224" s="14">
        <f ca="1"/>
      </c>
      <c r="BI224" s="14">
        <f ca="1"/>
      </c>
      <c r="BJ224" s="14">
        <f ca="1"/>
      </c>
      <c r="BK224" s="14">
        <f ca="1"/>
      </c>
    </row>
    <row r="225" spans="28:63" x14ac:dyDescent="0.55000000000000004">
      <c r="AB225">
        <f ca="1"/>
      </c>
      <c r="AC225">
        <f ca="1"/>
      </c>
      <c r="AD225">
        <f ca="1"/>
      </c>
      <c r="AE225">
        <f ca="1"/>
      </c>
      <c r="AF225">
        <f ca="1"/>
      </c>
      <c r="AG225">
        <f ca="1"/>
      </c>
      <c r="AH225">
        <f ca="1"/>
      </c>
      <c r="AL225" s="7">
        <f ca="1"/>
      </c>
      <c r="AM225" s="14">
        <f ca="1"/>
      </c>
      <c r="AN225" s="14">
        <f ca="1"/>
      </c>
      <c r="AO225" s="14">
        <f ca="1"/>
      </c>
      <c r="AP225" s="14">
        <f ca="1"/>
      </c>
      <c r="AQ225" s="14">
        <f ca="1"/>
      </c>
      <c r="AR225" s="14">
        <f ca="1"/>
      </c>
      <c r="AV225" s="14">
        <f ca="1"/>
      </c>
      <c r="AW225" s="14">
        <f ca="1"/>
      </c>
      <c r="AX225" s="14">
        <f ca="1"/>
      </c>
      <c r="AY225" s="14">
        <f ca="1"/>
      </c>
      <c r="AZ225" s="14">
        <f ca="1"/>
      </c>
      <c r="BF225" s="7">
        <f ca="1"/>
      </c>
      <c r="BG225" s="14">
        <f ca="1"/>
      </c>
      <c r="BH225" s="14">
        <f ca="1"/>
      </c>
      <c r="BI225" s="14">
        <f ca="1"/>
      </c>
      <c r="BJ225" s="14">
        <f ca="1"/>
      </c>
      <c r="BK225" s="14">
        <f ca="1"/>
      </c>
    </row>
    <row r="226" spans="28:63" x14ac:dyDescent="0.55000000000000004">
      <c r="AB226">
        <f ca="1"/>
      </c>
      <c r="AC226">
        <f ca="1"/>
      </c>
      <c r="AD226">
        <f ca="1"/>
      </c>
      <c r="AE226">
        <f ca="1"/>
      </c>
      <c r="AF226">
        <f ca="1"/>
      </c>
      <c r="AG226">
        <f ca="1"/>
      </c>
      <c r="AH226">
        <f ca="1"/>
      </c>
      <c r="AL226" s="7">
        <f ca="1"/>
      </c>
      <c r="AM226" s="14">
        <f ca="1"/>
      </c>
      <c r="AN226" s="14">
        <f ca="1"/>
      </c>
      <c r="AO226" s="14">
        <f ca="1"/>
      </c>
      <c r="AP226" s="14">
        <f ca="1"/>
      </c>
      <c r="AQ226" s="14">
        <f ca="1"/>
      </c>
      <c r="AR226" s="14">
        <f ca="1"/>
      </c>
      <c r="AV226" s="14">
        <f ca="1"/>
      </c>
      <c r="AW226" s="14">
        <f ca="1"/>
      </c>
      <c r="AX226" s="14">
        <f ca="1"/>
      </c>
      <c r="AY226" s="14">
        <f ca="1"/>
      </c>
      <c r="AZ226" s="14">
        <f ca="1"/>
      </c>
      <c r="BF226" s="7">
        <f ca="1"/>
      </c>
      <c r="BG226" s="14">
        <f ca="1"/>
      </c>
      <c r="BH226" s="14">
        <f ca="1"/>
      </c>
      <c r="BI226" s="14">
        <f ca="1"/>
      </c>
      <c r="BJ226" s="14">
        <f ca="1"/>
      </c>
      <c r="BK226" s="14">
        <f ca="1"/>
      </c>
    </row>
    <row r="227" spans="28:63" x14ac:dyDescent="0.55000000000000004">
      <c r="AB227">
        <f ca="1"/>
      </c>
      <c r="AC227">
        <f ca="1"/>
      </c>
      <c r="AD227">
        <f ca="1"/>
      </c>
      <c r="AE227">
        <f ca="1"/>
      </c>
      <c r="AF227">
        <f ca="1"/>
      </c>
      <c r="AG227">
        <f ca="1"/>
      </c>
      <c r="AH227">
        <f ca="1"/>
      </c>
      <c r="AL227" s="7">
        <f ca="1"/>
      </c>
      <c r="AM227" s="14">
        <f ca="1"/>
      </c>
      <c r="AN227" s="14">
        <f ca="1"/>
      </c>
      <c r="AO227" s="14">
        <f ca="1"/>
      </c>
      <c r="AP227" s="14">
        <f ca="1"/>
      </c>
      <c r="AQ227" s="14">
        <f ca="1"/>
      </c>
      <c r="AR227" s="14">
        <f ca="1"/>
      </c>
      <c r="AV227" s="14">
        <f ca="1"/>
      </c>
      <c r="AW227" s="14">
        <f ca="1"/>
      </c>
      <c r="AX227" s="14">
        <f ca="1"/>
      </c>
      <c r="AY227" s="14">
        <f ca="1"/>
      </c>
      <c r="AZ227" s="14">
        <f ca="1"/>
      </c>
      <c r="BF227" s="7">
        <f ca="1"/>
      </c>
      <c r="BG227" s="14">
        <f ca="1"/>
      </c>
      <c r="BH227" s="14">
        <f ca="1"/>
      </c>
      <c r="BI227" s="14">
        <f ca="1"/>
      </c>
      <c r="BJ227" s="14">
        <f ca="1"/>
      </c>
      <c r="BK227" s="14">
        <f ca="1"/>
      </c>
    </row>
    <row r="228" spans="28:63" x14ac:dyDescent="0.55000000000000004">
      <c r="AB228">
        <f ca="1"/>
      </c>
      <c r="AC228">
        <f ca="1"/>
      </c>
      <c r="AD228">
        <f ca="1"/>
      </c>
      <c r="AE228">
        <f ca="1"/>
      </c>
      <c r="AF228">
        <f ca="1"/>
      </c>
      <c r="AG228">
        <f ca="1"/>
      </c>
      <c r="AH228">
        <f ca="1"/>
      </c>
      <c r="AL228" s="7">
        <f ca="1"/>
      </c>
      <c r="AM228" s="14">
        <f ca="1"/>
      </c>
      <c r="AN228" s="14">
        <f ca="1"/>
      </c>
      <c r="AO228" s="14">
        <f ca="1"/>
      </c>
      <c r="AP228" s="14">
        <f ca="1"/>
      </c>
      <c r="AQ228" s="14">
        <f ca="1"/>
      </c>
      <c r="AR228" s="14">
        <f ca="1"/>
      </c>
      <c r="AV228" s="14">
        <f ca="1"/>
      </c>
      <c r="AW228" s="14">
        <f ca="1"/>
      </c>
      <c r="AX228" s="14">
        <f ca="1"/>
      </c>
      <c r="AY228" s="14">
        <f ca="1"/>
      </c>
      <c r="AZ228" s="14">
        <f ca="1"/>
      </c>
      <c r="BF228" s="7">
        <f ca="1"/>
      </c>
      <c r="BG228" s="14">
        <f ca="1"/>
      </c>
      <c r="BH228" s="14">
        <f ca="1"/>
      </c>
      <c r="BI228" s="14">
        <f ca="1"/>
      </c>
      <c r="BJ228" s="14">
        <f ca="1"/>
      </c>
      <c r="BK228" s="14">
        <f ca="1"/>
      </c>
    </row>
    <row r="229" spans="28:63" x14ac:dyDescent="0.55000000000000004">
      <c r="AB229">
        <f ca="1"/>
      </c>
      <c r="AC229">
        <f ca="1"/>
      </c>
      <c r="AD229">
        <f ca="1"/>
      </c>
      <c r="AE229">
        <f ca="1"/>
      </c>
      <c r="AF229">
        <f ca="1"/>
      </c>
      <c r="AG229">
        <f ca="1"/>
      </c>
      <c r="AH229">
        <f ca="1"/>
      </c>
      <c r="AL229" s="7">
        <f ca="1"/>
      </c>
      <c r="AM229" s="14">
        <f ca="1"/>
      </c>
      <c r="AN229" s="14">
        <f ca="1"/>
      </c>
      <c r="AO229" s="14">
        <f ca="1"/>
      </c>
      <c r="AP229" s="14">
        <f ca="1"/>
      </c>
      <c r="AQ229" s="14">
        <f ca="1"/>
      </c>
      <c r="AR229" s="14">
        <f ca="1"/>
      </c>
      <c r="AV229" s="14">
        <f ca="1"/>
      </c>
      <c r="AW229" s="14">
        <f ca="1"/>
      </c>
      <c r="AX229" s="14">
        <f ca="1"/>
      </c>
      <c r="AY229" s="14">
        <f ca="1"/>
      </c>
      <c r="AZ229" s="14">
        <f ca="1"/>
      </c>
      <c r="BF229" s="7">
        <f ca="1"/>
      </c>
      <c r="BG229" s="14">
        <f ca="1"/>
      </c>
      <c r="BH229" s="14">
        <f ca="1"/>
      </c>
      <c r="BI229" s="14">
        <f ca="1"/>
      </c>
      <c r="BJ229" s="14">
        <f ca="1"/>
      </c>
      <c r="BK229" s="14">
        <f ca="1"/>
      </c>
    </row>
    <row r="230" spans="28:63" x14ac:dyDescent="0.55000000000000004">
      <c r="AB230">
        <f ca="1"/>
      </c>
      <c r="AC230">
        <f ca="1"/>
      </c>
      <c r="AD230">
        <f ca="1"/>
      </c>
      <c r="AE230">
        <f ca="1"/>
      </c>
      <c r="AF230">
        <f ca="1"/>
      </c>
      <c r="AG230">
        <f ca="1"/>
      </c>
      <c r="AH230">
        <f ca="1"/>
      </c>
      <c r="AL230" s="7">
        <f ca="1"/>
      </c>
      <c r="AM230" s="14">
        <f ca="1"/>
      </c>
      <c r="AN230" s="14">
        <f ca="1"/>
      </c>
      <c r="AO230" s="14">
        <f ca="1"/>
      </c>
      <c r="AP230" s="14">
        <f ca="1"/>
      </c>
      <c r="AQ230" s="14">
        <f ca="1"/>
      </c>
      <c r="AR230" s="14">
        <f ca="1"/>
      </c>
      <c r="AV230" s="14">
        <f ca="1"/>
      </c>
      <c r="AW230" s="14">
        <f ca="1"/>
      </c>
      <c r="AX230" s="14">
        <f ca="1"/>
      </c>
      <c r="AY230" s="14">
        <f ca="1"/>
      </c>
      <c r="AZ230" s="14">
        <f ca="1"/>
      </c>
      <c r="BF230" s="7">
        <f ca="1"/>
      </c>
      <c r="BG230" s="14">
        <f ca="1"/>
      </c>
      <c r="BH230" s="14">
        <f ca="1"/>
      </c>
      <c r="BI230" s="14">
        <f ca="1"/>
      </c>
      <c r="BJ230" s="14">
        <f ca="1"/>
      </c>
      <c r="BK230" s="14">
        <f ca="1"/>
      </c>
    </row>
    <row r="231" spans="28:63" x14ac:dyDescent="0.55000000000000004">
      <c r="AB231">
        <f ca="1"/>
      </c>
      <c r="AC231">
        <f ca="1"/>
      </c>
      <c r="AD231">
        <f ca="1"/>
      </c>
      <c r="AE231">
        <f ca="1"/>
      </c>
      <c r="AF231">
        <f ca="1"/>
      </c>
      <c r="AG231">
        <f ca="1"/>
      </c>
      <c r="AH231">
        <f ca="1"/>
      </c>
      <c r="AL231" s="7">
        <f ca="1"/>
      </c>
      <c r="AM231" s="14">
        <f ca="1"/>
      </c>
      <c r="AN231" s="14">
        <f ca="1"/>
      </c>
      <c r="AO231" s="14">
        <f ca="1"/>
      </c>
      <c r="AP231" s="14">
        <f ca="1"/>
      </c>
      <c r="AQ231" s="14">
        <f ca="1"/>
      </c>
      <c r="AR231" s="14">
        <f ca="1"/>
      </c>
      <c r="AV231" s="14">
        <f ca="1"/>
      </c>
      <c r="AW231" s="14">
        <f ca="1"/>
      </c>
      <c r="AX231" s="14">
        <f ca="1"/>
      </c>
      <c r="AY231" s="14">
        <f ca="1"/>
      </c>
      <c r="AZ231" s="14">
        <f ca="1"/>
      </c>
      <c r="BF231" s="7">
        <f ca="1"/>
      </c>
      <c r="BG231" s="14">
        <f ca="1"/>
      </c>
      <c r="BH231" s="14">
        <f ca="1"/>
      </c>
      <c r="BI231" s="14">
        <f ca="1"/>
      </c>
      <c r="BJ231" s="14">
        <f ca="1"/>
      </c>
      <c r="BK231" s="14">
        <f ca="1"/>
      </c>
    </row>
    <row r="232" spans="28:63" x14ac:dyDescent="0.55000000000000004">
      <c r="AB232">
        <f ca="1"/>
      </c>
      <c r="AC232">
        <f ca="1"/>
      </c>
      <c r="AD232">
        <f ca="1"/>
      </c>
      <c r="AE232">
        <f ca="1"/>
      </c>
      <c r="AF232">
        <f ca="1"/>
      </c>
      <c r="AG232">
        <f ca="1"/>
      </c>
      <c r="AH232">
        <f ca="1"/>
      </c>
      <c r="AL232" s="7">
        <f ca="1"/>
      </c>
      <c r="AM232" s="14">
        <f ca="1"/>
      </c>
      <c r="AN232" s="14">
        <f ca="1"/>
      </c>
      <c r="AO232" s="14">
        <f ca="1"/>
      </c>
      <c r="AP232" s="14">
        <f ca="1"/>
      </c>
      <c r="AQ232" s="14">
        <f ca="1"/>
      </c>
      <c r="AR232" s="14">
        <f ca="1"/>
      </c>
      <c r="AV232" s="14">
        <f ca="1"/>
      </c>
      <c r="AW232" s="14">
        <f ca="1"/>
      </c>
      <c r="AX232" s="14">
        <f ca="1"/>
      </c>
      <c r="AY232" s="14">
        <f ca="1"/>
      </c>
      <c r="AZ232" s="14">
        <f ca="1"/>
      </c>
      <c r="BF232" s="7">
        <f ca="1"/>
      </c>
      <c r="BG232" s="14">
        <f ca="1"/>
      </c>
      <c r="BH232" s="14">
        <f ca="1"/>
      </c>
      <c r="BI232" s="14">
        <f ca="1"/>
      </c>
      <c r="BJ232" s="14">
        <f ca="1"/>
      </c>
      <c r="BK232" s="14">
        <f ca="1"/>
      </c>
    </row>
    <row r="233" spans="28:63" x14ac:dyDescent="0.55000000000000004">
      <c r="AB233">
        <f ca="1"/>
      </c>
      <c r="AC233">
        <f ca="1"/>
      </c>
      <c r="AD233">
        <f ca="1"/>
      </c>
      <c r="AE233">
        <f ca="1"/>
      </c>
      <c r="AF233">
        <f ca="1"/>
      </c>
      <c r="AG233">
        <f ca="1"/>
      </c>
      <c r="AH233">
        <f ca="1"/>
      </c>
      <c r="AL233" s="7">
        <f ca="1"/>
      </c>
      <c r="AM233" s="14">
        <f ca="1"/>
      </c>
      <c r="AN233" s="14">
        <f ca="1"/>
      </c>
      <c r="AO233" s="14">
        <f ca="1"/>
      </c>
      <c r="AP233" s="14">
        <f ca="1"/>
      </c>
      <c r="AQ233" s="14">
        <f ca="1"/>
      </c>
      <c r="AR233" s="14">
        <f ca="1"/>
      </c>
      <c r="AV233" s="14">
        <f ca="1"/>
      </c>
      <c r="AW233" s="14">
        <f ca="1"/>
      </c>
      <c r="AX233" s="14">
        <f ca="1"/>
      </c>
      <c r="AY233" s="14">
        <f ca="1"/>
      </c>
      <c r="AZ233" s="14">
        <f ca="1"/>
      </c>
      <c r="BF233" s="7">
        <f ca="1"/>
      </c>
      <c r="BG233" s="14">
        <f ca="1"/>
      </c>
      <c r="BH233" s="14">
        <f ca="1"/>
      </c>
      <c r="BI233" s="14">
        <f ca="1"/>
      </c>
      <c r="BJ233" s="14">
        <f ca="1"/>
      </c>
      <c r="BK233" s="14">
        <f ca="1"/>
      </c>
    </row>
    <row r="234" spans="28:63" x14ac:dyDescent="0.55000000000000004">
      <c r="AB234">
        <f ca="1"/>
      </c>
      <c r="AC234">
        <f ca="1"/>
      </c>
      <c r="AD234">
        <f ca="1"/>
      </c>
      <c r="AE234">
        <f ca="1"/>
      </c>
      <c r="AF234">
        <f ca="1"/>
      </c>
      <c r="AG234">
        <f ca="1"/>
      </c>
      <c r="AH234">
        <f ca="1"/>
      </c>
      <c r="AL234" s="7">
        <f ca="1"/>
      </c>
      <c r="AM234" s="14">
        <f ca="1"/>
      </c>
      <c r="AN234" s="14">
        <f ca="1"/>
      </c>
      <c r="AO234" s="14">
        <f ca="1"/>
      </c>
      <c r="AP234" s="14">
        <f ca="1"/>
      </c>
      <c r="AQ234" s="14">
        <f ca="1"/>
      </c>
      <c r="AR234" s="14">
        <f ca="1"/>
      </c>
      <c r="AV234" s="14">
        <f ca="1"/>
      </c>
      <c r="AW234" s="14">
        <f ca="1"/>
      </c>
      <c r="AX234" s="14">
        <f ca="1"/>
      </c>
      <c r="AY234" s="14">
        <f ca="1"/>
      </c>
      <c r="AZ234" s="14">
        <f ca="1"/>
      </c>
      <c r="BF234" s="7">
        <f ca="1"/>
      </c>
      <c r="BG234" s="14">
        <f ca="1"/>
      </c>
      <c r="BH234" s="14">
        <f ca="1"/>
      </c>
      <c r="BI234" s="14">
        <f ca="1"/>
      </c>
      <c r="BJ234" s="14">
        <f ca="1"/>
      </c>
      <c r="BK234" s="14">
        <f ca="1"/>
      </c>
    </row>
    <row r="235" spans="28:63" x14ac:dyDescent="0.55000000000000004">
      <c r="AB235">
        <f ca="1"/>
      </c>
      <c r="AC235">
        <f ca="1"/>
      </c>
      <c r="AD235">
        <f ca="1"/>
      </c>
      <c r="AE235">
        <f ca="1"/>
      </c>
      <c r="AF235">
        <f ca="1"/>
      </c>
      <c r="AG235">
        <f ca="1"/>
      </c>
      <c r="AH235">
        <f ca="1"/>
      </c>
      <c r="AL235" s="7">
        <f ca="1"/>
      </c>
      <c r="AM235" s="14">
        <f ca="1"/>
      </c>
      <c r="AN235" s="14">
        <f ca="1"/>
      </c>
      <c r="AO235" s="14">
        <f ca="1"/>
      </c>
      <c r="AP235" s="14">
        <f ca="1"/>
      </c>
      <c r="AQ235" s="14">
        <f ca="1"/>
      </c>
      <c r="AR235" s="14">
        <f ca="1"/>
      </c>
      <c r="AV235" s="14">
        <f ca="1"/>
      </c>
      <c r="AW235" s="14">
        <f ca="1"/>
      </c>
      <c r="AX235" s="14">
        <f ca="1"/>
      </c>
      <c r="AY235" s="14">
        <f ca="1"/>
      </c>
      <c r="AZ235" s="14">
        <f ca="1"/>
      </c>
      <c r="BF235" s="7">
        <f ca="1"/>
      </c>
      <c r="BG235" s="14">
        <f ca="1"/>
      </c>
      <c r="BH235" s="14">
        <f ca="1"/>
      </c>
      <c r="BI235" s="14">
        <f ca="1"/>
      </c>
      <c r="BJ235" s="14">
        <f ca="1"/>
      </c>
      <c r="BK235" s="14">
        <f ca="1"/>
      </c>
    </row>
    <row r="236" spans="28:63" x14ac:dyDescent="0.55000000000000004">
      <c r="AB236">
        <f ca="1"/>
      </c>
      <c r="AC236">
        <f ca="1"/>
      </c>
      <c r="AD236">
        <f ca="1"/>
      </c>
      <c r="AE236">
        <f ca="1"/>
      </c>
      <c r="AF236">
        <f ca="1"/>
      </c>
      <c r="AG236">
        <f ca="1"/>
      </c>
      <c r="AH236">
        <f ca="1"/>
      </c>
      <c r="AL236" s="7">
        <f ca="1"/>
      </c>
      <c r="AM236" s="14">
        <f ca="1"/>
      </c>
      <c r="AN236" s="14">
        <f ca="1"/>
      </c>
      <c r="AO236" s="14">
        <f ca="1"/>
      </c>
      <c r="AP236" s="14">
        <f ca="1"/>
      </c>
      <c r="AQ236" s="14">
        <f ca="1"/>
      </c>
      <c r="AR236" s="14">
        <f ca="1"/>
      </c>
      <c r="AV236" s="14">
        <f ca="1"/>
      </c>
      <c r="AW236" s="14">
        <f ca="1"/>
      </c>
      <c r="AX236" s="14">
        <f ca="1"/>
      </c>
      <c r="AY236" s="14">
        <f ca="1"/>
      </c>
      <c r="AZ236" s="14">
        <f ca="1"/>
      </c>
      <c r="BF236" s="7">
        <f ca="1"/>
      </c>
      <c r="BG236" s="14">
        <f ca="1"/>
      </c>
      <c r="BH236" s="14">
        <f ca="1"/>
      </c>
      <c r="BI236" s="14">
        <f ca="1"/>
      </c>
      <c r="BJ236" s="14">
        <f ca="1"/>
      </c>
      <c r="BK236" s="14">
        <f ca="1"/>
      </c>
    </row>
    <row r="237" spans="28:63" x14ac:dyDescent="0.55000000000000004">
      <c r="AB237">
        <f ca="1"/>
      </c>
      <c r="AC237">
        <f ca="1"/>
      </c>
      <c r="AD237">
        <f ca="1"/>
      </c>
      <c r="AE237">
        <f ca="1"/>
      </c>
      <c r="AF237">
        <f ca="1"/>
      </c>
      <c r="AG237">
        <f ca="1"/>
      </c>
      <c r="AH237">
        <f ca="1"/>
      </c>
      <c r="AL237" s="7">
        <f ca="1"/>
      </c>
      <c r="AM237" s="14">
        <f ca="1"/>
      </c>
      <c r="AN237" s="14">
        <f ca="1"/>
      </c>
      <c r="AO237" s="14">
        <f ca="1"/>
      </c>
      <c r="AP237" s="14">
        <f ca="1"/>
      </c>
      <c r="AQ237" s="14">
        <f ca="1"/>
      </c>
      <c r="AR237" s="14">
        <f ca="1"/>
      </c>
      <c r="AV237" s="14">
        <f ca="1"/>
      </c>
      <c r="AW237" s="14">
        <f ca="1"/>
      </c>
      <c r="AX237" s="14">
        <f ca="1"/>
      </c>
      <c r="AY237" s="14">
        <f ca="1"/>
      </c>
      <c r="AZ237" s="14">
        <f ca="1"/>
      </c>
      <c r="BF237" s="7">
        <f ca="1"/>
      </c>
      <c r="BG237" s="14">
        <f ca="1"/>
      </c>
      <c r="BH237" s="14">
        <f ca="1"/>
      </c>
      <c r="BI237" s="14">
        <f ca="1"/>
      </c>
      <c r="BJ237" s="14">
        <f ca="1"/>
      </c>
      <c r="BK237" s="14">
        <f ca="1"/>
      </c>
    </row>
    <row r="238" spans="28:63" x14ac:dyDescent="0.55000000000000004">
      <c r="AB238">
        <f ca="1"/>
      </c>
      <c r="AC238">
        <f ca="1"/>
      </c>
      <c r="AD238">
        <f ca="1"/>
      </c>
      <c r="AE238">
        <f ca="1"/>
      </c>
      <c r="AF238">
        <f ca="1"/>
      </c>
      <c r="AG238">
        <f ca="1"/>
      </c>
      <c r="AH238">
        <f ca="1"/>
      </c>
      <c r="AL238" s="7">
        <f ca="1"/>
      </c>
      <c r="AM238" s="14">
        <f ca="1"/>
      </c>
      <c r="AN238" s="14">
        <f ca="1"/>
      </c>
      <c r="AO238" s="14">
        <f ca="1"/>
      </c>
      <c r="AP238" s="14">
        <f ca="1"/>
      </c>
      <c r="AQ238" s="14">
        <f ca="1"/>
      </c>
      <c r="AR238" s="14">
        <f ca="1"/>
      </c>
      <c r="AV238" s="14">
        <f ca="1"/>
      </c>
      <c r="AW238" s="14">
        <f ca="1"/>
      </c>
      <c r="AX238" s="14">
        <f ca="1"/>
      </c>
      <c r="AY238" s="14">
        <f ca="1"/>
      </c>
      <c r="AZ238" s="14">
        <f ca="1"/>
      </c>
      <c r="BF238" s="7">
        <f ca="1"/>
      </c>
      <c r="BG238" s="14">
        <f ca="1"/>
      </c>
      <c r="BH238" s="14">
        <f ca="1"/>
      </c>
      <c r="BI238" s="14">
        <f ca="1"/>
      </c>
      <c r="BJ238" s="14">
        <f ca="1"/>
      </c>
      <c r="BK238" s="14">
        <f ca="1"/>
      </c>
    </row>
    <row r="239" spans="28:63" x14ac:dyDescent="0.55000000000000004">
      <c r="AB239">
        <f ca="1"/>
      </c>
      <c r="AC239">
        <f ca="1"/>
      </c>
      <c r="AD239">
        <f ca="1"/>
      </c>
      <c r="AE239">
        <f ca="1"/>
      </c>
      <c r="AF239">
        <f ca="1"/>
      </c>
      <c r="AG239">
        <f ca="1"/>
      </c>
      <c r="AH239">
        <f ca="1"/>
      </c>
      <c r="AL239" s="7">
        <f ca="1"/>
      </c>
      <c r="AM239" s="14">
        <f ca="1"/>
      </c>
      <c r="AN239" s="14">
        <f ca="1"/>
      </c>
      <c r="AO239" s="14">
        <f ca="1"/>
      </c>
      <c r="AP239" s="14">
        <f ca="1"/>
      </c>
      <c r="AQ239" s="14">
        <f ca="1"/>
      </c>
      <c r="AR239" s="14">
        <f ca="1"/>
      </c>
      <c r="AV239" s="14">
        <f ca="1"/>
      </c>
      <c r="AW239" s="14">
        <f ca="1"/>
      </c>
      <c r="AX239" s="14">
        <f ca="1"/>
      </c>
      <c r="AY239" s="14">
        <f ca="1"/>
      </c>
      <c r="AZ239" s="14">
        <f ca="1"/>
      </c>
      <c r="BF239" s="7">
        <f ca="1"/>
      </c>
      <c r="BG239" s="14">
        <f ca="1"/>
      </c>
      <c r="BH239" s="14">
        <f ca="1"/>
      </c>
      <c r="BI239" s="14">
        <f ca="1"/>
      </c>
      <c r="BJ239" s="14">
        <f ca="1"/>
      </c>
      <c r="BK239" s="14">
        <f ca="1"/>
      </c>
    </row>
    <row r="240" spans="28:63" x14ac:dyDescent="0.55000000000000004">
      <c r="AB240">
        <f ca="1"/>
      </c>
      <c r="AC240">
        <f ca="1"/>
      </c>
      <c r="AD240">
        <f ca="1"/>
      </c>
      <c r="AE240">
        <f ca="1"/>
      </c>
      <c r="AF240">
        <f ca="1"/>
      </c>
      <c r="AG240">
        <f ca="1"/>
      </c>
      <c r="AH240">
        <f ca="1"/>
      </c>
      <c r="AL240" s="7">
        <f ca="1"/>
      </c>
      <c r="AM240" s="14">
        <f ca="1"/>
      </c>
      <c r="AN240" s="14">
        <f ca="1"/>
      </c>
      <c r="AO240" s="14">
        <f ca="1"/>
      </c>
      <c r="AP240" s="14">
        <f ca="1"/>
      </c>
      <c r="AQ240" s="14">
        <f ca="1"/>
      </c>
      <c r="AR240" s="14">
        <f ca="1"/>
      </c>
      <c r="AV240" s="14">
        <f ca="1"/>
      </c>
      <c r="AW240" s="14">
        <f ca="1"/>
      </c>
      <c r="AX240" s="14">
        <f ca="1"/>
      </c>
      <c r="AY240" s="14">
        <f ca="1"/>
      </c>
      <c r="AZ240" s="14">
        <f ca="1"/>
      </c>
      <c r="BF240" s="7">
        <f ca="1"/>
      </c>
      <c r="BG240" s="14">
        <f ca="1"/>
      </c>
      <c r="BH240" s="14">
        <f ca="1"/>
      </c>
      <c r="BI240" s="14">
        <f ca="1"/>
      </c>
      <c r="BJ240" s="14">
        <f ca="1"/>
      </c>
      <c r="BK240" s="14">
        <f ca="1"/>
      </c>
    </row>
    <row r="241" spans="28:63" x14ac:dyDescent="0.55000000000000004">
      <c r="AB241">
        <f ca="1"/>
      </c>
      <c r="AC241">
        <f ca="1"/>
      </c>
      <c r="AD241">
        <f ca="1"/>
      </c>
      <c r="AE241">
        <f ca="1"/>
      </c>
      <c r="AF241">
        <f ca="1"/>
      </c>
      <c r="AG241">
        <f ca="1"/>
      </c>
      <c r="AH241">
        <f ca="1"/>
      </c>
      <c r="AL241" s="7">
        <f ca="1"/>
      </c>
      <c r="AM241" s="14">
        <f ca="1"/>
      </c>
      <c r="AN241" s="14">
        <f ca="1"/>
      </c>
      <c r="AO241" s="14">
        <f ca="1"/>
      </c>
      <c r="AP241" s="14">
        <f ca="1"/>
      </c>
      <c r="AQ241" s="14">
        <f ca="1"/>
      </c>
      <c r="AR241" s="14">
        <f ca="1"/>
      </c>
      <c r="AV241" s="14">
        <f ca="1"/>
      </c>
      <c r="AW241" s="14">
        <f ca="1"/>
      </c>
      <c r="AX241" s="14">
        <f ca="1"/>
      </c>
      <c r="AY241" s="14">
        <f ca="1"/>
      </c>
      <c r="AZ241" s="14">
        <f ca="1"/>
      </c>
      <c r="BF241" s="7">
        <f ca="1"/>
      </c>
      <c r="BG241" s="14">
        <f ca="1"/>
      </c>
      <c r="BH241" s="14">
        <f ca="1"/>
      </c>
      <c r="BI241" s="14">
        <f ca="1"/>
      </c>
      <c r="BJ241" s="14">
        <f ca="1"/>
      </c>
      <c r="BK241" s="14">
        <f ca="1"/>
      </c>
    </row>
    <row r="242" spans="28:63" x14ac:dyDescent="0.55000000000000004">
      <c r="AB242">
        <f ca="1"/>
      </c>
      <c r="AC242">
        <f ca="1"/>
      </c>
      <c r="AD242">
        <f ca="1"/>
      </c>
      <c r="AE242">
        <f ca="1"/>
      </c>
      <c r="AF242">
        <f ca="1"/>
      </c>
      <c r="AG242">
        <f ca="1"/>
      </c>
      <c r="AH242">
        <f ca="1"/>
      </c>
      <c r="AL242" s="7">
        <f ca="1"/>
      </c>
      <c r="AM242" s="14">
        <f ca="1"/>
      </c>
      <c r="AN242" s="14">
        <f ca="1"/>
      </c>
      <c r="AO242" s="14">
        <f ca="1"/>
      </c>
      <c r="AP242" s="14">
        <f ca="1"/>
      </c>
      <c r="AQ242" s="14">
        <f ca="1"/>
      </c>
      <c r="AR242" s="14">
        <f ca="1"/>
      </c>
      <c r="AV242" s="14">
        <f ca="1"/>
      </c>
      <c r="AW242" s="14">
        <f ca="1"/>
      </c>
      <c r="AX242" s="14">
        <f ca="1"/>
      </c>
      <c r="AY242" s="14">
        <f ca="1"/>
      </c>
      <c r="AZ242" s="14">
        <f ca="1"/>
      </c>
      <c r="BF242" s="7">
        <f ca="1"/>
      </c>
      <c r="BG242" s="14">
        <f ca="1"/>
      </c>
      <c r="BH242" s="14">
        <f ca="1"/>
      </c>
      <c r="BI242" s="14">
        <f ca="1"/>
      </c>
      <c r="BJ242" s="14">
        <f ca="1"/>
      </c>
      <c r="BK242" s="14">
        <f ca="1"/>
      </c>
    </row>
    <row r="243" spans="28:63" x14ac:dyDescent="0.55000000000000004">
      <c r="AB243">
        <f ca="1"/>
      </c>
      <c r="AC243">
        <f ca="1"/>
      </c>
      <c r="AD243">
        <f ca="1"/>
      </c>
      <c r="AE243">
        <f ca="1"/>
      </c>
      <c r="AF243">
        <f ca="1"/>
      </c>
      <c r="AG243">
        <f ca="1"/>
      </c>
      <c r="AH243">
        <f ca="1"/>
      </c>
      <c r="AL243" s="7">
        <f ca="1"/>
      </c>
      <c r="AM243" s="14">
        <f ca="1"/>
      </c>
      <c r="AN243" s="14">
        <f ca="1"/>
      </c>
      <c r="AO243" s="14">
        <f ca="1"/>
      </c>
      <c r="AP243" s="14">
        <f ca="1"/>
      </c>
      <c r="AQ243" s="14">
        <f ca="1"/>
      </c>
      <c r="AR243" s="14">
        <f ca="1"/>
      </c>
      <c r="AV243" s="14">
        <f ca="1"/>
      </c>
      <c r="AW243" s="14">
        <f ca="1"/>
      </c>
      <c r="AX243" s="14">
        <f ca="1"/>
      </c>
      <c r="AY243" s="14">
        <f ca="1"/>
      </c>
      <c r="AZ243" s="14">
        <f ca="1"/>
      </c>
      <c r="BF243" s="7">
        <f ca="1"/>
      </c>
      <c r="BG243" s="14">
        <f ca="1"/>
      </c>
      <c r="BH243" s="14">
        <f ca="1"/>
      </c>
      <c r="BI243" s="14">
        <f ca="1"/>
      </c>
      <c r="BJ243" s="14">
        <f ca="1"/>
      </c>
      <c r="BK243" s="14">
        <f ca="1"/>
      </c>
    </row>
    <row r="244" spans="28:63" x14ac:dyDescent="0.55000000000000004">
      <c r="AB244">
        <f ca="1"/>
      </c>
      <c r="AC244">
        <f ca="1"/>
      </c>
      <c r="AD244">
        <f ca="1"/>
      </c>
      <c r="AE244">
        <f ca="1"/>
      </c>
      <c r="AF244">
        <f ca="1"/>
      </c>
      <c r="AG244">
        <f ca="1"/>
      </c>
      <c r="AH244">
        <f ca="1"/>
      </c>
      <c r="AL244" s="7">
        <f ca="1"/>
      </c>
      <c r="AM244" s="14">
        <f ca="1"/>
      </c>
      <c r="AN244" s="14">
        <f ca="1"/>
      </c>
      <c r="AO244" s="14">
        <f ca="1"/>
      </c>
      <c r="AP244" s="14">
        <f ca="1"/>
      </c>
      <c r="AQ244" s="14">
        <f ca="1"/>
      </c>
      <c r="AR244" s="14">
        <f ca="1"/>
      </c>
      <c r="AV244" s="14">
        <f ca="1"/>
      </c>
      <c r="AW244" s="14">
        <f ca="1"/>
      </c>
      <c r="AX244" s="14">
        <f ca="1"/>
      </c>
      <c r="AY244" s="14">
        <f ca="1"/>
      </c>
      <c r="AZ244" s="14">
        <f ca="1"/>
      </c>
      <c r="BF244" s="7">
        <f ca="1"/>
      </c>
      <c r="BG244" s="14">
        <f ca="1"/>
      </c>
      <c r="BH244" s="14">
        <f ca="1"/>
      </c>
      <c r="BI244" s="14">
        <f ca="1"/>
      </c>
      <c r="BJ244" s="14">
        <f ca="1"/>
      </c>
      <c r="BK244" s="14">
        <f ca="1"/>
      </c>
    </row>
    <row r="245" spans="28:63" x14ac:dyDescent="0.55000000000000004">
      <c r="AB245">
        <f ca="1"/>
      </c>
      <c r="AC245">
        <f ca="1"/>
      </c>
      <c r="AD245">
        <f ca="1"/>
      </c>
      <c r="AE245">
        <f ca="1"/>
      </c>
      <c r="AF245">
        <f ca="1"/>
      </c>
      <c r="AG245">
        <f ca="1"/>
      </c>
      <c r="AH245">
        <f ca="1"/>
      </c>
      <c r="AL245" s="7">
        <f ca="1"/>
      </c>
      <c r="AM245" s="14">
        <f ca="1"/>
      </c>
      <c r="AN245" s="14">
        <f ca="1"/>
      </c>
      <c r="AO245" s="14">
        <f ca="1"/>
      </c>
      <c r="AP245" s="14">
        <f ca="1"/>
      </c>
      <c r="AQ245" s="14">
        <f ca="1"/>
      </c>
      <c r="AR245" s="14">
        <f ca="1"/>
      </c>
      <c r="AV245" s="14">
        <f ca="1"/>
      </c>
      <c r="AW245" s="14">
        <f ca="1"/>
      </c>
      <c r="AX245" s="14">
        <f ca="1"/>
      </c>
      <c r="AY245" s="14">
        <f ca="1"/>
      </c>
      <c r="AZ245" s="14">
        <f ca="1"/>
      </c>
      <c r="BF245" s="7">
        <f ca="1"/>
      </c>
      <c r="BG245" s="14">
        <f ca="1"/>
      </c>
      <c r="BH245" s="14">
        <f ca="1"/>
      </c>
      <c r="BI245" s="14">
        <f ca="1"/>
      </c>
      <c r="BJ245" s="14">
        <f ca="1"/>
      </c>
      <c r="BK245" s="14">
        <f ca="1"/>
      </c>
    </row>
    <row r="246" spans="28:63" x14ac:dyDescent="0.55000000000000004">
      <c r="AB246">
        <f ca="1"/>
      </c>
      <c r="AC246">
        <f ca="1"/>
      </c>
      <c r="AD246">
        <f ca="1"/>
      </c>
      <c r="AE246">
        <f ca="1"/>
      </c>
      <c r="AF246">
        <f ca="1"/>
      </c>
      <c r="AG246">
        <f ca="1"/>
      </c>
      <c r="AH246">
        <f ca="1"/>
      </c>
      <c r="AL246" s="7">
        <f ca="1"/>
      </c>
      <c r="AM246" s="14">
        <f ca="1"/>
      </c>
      <c r="AN246" s="14">
        <f ca="1"/>
      </c>
      <c r="AO246" s="14">
        <f ca="1"/>
      </c>
      <c r="AP246" s="14">
        <f ca="1"/>
      </c>
      <c r="AQ246" s="14">
        <f ca="1"/>
      </c>
      <c r="AR246" s="14">
        <f ca="1"/>
      </c>
      <c r="AV246" s="14">
        <f ca="1"/>
      </c>
      <c r="AW246" s="14">
        <f ca="1"/>
      </c>
      <c r="AX246" s="14">
        <f ca="1"/>
      </c>
      <c r="AY246" s="14">
        <f ca="1"/>
      </c>
      <c r="AZ246" s="14">
        <f ca="1"/>
      </c>
      <c r="BF246" s="7">
        <f ca="1"/>
      </c>
      <c r="BG246" s="14">
        <f ca="1"/>
      </c>
      <c r="BH246" s="14">
        <f ca="1"/>
      </c>
      <c r="BI246" s="14">
        <f ca="1"/>
      </c>
      <c r="BJ246" s="14">
        <f ca="1"/>
      </c>
      <c r="BK246" s="14">
        <f ca="1"/>
      </c>
    </row>
    <row r="247" spans="28:63" x14ac:dyDescent="0.55000000000000004">
      <c r="AB247">
        <f ca="1"/>
      </c>
      <c r="AC247">
        <f ca="1"/>
      </c>
      <c r="AD247">
        <f ca="1"/>
      </c>
      <c r="AE247">
        <f ca="1"/>
      </c>
      <c r="AF247">
        <f ca="1"/>
      </c>
      <c r="AG247">
        <f ca="1"/>
      </c>
      <c r="AH247">
        <f ca="1"/>
      </c>
      <c r="AL247" s="7">
        <f ca="1"/>
      </c>
      <c r="AM247" s="14">
        <f ca="1"/>
      </c>
      <c r="AN247" s="14">
        <f ca="1"/>
      </c>
      <c r="AO247" s="14">
        <f ca="1"/>
      </c>
      <c r="AP247" s="14">
        <f ca="1"/>
      </c>
      <c r="AQ247" s="14">
        <f ca="1"/>
      </c>
      <c r="AR247" s="14">
        <f ca="1"/>
      </c>
      <c r="AV247" s="14">
        <f ca="1"/>
      </c>
      <c r="AW247" s="14">
        <f ca="1"/>
      </c>
      <c r="AX247" s="14">
        <f ca="1"/>
      </c>
      <c r="AY247" s="14">
        <f ca="1"/>
      </c>
      <c r="AZ247" s="14">
        <f ca="1"/>
      </c>
      <c r="BF247" s="7">
        <f ca="1"/>
      </c>
      <c r="BG247" s="14">
        <f ca="1"/>
      </c>
      <c r="BH247" s="14">
        <f ca="1"/>
      </c>
      <c r="BI247" s="14">
        <f ca="1"/>
      </c>
      <c r="BJ247" s="14">
        <f ca="1"/>
      </c>
      <c r="BK247" s="14">
        <f ca="1"/>
      </c>
    </row>
    <row r="248" spans="28:63" x14ac:dyDescent="0.55000000000000004">
      <c r="AB248">
        <f ca="1"/>
      </c>
      <c r="AC248">
        <f ca="1"/>
      </c>
      <c r="AD248">
        <f ca="1"/>
      </c>
      <c r="AE248">
        <f ca="1"/>
      </c>
      <c r="AF248">
        <f ca="1"/>
      </c>
      <c r="AG248">
        <f ca="1"/>
      </c>
      <c r="AH248">
        <f ca="1"/>
      </c>
      <c r="AL248" s="7">
        <f ca="1"/>
      </c>
      <c r="AM248" s="14">
        <f ca="1"/>
      </c>
      <c r="AN248" s="14">
        <f ca="1"/>
      </c>
      <c r="AO248" s="14">
        <f ca="1"/>
      </c>
      <c r="AP248" s="14">
        <f ca="1"/>
      </c>
      <c r="AQ248" s="14">
        <f ca="1"/>
      </c>
      <c r="AR248" s="14">
        <f ca="1"/>
      </c>
      <c r="AV248" s="14">
        <f ca="1"/>
      </c>
      <c r="AW248" s="14">
        <f ca="1"/>
      </c>
      <c r="AX248" s="14">
        <f ca="1"/>
      </c>
      <c r="AY248" s="14">
        <f ca="1"/>
      </c>
      <c r="AZ248" s="14">
        <f ca="1"/>
      </c>
      <c r="BF248" s="7">
        <f ca="1"/>
      </c>
      <c r="BG248" s="14">
        <f ca="1"/>
      </c>
      <c r="BH248" s="14">
        <f ca="1"/>
      </c>
      <c r="BI248" s="14">
        <f ca="1"/>
      </c>
      <c r="BJ248" s="14">
        <f ca="1"/>
      </c>
      <c r="BK248" s="14">
        <f ca="1"/>
      </c>
    </row>
    <row r="249" spans="28:63" x14ac:dyDescent="0.55000000000000004">
      <c r="AB249">
        <f ca="1"/>
      </c>
      <c r="AC249">
        <f ca="1"/>
      </c>
      <c r="AD249">
        <f ca="1"/>
      </c>
      <c r="AE249">
        <f ca="1"/>
      </c>
      <c r="AF249">
        <f ca="1"/>
      </c>
      <c r="AG249">
        <f ca="1"/>
      </c>
      <c r="AH249">
        <f ca="1"/>
      </c>
      <c r="AL249" s="7">
        <f ca="1"/>
      </c>
      <c r="AM249" s="14">
        <f ca="1"/>
      </c>
      <c r="AN249" s="14">
        <f ca="1"/>
      </c>
      <c r="AO249" s="14">
        <f ca="1"/>
      </c>
      <c r="AP249" s="14">
        <f ca="1"/>
      </c>
      <c r="AQ249" s="14">
        <f ca="1"/>
      </c>
      <c r="AR249" s="14">
        <f ca="1"/>
      </c>
      <c r="AV249" s="14">
        <f ca="1"/>
      </c>
      <c r="AW249" s="14">
        <f ca="1"/>
      </c>
      <c r="AX249" s="14">
        <f ca="1"/>
      </c>
      <c r="AY249" s="14">
        <f ca="1"/>
      </c>
      <c r="AZ249" s="14">
        <f ca="1"/>
      </c>
      <c r="BF249" s="7">
        <f ca="1"/>
      </c>
      <c r="BG249" s="14">
        <f ca="1"/>
      </c>
      <c r="BH249" s="14">
        <f ca="1"/>
      </c>
      <c r="BI249" s="14">
        <f ca="1"/>
      </c>
      <c r="BJ249" s="14">
        <f ca="1"/>
      </c>
      <c r="BK249" s="14">
        <f ca="1"/>
      </c>
    </row>
    <row r="250" spans="28:63" x14ac:dyDescent="0.55000000000000004">
      <c r="AB250">
        <f ca="1"/>
      </c>
      <c r="AC250">
        <f ca="1"/>
      </c>
      <c r="AD250">
        <f ca="1"/>
      </c>
      <c r="AE250">
        <f ca="1"/>
      </c>
      <c r="AF250">
        <f ca="1"/>
      </c>
      <c r="AG250">
        <f ca="1"/>
      </c>
      <c r="AH250">
        <f ca="1"/>
      </c>
      <c r="AL250" s="7">
        <f ca="1"/>
      </c>
      <c r="AM250" s="14">
        <f ca="1"/>
      </c>
      <c r="AN250" s="14">
        <f ca="1"/>
      </c>
      <c r="AO250" s="14">
        <f ca="1"/>
      </c>
      <c r="AP250" s="14">
        <f ca="1"/>
      </c>
      <c r="AQ250" s="14">
        <f ca="1"/>
      </c>
      <c r="AR250" s="14">
        <f ca="1"/>
      </c>
      <c r="AV250" s="14">
        <f ca="1"/>
      </c>
      <c r="AW250" s="14">
        <f ca="1"/>
      </c>
      <c r="AX250" s="14">
        <f ca="1"/>
      </c>
      <c r="AY250" s="14">
        <f ca="1"/>
      </c>
      <c r="AZ250" s="14">
        <f ca="1"/>
      </c>
      <c r="BF250" s="7">
        <f ca="1"/>
      </c>
      <c r="BG250" s="14">
        <f ca="1"/>
      </c>
      <c r="BH250" s="14">
        <f ca="1"/>
      </c>
      <c r="BI250" s="14">
        <f ca="1"/>
      </c>
      <c r="BJ250" s="14">
        <f ca="1"/>
      </c>
      <c r="BK250" s="14">
        <f ca="1"/>
      </c>
    </row>
    <row r="251" spans="28:63" x14ac:dyDescent="0.55000000000000004">
      <c r="AB251">
        <f ca="1"/>
      </c>
      <c r="AC251">
        <f ca="1"/>
      </c>
      <c r="AD251">
        <f ca="1"/>
      </c>
      <c r="AE251">
        <f ca="1"/>
      </c>
      <c r="AF251">
        <f ca="1"/>
      </c>
      <c r="AG251">
        <f ca="1"/>
      </c>
      <c r="AH251">
        <f ca="1"/>
      </c>
      <c r="AL251" s="7">
        <f ca="1"/>
      </c>
      <c r="AM251" s="14">
        <f ca="1"/>
      </c>
      <c r="AN251" s="14">
        <f ca="1"/>
      </c>
      <c r="AO251" s="14">
        <f ca="1"/>
      </c>
      <c r="AP251" s="14">
        <f ca="1"/>
      </c>
      <c r="AQ251" s="14">
        <f ca="1"/>
      </c>
      <c r="AR251" s="14">
        <f ca="1"/>
      </c>
      <c r="AV251" s="14">
        <f ca="1"/>
      </c>
      <c r="AW251" s="14">
        <f ca="1"/>
      </c>
      <c r="AX251" s="14">
        <f ca="1"/>
      </c>
      <c r="AY251" s="14">
        <f ca="1"/>
      </c>
      <c r="AZ251" s="14">
        <f ca="1"/>
      </c>
      <c r="BF251" s="7">
        <f ca="1"/>
      </c>
      <c r="BG251" s="14">
        <f ca="1"/>
      </c>
      <c r="BH251" s="14">
        <f ca="1"/>
      </c>
      <c r="BI251" s="14">
        <f ca="1"/>
      </c>
      <c r="BJ251" s="14">
        <f ca="1"/>
      </c>
      <c r="BK251" s="14">
        <f ca="1"/>
      </c>
    </row>
    <row r="252" spans="28:63" x14ac:dyDescent="0.55000000000000004">
      <c r="AB252">
        <f ca="1"/>
      </c>
      <c r="AC252">
        <f ca="1"/>
      </c>
      <c r="AD252">
        <f ca="1"/>
      </c>
      <c r="AE252">
        <f ca="1"/>
      </c>
      <c r="AF252">
        <f ca="1"/>
      </c>
      <c r="AG252">
        <f ca="1"/>
      </c>
      <c r="AH252">
        <f ca="1"/>
      </c>
      <c r="AL252" s="7">
        <f ca="1"/>
      </c>
      <c r="AM252" s="14">
        <f ca="1"/>
      </c>
      <c r="AN252" s="14">
        <f ca="1"/>
      </c>
      <c r="AO252" s="14">
        <f ca="1"/>
      </c>
      <c r="AP252" s="14">
        <f ca="1"/>
      </c>
      <c r="AQ252" s="14">
        <f ca="1"/>
      </c>
      <c r="AR252" s="14">
        <f ca="1"/>
      </c>
      <c r="AV252" s="14">
        <f ca="1"/>
      </c>
      <c r="AW252" s="14">
        <f ca="1"/>
      </c>
      <c r="AX252" s="14">
        <f ca="1"/>
      </c>
      <c r="AY252" s="14">
        <f ca="1"/>
      </c>
      <c r="AZ252" s="14">
        <f ca="1"/>
      </c>
      <c r="BF252" s="7">
        <f ca="1"/>
      </c>
      <c r="BG252" s="14">
        <f ca="1"/>
      </c>
      <c r="BH252" s="14">
        <f ca="1"/>
      </c>
      <c r="BI252" s="14">
        <f ca="1"/>
      </c>
      <c r="BJ252" s="14">
        <f ca="1"/>
      </c>
      <c r="BK252" s="14">
        <f ca="1"/>
      </c>
    </row>
    <row r="253" spans="28:63" x14ac:dyDescent="0.55000000000000004">
      <c r="AB253">
        <f ca="1"/>
      </c>
      <c r="AC253">
        <f ca="1"/>
      </c>
      <c r="AD253">
        <f ca="1"/>
      </c>
      <c r="AE253">
        <f ca="1"/>
      </c>
      <c r="AF253">
        <f ca="1"/>
      </c>
      <c r="AG253">
        <f ca="1"/>
      </c>
      <c r="AH253">
        <f ca="1"/>
      </c>
      <c r="AL253" s="7">
        <f ca="1"/>
      </c>
      <c r="AM253" s="14">
        <f ca="1"/>
      </c>
      <c r="AN253" s="14">
        <f ca="1"/>
      </c>
      <c r="AO253" s="14">
        <f ca="1"/>
      </c>
      <c r="AP253" s="14">
        <f ca="1"/>
      </c>
      <c r="AQ253" s="14">
        <f ca="1"/>
      </c>
      <c r="AR253" s="14">
        <f ca="1"/>
      </c>
      <c r="AV253" s="14">
        <f ca="1"/>
      </c>
      <c r="AW253" s="14">
        <f ca="1"/>
      </c>
      <c r="AX253" s="14">
        <f ca="1"/>
      </c>
      <c r="AY253" s="14">
        <f ca="1"/>
      </c>
      <c r="AZ253" s="14">
        <f ca="1"/>
      </c>
      <c r="BF253" s="7">
        <f ca="1"/>
      </c>
      <c r="BG253" s="14">
        <f ca="1"/>
      </c>
      <c r="BH253" s="14">
        <f ca="1"/>
      </c>
      <c r="BI253" s="14">
        <f ca="1"/>
      </c>
      <c r="BJ253" s="14">
        <f ca="1"/>
      </c>
      <c r="BK253" s="14">
        <f ca="1"/>
      </c>
    </row>
    <row r="254" spans="28:63" x14ac:dyDescent="0.55000000000000004">
      <c r="AB254">
        <f ca="1"/>
      </c>
      <c r="AC254">
        <f ca="1"/>
      </c>
      <c r="AD254">
        <f ca="1"/>
      </c>
      <c r="AE254">
        <f ca="1"/>
      </c>
      <c r="AF254">
        <f ca="1"/>
      </c>
      <c r="AG254">
        <f ca="1"/>
      </c>
      <c r="AH254">
        <f ca="1"/>
      </c>
      <c r="AL254" s="7">
        <f ca="1"/>
      </c>
      <c r="AM254" s="14">
        <f ca="1"/>
      </c>
      <c r="AN254" s="14">
        <f ca="1"/>
      </c>
      <c r="AO254" s="14">
        <f ca="1"/>
      </c>
      <c r="AP254" s="14">
        <f ca="1"/>
      </c>
      <c r="AQ254" s="14">
        <f ca="1"/>
      </c>
      <c r="AR254" s="14">
        <f ca="1"/>
      </c>
      <c r="AV254" s="14">
        <f ca="1"/>
      </c>
      <c r="AW254" s="14">
        <f ca="1"/>
      </c>
      <c r="AX254" s="14">
        <f ca="1"/>
      </c>
      <c r="AY254" s="14">
        <f ca="1"/>
      </c>
      <c r="AZ254" s="14">
        <f ca="1"/>
      </c>
      <c r="BF254" s="7">
        <f ca="1"/>
      </c>
      <c r="BG254" s="14">
        <f ca="1"/>
      </c>
      <c r="BH254" s="14">
        <f ca="1"/>
      </c>
      <c r="BI254" s="14">
        <f ca="1"/>
      </c>
      <c r="BJ254" s="14">
        <f ca="1"/>
      </c>
      <c r="BK254" s="14">
        <f ca="1"/>
      </c>
    </row>
    <row r="255" spans="28:63" x14ac:dyDescent="0.55000000000000004">
      <c r="AB255">
        <f ca="1"/>
      </c>
      <c r="AC255">
        <f ca="1"/>
      </c>
      <c r="AD255">
        <f ca="1"/>
      </c>
      <c r="AE255">
        <f ca="1"/>
      </c>
      <c r="AF255">
        <f ca="1"/>
      </c>
      <c r="AG255">
        <f ca="1"/>
      </c>
      <c r="AH255">
        <f ca="1"/>
      </c>
      <c r="AL255" s="7">
        <f ca="1"/>
      </c>
      <c r="AM255" s="14">
        <f ca="1"/>
      </c>
      <c r="AN255" s="14">
        <f ca="1"/>
      </c>
      <c r="AO255" s="14">
        <f ca="1"/>
      </c>
      <c r="AP255" s="14">
        <f ca="1"/>
      </c>
      <c r="AQ255" s="14">
        <f ca="1"/>
      </c>
      <c r="AR255" s="14">
        <f ca="1"/>
      </c>
      <c r="AV255" s="14">
        <f ca="1"/>
      </c>
      <c r="AW255" s="14">
        <f ca="1"/>
      </c>
      <c r="AX255" s="14">
        <f ca="1"/>
      </c>
      <c r="AY255" s="14">
        <f ca="1"/>
      </c>
      <c r="AZ255" s="14">
        <f ca="1"/>
      </c>
      <c r="BF255" s="7">
        <f ca="1"/>
      </c>
      <c r="BG255" s="14">
        <f ca="1"/>
      </c>
      <c r="BH255" s="14">
        <f ca="1"/>
      </c>
      <c r="BI255" s="14">
        <f ca="1"/>
      </c>
      <c r="BJ255" s="14">
        <f ca="1"/>
      </c>
      <c r="BK255" s="14">
        <f ca="1"/>
      </c>
    </row>
    <row r="256" spans="28:63" x14ac:dyDescent="0.55000000000000004">
      <c r="AB256">
        <f ca="1"/>
      </c>
      <c r="AC256">
        <f ca="1"/>
      </c>
      <c r="AD256">
        <f ca="1"/>
      </c>
      <c r="AE256">
        <f ca="1"/>
      </c>
      <c r="AF256">
        <f ca="1"/>
      </c>
      <c r="AG256">
        <f ca="1"/>
      </c>
      <c r="AH256">
        <f ca="1"/>
      </c>
      <c r="AL256" s="7">
        <f ca="1"/>
      </c>
      <c r="AM256" s="14">
        <f ca="1"/>
      </c>
      <c r="AN256" s="14">
        <f ca="1"/>
      </c>
      <c r="AO256" s="14">
        <f ca="1"/>
      </c>
      <c r="AP256" s="14">
        <f ca="1"/>
      </c>
      <c r="AQ256" s="14">
        <f ca="1"/>
      </c>
      <c r="AR256" s="14">
        <f ca="1"/>
      </c>
      <c r="AV256" s="14">
        <f ca="1"/>
      </c>
      <c r="AW256" s="14">
        <f ca="1"/>
      </c>
      <c r="AX256" s="14">
        <f ca="1"/>
      </c>
      <c r="AY256" s="14">
        <f ca="1"/>
      </c>
      <c r="AZ256" s="14">
        <f ca="1"/>
      </c>
      <c r="BF256" s="7">
        <f ca="1"/>
      </c>
      <c r="BG256" s="14">
        <f ca="1"/>
      </c>
      <c r="BH256" s="14">
        <f ca="1"/>
      </c>
      <c r="BI256" s="14">
        <f ca="1"/>
      </c>
      <c r="BJ256" s="14">
        <f ca="1"/>
      </c>
      <c r="BK256" s="14">
        <f ca="1"/>
      </c>
    </row>
    <row r="257" spans="28:63" x14ac:dyDescent="0.55000000000000004">
      <c r="AB257">
        <f ca="1"/>
      </c>
      <c r="AC257">
        <f ca="1"/>
      </c>
      <c r="AD257">
        <f ca="1"/>
      </c>
      <c r="AE257">
        <f ca="1"/>
      </c>
      <c r="AF257">
        <f ca="1"/>
      </c>
      <c r="AG257">
        <f ca="1"/>
      </c>
      <c r="AH257">
        <f ca="1"/>
      </c>
      <c r="AL257" s="7">
        <f ca="1"/>
      </c>
      <c r="AM257" s="14">
        <f ca="1"/>
      </c>
      <c r="AN257" s="14">
        <f ca="1"/>
      </c>
      <c r="AO257" s="14">
        <f ca="1"/>
      </c>
      <c r="AP257" s="14">
        <f ca="1"/>
      </c>
      <c r="AQ257" s="14">
        <f ca="1"/>
      </c>
      <c r="AR257" s="14">
        <f ca="1"/>
      </c>
      <c r="AV257" s="14">
        <f ca="1"/>
      </c>
      <c r="AW257" s="14">
        <f ca="1"/>
      </c>
      <c r="AX257" s="14">
        <f ca="1"/>
      </c>
      <c r="AY257" s="14">
        <f ca="1"/>
      </c>
      <c r="AZ257" s="14">
        <f ca="1"/>
      </c>
      <c r="BF257" s="7">
        <f ca="1"/>
      </c>
      <c r="BG257" s="14">
        <f ca="1"/>
      </c>
      <c r="BH257" s="14">
        <f ca="1"/>
      </c>
      <c r="BI257" s="14">
        <f ca="1"/>
      </c>
      <c r="BJ257" s="14">
        <f ca="1"/>
      </c>
      <c r="BK257" s="14">
        <f ca="1"/>
      </c>
    </row>
    <row r="258" spans="28:63" x14ac:dyDescent="0.55000000000000004">
      <c r="AB258">
        <f ca="1"/>
      </c>
      <c r="AC258">
        <f ca="1"/>
      </c>
      <c r="AD258">
        <f ca="1"/>
      </c>
      <c r="AE258">
        <f ca="1"/>
      </c>
      <c r="AF258">
        <f ca="1"/>
      </c>
      <c r="AG258">
        <f ca="1"/>
      </c>
      <c r="AH258">
        <f ca="1"/>
      </c>
      <c r="AL258" s="7">
        <f ca="1"/>
      </c>
      <c r="AM258" s="14">
        <f ca="1"/>
      </c>
      <c r="AN258" s="14">
        <f ca="1"/>
      </c>
      <c r="AO258" s="14">
        <f ca="1"/>
      </c>
      <c r="AP258" s="14">
        <f ca="1"/>
      </c>
      <c r="AQ258" s="14">
        <f ca="1"/>
      </c>
      <c r="AR258" s="14">
        <f ca="1"/>
      </c>
      <c r="AV258" s="14">
        <f ca="1"/>
      </c>
      <c r="AW258" s="14">
        <f ca="1"/>
      </c>
      <c r="AX258" s="14">
        <f ca="1"/>
      </c>
      <c r="AY258" s="14">
        <f ca="1"/>
      </c>
      <c r="AZ258" s="14">
        <f ca="1"/>
      </c>
      <c r="BF258" s="7">
        <f ca="1"/>
      </c>
      <c r="BG258" s="14">
        <f ca="1"/>
      </c>
      <c r="BH258" s="14">
        <f ca="1"/>
      </c>
      <c r="BI258" s="14">
        <f ca="1"/>
      </c>
      <c r="BJ258" s="14">
        <f ca="1"/>
      </c>
      <c r="BK258" s="14">
        <f ca="1"/>
      </c>
    </row>
    <row r="259" spans="28:63" x14ac:dyDescent="0.55000000000000004">
      <c r="AB259">
        <f ca="1"/>
      </c>
      <c r="AC259">
        <f ca="1"/>
      </c>
      <c r="AD259">
        <f ca="1"/>
      </c>
      <c r="AE259">
        <f ca="1"/>
      </c>
      <c r="AF259">
        <f ca="1"/>
      </c>
      <c r="AG259">
        <f ca="1"/>
      </c>
      <c r="AH259">
        <f ca="1"/>
      </c>
      <c r="AL259" s="7">
        <f ca="1"/>
      </c>
      <c r="AM259" s="14">
        <f ca="1"/>
      </c>
      <c r="AN259" s="14">
        <f ca="1"/>
      </c>
      <c r="AO259" s="14">
        <f ca="1"/>
      </c>
      <c r="AP259" s="14">
        <f ca="1"/>
      </c>
      <c r="AQ259" s="14">
        <f ca="1"/>
      </c>
      <c r="AR259" s="14">
        <f ca="1"/>
      </c>
      <c r="AV259" s="14">
        <f ca="1"/>
      </c>
      <c r="AW259" s="14">
        <f ca="1"/>
      </c>
      <c r="AX259" s="14">
        <f ca="1"/>
      </c>
      <c r="AY259" s="14">
        <f ca="1"/>
      </c>
      <c r="AZ259" s="14">
        <f ca="1"/>
      </c>
      <c r="BF259" s="7">
        <f ca="1"/>
      </c>
      <c r="BG259" s="14">
        <f ca="1"/>
      </c>
      <c r="BH259" s="14">
        <f ca="1"/>
      </c>
      <c r="BI259" s="14">
        <f ca="1"/>
      </c>
      <c r="BJ259" s="14">
        <f ca="1"/>
      </c>
      <c r="BK259" s="14">
        <f ca="1"/>
      </c>
    </row>
    <row r="260" spans="28:63" x14ac:dyDescent="0.55000000000000004">
      <c r="AB260">
        <f ca="1"/>
      </c>
      <c r="AC260">
        <f ca="1"/>
      </c>
      <c r="AD260">
        <f ca="1"/>
      </c>
      <c r="AE260">
        <f ca="1"/>
      </c>
      <c r="AF260">
        <f ca="1"/>
      </c>
      <c r="AG260">
        <f ca="1"/>
      </c>
      <c r="AH260">
        <f ca="1"/>
      </c>
      <c r="AL260" s="7">
        <f ca="1"/>
      </c>
      <c r="AM260" s="14">
        <f ca="1"/>
      </c>
      <c r="AN260" s="14">
        <f ca="1"/>
      </c>
      <c r="AO260" s="14">
        <f ca="1"/>
      </c>
      <c r="AP260" s="14">
        <f ca="1"/>
      </c>
      <c r="AQ260" s="14">
        <f ca="1"/>
      </c>
      <c r="AR260" s="14">
        <f ca="1"/>
      </c>
      <c r="AV260" s="14">
        <f ca="1"/>
      </c>
      <c r="AW260" s="14">
        <f ca="1"/>
      </c>
      <c r="AX260" s="14">
        <f ca="1"/>
      </c>
      <c r="AY260" s="14">
        <f ca="1"/>
      </c>
      <c r="AZ260" s="14">
        <f ca="1"/>
      </c>
      <c r="BF260" s="7">
        <f ca="1"/>
      </c>
      <c r="BG260" s="14">
        <f ca="1"/>
      </c>
      <c r="BH260" s="14">
        <f ca="1"/>
      </c>
      <c r="BI260" s="14">
        <f ca="1"/>
      </c>
      <c r="BJ260" s="14">
        <f ca="1"/>
      </c>
      <c r="BK260" s="14">
        <f ca="1"/>
      </c>
    </row>
    <row r="261" spans="28:63" x14ac:dyDescent="0.55000000000000004">
      <c r="AB261">
        <f ca="1"/>
      </c>
      <c r="AC261">
        <f ca="1"/>
      </c>
      <c r="AD261">
        <f ca="1"/>
      </c>
      <c r="AE261">
        <f ca="1"/>
      </c>
      <c r="AF261">
        <f ca="1"/>
      </c>
      <c r="AG261">
        <f ca="1"/>
      </c>
      <c r="AH261">
        <f ca="1"/>
      </c>
      <c r="AL261" s="7">
        <f ca="1"/>
      </c>
      <c r="AM261" s="14">
        <f ca="1"/>
      </c>
      <c r="AN261" s="14">
        <f ca="1"/>
      </c>
      <c r="AO261" s="14">
        <f ca="1"/>
      </c>
      <c r="AP261" s="14">
        <f ca="1"/>
      </c>
      <c r="AQ261" s="14">
        <f ca="1"/>
      </c>
      <c r="AR261" s="14">
        <f ca="1"/>
      </c>
      <c r="AV261" s="14">
        <f ca="1"/>
      </c>
      <c r="AW261" s="14">
        <f ca="1"/>
      </c>
      <c r="AX261" s="14">
        <f ca="1"/>
      </c>
      <c r="AY261" s="14">
        <f ca="1"/>
      </c>
      <c r="AZ261" s="14">
        <f ca="1"/>
      </c>
      <c r="BF261" s="7">
        <f ca="1"/>
      </c>
      <c r="BG261" s="14">
        <f ca="1"/>
      </c>
      <c r="BH261" s="14">
        <f ca="1"/>
      </c>
      <c r="BI261" s="14">
        <f ca="1"/>
      </c>
      <c r="BJ261" s="14">
        <f ca="1"/>
      </c>
      <c r="BK261" s="14">
        <f ca="1"/>
      </c>
    </row>
    <row r="262" spans="28:63" x14ac:dyDescent="0.55000000000000004">
      <c r="AB262">
        <f ca="1"/>
      </c>
      <c r="AC262">
        <f ca="1"/>
      </c>
      <c r="AD262">
        <f ca="1"/>
      </c>
      <c r="AE262">
        <f ca="1"/>
      </c>
      <c r="AF262">
        <f ca="1"/>
      </c>
      <c r="AG262">
        <f ca="1"/>
      </c>
      <c r="AH262">
        <f ca="1"/>
      </c>
      <c r="AL262" s="7">
        <f ca="1"/>
      </c>
      <c r="AM262" s="14">
        <f ca="1"/>
      </c>
      <c r="AN262" s="14">
        <f ca="1"/>
      </c>
      <c r="AO262" s="14">
        <f ca="1"/>
      </c>
      <c r="AP262" s="14">
        <f ca="1"/>
      </c>
      <c r="AQ262" s="14">
        <f ca="1"/>
      </c>
      <c r="AR262" s="14">
        <f ca="1"/>
      </c>
      <c r="AV262" s="14">
        <f ca="1"/>
      </c>
      <c r="AW262" s="14">
        <f ca="1"/>
      </c>
      <c r="AX262" s="14">
        <f ca="1"/>
      </c>
      <c r="AY262" s="14">
        <f ca="1"/>
      </c>
      <c r="AZ262" s="14">
        <f ca="1"/>
      </c>
      <c r="BF262" s="7">
        <f ca="1"/>
      </c>
      <c r="BG262" s="14">
        <f ca="1"/>
      </c>
      <c r="BH262" s="14">
        <f ca="1"/>
      </c>
      <c r="BI262" s="14">
        <f ca="1"/>
      </c>
      <c r="BJ262" s="14">
        <f ca="1"/>
      </c>
      <c r="BK262" s="14">
        <f ca="1"/>
      </c>
    </row>
    <row r="263" spans="28:63" x14ac:dyDescent="0.55000000000000004">
      <c r="AB263">
        <f ca="1"/>
      </c>
      <c r="AC263">
        <f ca="1"/>
      </c>
      <c r="AD263">
        <f ca="1"/>
      </c>
      <c r="AE263">
        <f ca="1"/>
      </c>
      <c r="AF263">
        <f ca="1"/>
      </c>
      <c r="AG263">
        <f ca="1"/>
      </c>
      <c r="AH263">
        <f ca="1"/>
      </c>
      <c r="AL263" s="7">
        <f ca="1"/>
      </c>
      <c r="AM263" s="14">
        <f ca="1"/>
      </c>
      <c r="AN263" s="14">
        <f ca="1"/>
      </c>
      <c r="AO263" s="14">
        <f ca="1"/>
      </c>
      <c r="AP263" s="14">
        <f ca="1"/>
      </c>
      <c r="AQ263" s="14">
        <f ca="1"/>
      </c>
      <c r="AR263" s="14">
        <f ca="1"/>
      </c>
      <c r="AV263" s="14">
        <f ca="1"/>
      </c>
      <c r="AW263" s="14">
        <f ca="1"/>
      </c>
      <c r="AX263" s="14">
        <f ca="1"/>
      </c>
      <c r="AY263" s="14">
        <f ca="1"/>
      </c>
      <c r="AZ263" s="14">
        <f ca="1"/>
      </c>
      <c r="BF263" s="7">
        <f ca="1"/>
      </c>
      <c r="BG263" s="14">
        <f ca="1"/>
      </c>
      <c r="BH263" s="14">
        <f ca="1"/>
      </c>
      <c r="BI263" s="14">
        <f ca="1"/>
      </c>
      <c r="BJ263" s="14">
        <f ca="1"/>
      </c>
      <c r="BK263" s="14">
        <f ca="1"/>
      </c>
    </row>
    <row r="264" spans="28:63" x14ac:dyDescent="0.55000000000000004">
      <c r="AB264">
        <f ca="1"/>
      </c>
      <c r="AC264">
        <f ca="1"/>
      </c>
      <c r="AD264">
        <f ca="1"/>
      </c>
      <c r="AE264">
        <f ca="1"/>
      </c>
      <c r="AF264">
        <f ca="1"/>
      </c>
      <c r="AG264">
        <f ca="1"/>
      </c>
      <c r="AH264">
        <f ca="1"/>
      </c>
      <c r="AL264" s="7">
        <f ca="1"/>
      </c>
      <c r="AM264" s="14">
        <f ca="1"/>
      </c>
      <c r="AN264" s="14">
        <f ca="1"/>
      </c>
      <c r="AO264" s="14">
        <f ca="1"/>
      </c>
      <c r="AP264" s="14">
        <f ca="1"/>
      </c>
      <c r="AQ264" s="14">
        <f ca="1"/>
      </c>
      <c r="AR264" s="14">
        <f ca="1"/>
      </c>
      <c r="AV264" s="14">
        <f ca="1"/>
      </c>
      <c r="AW264" s="14">
        <f ca="1"/>
      </c>
      <c r="AX264" s="14">
        <f ca="1"/>
      </c>
      <c r="AY264" s="14">
        <f ca="1"/>
      </c>
      <c r="AZ264" s="14">
        <f ca="1"/>
      </c>
      <c r="BF264" s="7">
        <f ca="1"/>
      </c>
      <c r="BG264" s="14">
        <f ca="1"/>
      </c>
      <c r="BH264" s="14">
        <f ca="1"/>
      </c>
      <c r="BI264" s="14">
        <f ca="1"/>
      </c>
      <c r="BJ264" s="14">
        <f ca="1"/>
      </c>
      <c r="BK264" s="14">
        <f ca="1"/>
      </c>
    </row>
    <row r="265" spans="28:63" x14ac:dyDescent="0.55000000000000004">
      <c r="AB265">
        <f ca="1"/>
      </c>
      <c r="AC265">
        <f ca="1"/>
      </c>
      <c r="AD265">
        <f ca="1"/>
      </c>
      <c r="AE265">
        <f ca="1"/>
      </c>
      <c r="AF265">
        <f ca="1"/>
      </c>
      <c r="AG265">
        <f ca="1"/>
      </c>
      <c r="AH265">
        <f ca="1"/>
      </c>
      <c r="AL265" s="7">
        <f ca="1"/>
      </c>
      <c r="AM265" s="14">
        <f ca="1"/>
      </c>
      <c r="AN265" s="14">
        <f ca="1"/>
      </c>
      <c r="AO265" s="14">
        <f ca="1"/>
      </c>
      <c r="AP265" s="14">
        <f ca="1"/>
      </c>
      <c r="AQ265" s="14">
        <f ca="1"/>
      </c>
      <c r="AR265" s="14">
        <f ca="1"/>
      </c>
      <c r="AV265" s="14">
        <f ca="1"/>
      </c>
      <c r="AW265" s="14">
        <f ca="1"/>
      </c>
      <c r="AX265" s="14">
        <f ca="1"/>
      </c>
      <c r="AY265" s="14">
        <f ca="1"/>
      </c>
      <c r="AZ265" s="14">
        <f ca="1"/>
      </c>
      <c r="BF265" s="7">
        <f ca="1"/>
      </c>
      <c r="BG265" s="14">
        <f ca="1"/>
      </c>
      <c r="BH265" s="14">
        <f ca="1"/>
      </c>
      <c r="BI265" s="14">
        <f ca="1"/>
      </c>
      <c r="BJ265" s="14">
        <f ca="1"/>
      </c>
      <c r="BK265" s="14">
        <f ca="1"/>
      </c>
    </row>
    <row r="266" spans="28:63" x14ac:dyDescent="0.55000000000000004">
      <c r="AB266">
        <f ca="1"/>
      </c>
      <c r="AC266">
        <f ca="1"/>
      </c>
      <c r="AD266">
        <f ca="1"/>
      </c>
      <c r="AE266">
        <f ca="1"/>
      </c>
      <c r="AF266">
        <f ca="1"/>
      </c>
      <c r="AG266">
        <f ca="1"/>
      </c>
      <c r="AH266">
        <f ca="1"/>
      </c>
      <c r="AL266" s="7">
        <f ca="1"/>
      </c>
      <c r="AM266" s="14">
        <f ca="1"/>
      </c>
      <c r="AN266" s="14">
        <f ca="1"/>
      </c>
      <c r="AO266" s="14">
        <f ca="1"/>
      </c>
      <c r="AP266" s="14">
        <f ca="1"/>
      </c>
      <c r="AQ266" s="14">
        <f ca="1"/>
      </c>
      <c r="AR266" s="14">
        <f ca="1"/>
      </c>
      <c r="AV266" s="14">
        <f ca="1"/>
      </c>
      <c r="AW266" s="14">
        <f ca="1"/>
      </c>
      <c r="AX266" s="14">
        <f ca="1"/>
      </c>
      <c r="AY266" s="14">
        <f ca="1"/>
      </c>
      <c r="AZ266" s="14">
        <f ca="1"/>
      </c>
      <c r="BF266" s="7">
        <f ca="1"/>
      </c>
      <c r="BG266" s="14">
        <f ca="1"/>
      </c>
      <c r="BH266" s="14">
        <f ca="1"/>
      </c>
      <c r="BI266" s="14">
        <f ca="1"/>
      </c>
      <c r="BJ266" s="14">
        <f ca="1"/>
      </c>
      <c r="BK266" s="14">
        <f ca="1"/>
      </c>
    </row>
    <row r="267" spans="28:63" x14ac:dyDescent="0.55000000000000004">
      <c r="AB267">
        <f ca="1"/>
      </c>
      <c r="AC267">
        <f ca="1"/>
      </c>
      <c r="AD267">
        <f ca="1"/>
      </c>
      <c r="AE267">
        <f ca="1"/>
      </c>
      <c r="AF267">
        <f ca="1"/>
      </c>
      <c r="AG267">
        <f ca="1"/>
      </c>
      <c r="AH267">
        <f ca="1"/>
      </c>
      <c r="AL267" s="7">
        <f ca="1"/>
      </c>
      <c r="AM267" s="14">
        <f ca="1"/>
      </c>
      <c r="AN267" s="14">
        <f ca="1"/>
      </c>
      <c r="AO267" s="14">
        <f ca="1"/>
      </c>
      <c r="AP267" s="14">
        <f ca="1"/>
      </c>
      <c r="AQ267" s="14">
        <f ca="1"/>
      </c>
      <c r="AR267" s="14">
        <f ca="1"/>
      </c>
      <c r="AV267" s="14">
        <f ca="1"/>
      </c>
      <c r="AW267" s="14">
        <f ca="1"/>
      </c>
      <c r="AX267" s="14">
        <f ca="1"/>
      </c>
      <c r="AY267" s="14">
        <f ca="1"/>
      </c>
      <c r="AZ267" s="14">
        <f ca="1"/>
      </c>
      <c r="BF267" s="7">
        <f ca="1"/>
      </c>
      <c r="BG267" s="14">
        <f ca="1"/>
      </c>
      <c r="BH267" s="14">
        <f ca="1"/>
      </c>
      <c r="BI267" s="14">
        <f ca="1"/>
      </c>
      <c r="BJ267" s="14">
        <f ca="1"/>
      </c>
      <c r="BK267" s="14">
        <f ca="1"/>
      </c>
    </row>
    <row r="268" spans="28:63" x14ac:dyDescent="0.55000000000000004">
      <c r="AB268">
        <f ca="1"/>
      </c>
      <c r="AC268">
        <f ca="1"/>
      </c>
      <c r="AD268">
        <f ca="1"/>
      </c>
      <c r="AE268">
        <f ca="1"/>
      </c>
      <c r="AF268">
        <f ca="1"/>
      </c>
      <c r="AG268">
        <f ca="1"/>
      </c>
      <c r="AH268">
        <f ca="1"/>
      </c>
      <c r="AL268" s="7">
        <f ca="1"/>
      </c>
      <c r="AM268" s="14">
        <f ca="1"/>
      </c>
      <c r="AN268" s="14">
        <f ca="1"/>
      </c>
      <c r="AO268" s="14">
        <f ca="1"/>
      </c>
      <c r="AP268" s="14">
        <f ca="1"/>
      </c>
      <c r="AQ268" s="14">
        <f ca="1"/>
      </c>
      <c r="AR268" s="14">
        <f ca="1"/>
      </c>
      <c r="AV268" s="14">
        <f ca="1"/>
      </c>
      <c r="AW268" s="14">
        <f ca="1"/>
      </c>
      <c r="AX268" s="14">
        <f ca="1"/>
      </c>
      <c r="AY268" s="14">
        <f ca="1"/>
      </c>
      <c r="AZ268" s="14">
        <f ca="1"/>
      </c>
      <c r="BF268" s="7">
        <f ca="1"/>
      </c>
      <c r="BG268" s="14">
        <f ca="1"/>
      </c>
      <c r="BH268" s="14">
        <f ca="1"/>
      </c>
      <c r="BI268" s="14">
        <f ca="1"/>
      </c>
      <c r="BJ268" s="14">
        <f ca="1"/>
      </c>
      <c r="BK268" s="14">
        <f ca="1"/>
      </c>
    </row>
    <row r="269" spans="28:63" x14ac:dyDescent="0.55000000000000004">
      <c r="AB269">
        <f ca="1"/>
      </c>
      <c r="AC269">
        <f ca="1"/>
      </c>
      <c r="AD269">
        <f ca="1"/>
      </c>
      <c r="AE269">
        <f ca="1"/>
      </c>
      <c r="AF269">
        <f ca="1"/>
      </c>
      <c r="AG269">
        <f ca="1"/>
      </c>
      <c r="AH269">
        <f ca="1"/>
      </c>
      <c r="AL269" s="7">
        <f ca="1"/>
      </c>
      <c r="AM269" s="14">
        <f ca="1"/>
      </c>
      <c r="AN269" s="14">
        <f ca="1"/>
      </c>
      <c r="AO269" s="14">
        <f ca="1"/>
      </c>
      <c r="AP269" s="14">
        <f ca="1"/>
      </c>
      <c r="AQ269" s="14">
        <f ca="1"/>
      </c>
      <c r="AR269" s="14">
        <f ca="1"/>
      </c>
      <c r="AV269" s="14">
        <f ca="1"/>
      </c>
      <c r="AW269" s="14">
        <f ca="1"/>
      </c>
      <c r="AX269" s="14">
        <f ca="1"/>
      </c>
      <c r="AY269" s="14">
        <f ca="1"/>
      </c>
      <c r="AZ269" s="14">
        <f ca="1"/>
      </c>
      <c r="BF269" s="7">
        <f ca="1"/>
      </c>
      <c r="BG269" s="14">
        <f ca="1"/>
      </c>
      <c r="BH269" s="14">
        <f ca="1"/>
      </c>
      <c r="BI269" s="14">
        <f ca="1"/>
      </c>
      <c r="BJ269" s="14">
        <f ca="1"/>
      </c>
      <c r="BK269" s="14">
        <f ca="1"/>
      </c>
    </row>
    <row r="270" spans="28:63" x14ac:dyDescent="0.55000000000000004">
      <c r="AB270">
        <f ca="1"/>
      </c>
      <c r="AC270">
        <f ca="1"/>
      </c>
      <c r="AD270">
        <f ca="1"/>
      </c>
      <c r="AE270">
        <f ca="1"/>
      </c>
      <c r="AF270">
        <f ca="1"/>
      </c>
      <c r="AG270">
        <f ca="1"/>
      </c>
      <c r="AH270">
        <f ca="1"/>
      </c>
      <c r="AL270" s="7">
        <f ca="1"/>
      </c>
      <c r="AM270" s="14">
        <f ca="1"/>
      </c>
      <c r="AN270" s="14">
        <f ca="1"/>
      </c>
      <c r="AO270" s="14">
        <f ca="1"/>
      </c>
      <c r="AP270" s="14">
        <f ca="1"/>
      </c>
      <c r="AQ270" s="14">
        <f ca="1"/>
      </c>
      <c r="AR270" s="14">
        <f ca="1"/>
      </c>
      <c r="AV270" s="14">
        <f ca="1"/>
      </c>
      <c r="AW270" s="14">
        <f ca="1"/>
      </c>
      <c r="AX270" s="14">
        <f ca="1"/>
      </c>
      <c r="AY270" s="14">
        <f ca="1"/>
      </c>
      <c r="AZ270" s="14">
        <f ca="1"/>
      </c>
      <c r="BF270" s="7">
        <f ca="1"/>
      </c>
      <c r="BG270" s="14">
        <f ca="1"/>
      </c>
      <c r="BH270" s="14">
        <f ca="1"/>
      </c>
      <c r="BI270" s="14">
        <f ca="1"/>
      </c>
      <c r="BJ270" s="14">
        <f ca="1"/>
      </c>
      <c r="BK270" s="14">
        <f ca="1"/>
      </c>
    </row>
    <row r="271" spans="28:63" x14ac:dyDescent="0.55000000000000004">
      <c r="AB271">
        <f ca="1"/>
      </c>
      <c r="AC271">
        <f ca="1"/>
      </c>
      <c r="AD271">
        <f ca="1"/>
      </c>
      <c r="AE271">
        <f ca="1"/>
      </c>
      <c r="AF271">
        <f ca="1"/>
      </c>
      <c r="AG271">
        <f ca="1"/>
      </c>
      <c r="AH271">
        <f ca="1"/>
      </c>
      <c r="AL271" s="7">
        <f ca="1"/>
      </c>
      <c r="AM271" s="14">
        <f ca="1"/>
      </c>
      <c r="AN271" s="14">
        <f ca="1"/>
      </c>
      <c r="AO271" s="14">
        <f ca="1"/>
      </c>
      <c r="AP271" s="14">
        <f ca="1"/>
      </c>
      <c r="AQ271" s="14">
        <f ca="1"/>
      </c>
      <c r="AR271" s="14">
        <f ca="1"/>
      </c>
      <c r="AV271" s="14">
        <f ca="1"/>
      </c>
      <c r="AW271" s="14">
        <f ca="1"/>
      </c>
      <c r="AX271" s="14">
        <f ca="1"/>
      </c>
      <c r="AY271" s="14">
        <f ca="1"/>
      </c>
      <c r="AZ271" s="14">
        <f ca="1"/>
      </c>
      <c r="BF271" s="7">
        <f ca="1"/>
      </c>
      <c r="BG271" s="14">
        <f ca="1"/>
      </c>
      <c r="BH271" s="14">
        <f ca="1"/>
      </c>
      <c r="BI271" s="14">
        <f ca="1"/>
      </c>
      <c r="BJ271" s="14">
        <f ca="1"/>
      </c>
      <c r="BK271" s="14">
        <f ca="1"/>
      </c>
    </row>
    <row r="272" spans="28:63" x14ac:dyDescent="0.55000000000000004">
      <c r="AB272">
        <f ca="1"/>
      </c>
      <c r="AC272">
        <f ca="1"/>
      </c>
      <c r="AD272">
        <f ca="1"/>
      </c>
      <c r="AE272">
        <f ca="1"/>
      </c>
      <c r="AF272">
        <f ca="1"/>
      </c>
      <c r="AG272">
        <f ca="1"/>
      </c>
      <c r="AH272">
        <f ca="1"/>
      </c>
      <c r="AL272" s="7">
        <f ca="1"/>
      </c>
      <c r="AM272" s="14">
        <f ca="1"/>
      </c>
      <c r="AN272" s="14">
        <f ca="1"/>
      </c>
      <c r="AO272" s="14">
        <f ca="1"/>
      </c>
      <c r="AP272" s="14">
        <f ca="1"/>
      </c>
      <c r="AQ272" s="14">
        <f ca="1"/>
      </c>
      <c r="AR272" s="14">
        <f ca="1"/>
      </c>
      <c r="AV272" s="14">
        <f ca="1"/>
      </c>
      <c r="AW272" s="14">
        <f ca="1"/>
      </c>
      <c r="AX272" s="14">
        <f ca="1"/>
      </c>
      <c r="AY272" s="14">
        <f ca="1"/>
      </c>
      <c r="AZ272" s="14">
        <f ca="1"/>
      </c>
      <c r="BF272" s="7">
        <f ca="1"/>
      </c>
      <c r="BG272" s="14">
        <f ca="1"/>
      </c>
      <c r="BH272" s="14">
        <f ca="1"/>
      </c>
      <c r="BI272" s="14">
        <f ca="1"/>
      </c>
      <c r="BJ272" s="14">
        <f ca="1"/>
      </c>
      <c r="BK272" s="14">
        <f ca="1"/>
      </c>
    </row>
    <row r="273" spans="28:63" x14ac:dyDescent="0.55000000000000004">
      <c r="AB273">
        <f ca="1"/>
      </c>
      <c r="AC273">
        <f ca="1"/>
      </c>
      <c r="AD273">
        <f ca="1"/>
      </c>
      <c r="AE273">
        <f ca="1"/>
      </c>
      <c r="AF273">
        <f ca="1"/>
      </c>
      <c r="AG273">
        <f ca="1"/>
      </c>
      <c r="AH273">
        <f ca="1"/>
      </c>
      <c r="AL273" s="7">
        <f ca="1"/>
      </c>
      <c r="AM273" s="14">
        <f ca="1"/>
      </c>
      <c r="AN273" s="14">
        <f ca="1"/>
      </c>
      <c r="AO273" s="14">
        <f ca="1"/>
      </c>
      <c r="AP273" s="14">
        <f ca="1"/>
      </c>
      <c r="AQ273" s="14">
        <f ca="1"/>
      </c>
      <c r="AR273" s="14">
        <f ca="1"/>
      </c>
      <c r="AV273" s="14">
        <f ca="1"/>
      </c>
      <c r="AW273" s="14">
        <f ca="1"/>
      </c>
      <c r="AX273" s="14">
        <f ca="1"/>
      </c>
      <c r="AY273" s="14">
        <f ca="1"/>
      </c>
      <c r="AZ273" s="14">
        <f ca="1"/>
      </c>
      <c r="BF273" s="7">
        <f ca="1"/>
      </c>
      <c r="BG273" s="14">
        <f ca="1"/>
      </c>
      <c r="BH273" s="14">
        <f ca="1"/>
      </c>
      <c r="BI273" s="14">
        <f ca="1"/>
      </c>
      <c r="BJ273" s="14">
        <f ca="1"/>
      </c>
      <c r="BK273" s="14">
        <f ca="1"/>
      </c>
    </row>
    <row r="274" spans="28:63" x14ac:dyDescent="0.55000000000000004">
      <c r="AB274">
        <f ca="1"/>
      </c>
      <c r="AC274">
        <f ca="1"/>
      </c>
      <c r="AD274">
        <f ca="1"/>
      </c>
      <c r="AE274">
        <f ca="1"/>
      </c>
      <c r="AF274">
        <f ca="1"/>
      </c>
      <c r="AG274">
        <f ca="1"/>
      </c>
      <c r="AH274">
        <f ca="1"/>
      </c>
      <c r="AL274" s="7">
        <f ca="1"/>
      </c>
      <c r="AM274" s="14">
        <f ca="1"/>
      </c>
      <c r="AN274" s="14">
        <f ca="1"/>
      </c>
      <c r="AO274" s="14">
        <f ca="1"/>
      </c>
      <c r="AP274" s="14">
        <f ca="1"/>
      </c>
      <c r="AQ274" s="14">
        <f ca="1"/>
      </c>
      <c r="AR274" s="14">
        <f ca="1"/>
      </c>
      <c r="AV274" s="14">
        <f ca="1"/>
      </c>
      <c r="AW274" s="14">
        <f ca="1"/>
      </c>
      <c r="AX274" s="14">
        <f ca="1"/>
      </c>
      <c r="AY274" s="14">
        <f ca="1"/>
      </c>
      <c r="AZ274" s="14">
        <f ca="1"/>
      </c>
      <c r="BF274" s="7">
        <f ca="1"/>
      </c>
      <c r="BG274" s="14">
        <f ca="1"/>
      </c>
      <c r="BH274" s="14">
        <f ca="1"/>
      </c>
      <c r="BI274" s="14">
        <f ca="1"/>
      </c>
      <c r="BJ274" s="14">
        <f ca="1"/>
      </c>
      <c r="BK274" s="14">
        <f ca="1"/>
      </c>
    </row>
    <row r="275" spans="28:63" x14ac:dyDescent="0.55000000000000004">
      <c r="AB275">
        <f ca="1"/>
      </c>
      <c r="AC275">
        <f ca="1"/>
      </c>
      <c r="AD275">
        <f ca="1"/>
      </c>
      <c r="AE275">
        <f ca="1"/>
      </c>
      <c r="AF275">
        <f ca="1"/>
      </c>
      <c r="AG275">
        <f ca="1"/>
      </c>
      <c r="AH275">
        <f ca="1"/>
      </c>
      <c r="AL275" s="7">
        <f ca="1"/>
      </c>
      <c r="AM275" s="14">
        <f ca="1"/>
      </c>
      <c r="AN275" s="14">
        <f ca="1"/>
      </c>
      <c r="AO275" s="14">
        <f ca="1"/>
      </c>
      <c r="AP275" s="14">
        <f ca="1"/>
      </c>
      <c r="AQ275" s="14">
        <f ca="1"/>
      </c>
      <c r="AR275" s="14">
        <f ca="1"/>
      </c>
      <c r="AV275" s="14">
        <f ca="1"/>
      </c>
      <c r="AW275" s="14">
        <f ca="1"/>
      </c>
      <c r="AX275" s="14">
        <f ca="1"/>
      </c>
      <c r="AY275" s="14">
        <f ca="1"/>
      </c>
      <c r="AZ275" s="14">
        <f ca="1"/>
      </c>
      <c r="BF275" s="7">
        <f ca="1"/>
      </c>
      <c r="BG275" s="14">
        <f ca="1"/>
      </c>
      <c r="BH275" s="14">
        <f ca="1"/>
      </c>
      <c r="BI275" s="14">
        <f ca="1"/>
      </c>
      <c r="BJ275" s="14">
        <f ca="1"/>
      </c>
      <c r="BK275" s="14">
        <f ca="1"/>
      </c>
    </row>
    <row r="276" spans="28:63" x14ac:dyDescent="0.55000000000000004">
      <c r="AB276">
        <f ca="1"/>
      </c>
      <c r="AC276">
        <f ca="1"/>
      </c>
      <c r="AD276">
        <f ca="1"/>
      </c>
      <c r="AE276">
        <f ca="1"/>
      </c>
      <c r="AF276">
        <f ca="1"/>
      </c>
      <c r="AG276">
        <f ca="1"/>
      </c>
      <c r="AH276">
        <f ca="1"/>
      </c>
      <c r="AL276" s="7">
        <f ca="1"/>
      </c>
      <c r="AM276" s="14">
        <f ca="1"/>
      </c>
      <c r="AN276" s="14">
        <f ca="1"/>
      </c>
      <c r="AO276" s="14">
        <f ca="1"/>
      </c>
      <c r="AP276" s="14">
        <f ca="1"/>
      </c>
      <c r="AQ276" s="14">
        <f ca="1"/>
      </c>
      <c r="AR276" s="14">
        <f ca="1"/>
      </c>
      <c r="AV276" s="14">
        <f ca="1"/>
      </c>
      <c r="AW276" s="14">
        <f ca="1"/>
      </c>
      <c r="AX276" s="14">
        <f ca="1"/>
      </c>
      <c r="AY276" s="14">
        <f ca="1"/>
      </c>
      <c r="AZ276" s="14">
        <f ca="1"/>
      </c>
      <c r="BF276" s="7">
        <f ca="1"/>
      </c>
      <c r="BG276" s="14">
        <f ca="1"/>
      </c>
      <c r="BH276" s="14">
        <f ca="1"/>
      </c>
      <c r="BI276" s="14">
        <f ca="1"/>
      </c>
      <c r="BJ276" s="14">
        <f ca="1"/>
      </c>
      <c r="BK276" s="14">
        <f ca="1"/>
      </c>
    </row>
    <row r="277" spans="28:63" x14ac:dyDescent="0.55000000000000004">
      <c r="AB277">
        <f ca="1"/>
      </c>
      <c r="AC277">
        <f ca="1"/>
      </c>
      <c r="AD277">
        <f ca="1"/>
      </c>
      <c r="AE277">
        <f ca="1"/>
      </c>
      <c r="AF277">
        <f ca="1"/>
      </c>
      <c r="AG277">
        <f ca="1"/>
      </c>
      <c r="AH277">
        <f ca="1"/>
      </c>
      <c r="AL277" s="7">
        <f ca="1"/>
      </c>
      <c r="AM277" s="14">
        <f ca="1"/>
      </c>
      <c r="AN277" s="14">
        <f ca="1"/>
      </c>
      <c r="AO277" s="14">
        <f ca="1"/>
      </c>
      <c r="AP277" s="14">
        <f ca="1"/>
      </c>
      <c r="AQ277" s="14">
        <f ca="1"/>
      </c>
      <c r="AR277" s="14">
        <f ca="1"/>
      </c>
      <c r="AV277" s="14">
        <f ca="1"/>
      </c>
      <c r="AW277" s="14">
        <f ca="1"/>
      </c>
      <c r="AX277" s="14">
        <f ca="1"/>
      </c>
      <c r="AY277" s="14">
        <f ca="1"/>
      </c>
      <c r="AZ277" s="14">
        <f ca="1"/>
      </c>
      <c r="BF277" s="7">
        <f ca="1"/>
      </c>
      <c r="BG277" s="14">
        <f ca="1"/>
      </c>
      <c r="BH277" s="14">
        <f ca="1"/>
      </c>
      <c r="BI277" s="14">
        <f ca="1"/>
      </c>
      <c r="BJ277" s="14">
        <f ca="1"/>
      </c>
      <c r="BK277" s="14">
        <f ca="1"/>
      </c>
    </row>
    <row r="278" spans="28:63" x14ac:dyDescent="0.55000000000000004">
      <c r="AB278">
        <f ca="1"/>
      </c>
      <c r="AC278">
        <f ca="1"/>
      </c>
      <c r="AD278">
        <f ca="1"/>
      </c>
      <c r="AE278">
        <f ca="1"/>
      </c>
      <c r="AF278">
        <f ca="1"/>
      </c>
      <c r="AG278">
        <f ca="1"/>
      </c>
      <c r="AH278">
        <f ca="1"/>
      </c>
      <c r="AL278" s="7">
        <f ca="1"/>
      </c>
      <c r="AM278" s="14">
        <f ca="1"/>
      </c>
      <c r="AN278" s="14">
        <f ca="1"/>
      </c>
      <c r="AO278" s="14">
        <f ca="1"/>
      </c>
      <c r="AP278" s="14">
        <f ca="1"/>
      </c>
      <c r="AQ278" s="14">
        <f ca="1"/>
      </c>
      <c r="AR278" s="14">
        <f ca="1"/>
      </c>
      <c r="AV278" s="14">
        <f ca="1"/>
      </c>
      <c r="AW278" s="14">
        <f ca="1"/>
      </c>
      <c r="AX278" s="14">
        <f ca="1"/>
      </c>
      <c r="AY278" s="14">
        <f ca="1"/>
      </c>
      <c r="AZ278" s="14">
        <f ca="1"/>
      </c>
      <c r="BF278" s="7">
        <f ca="1"/>
      </c>
      <c r="BG278" s="14">
        <f ca="1"/>
      </c>
      <c r="BH278" s="14">
        <f ca="1"/>
      </c>
      <c r="BI278" s="14">
        <f ca="1"/>
      </c>
      <c r="BJ278" s="14">
        <f ca="1"/>
      </c>
      <c r="BK278" s="14">
        <f ca="1"/>
      </c>
    </row>
    <row r="279" spans="28:63" x14ac:dyDescent="0.55000000000000004">
      <c r="AB279">
        <f ca="1"/>
      </c>
      <c r="AC279">
        <f ca="1"/>
      </c>
      <c r="AD279">
        <f ca="1"/>
      </c>
      <c r="AE279">
        <f ca="1"/>
      </c>
      <c r="AF279">
        <f ca="1"/>
      </c>
      <c r="AG279">
        <f ca="1"/>
      </c>
      <c r="AH279">
        <f ca="1"/>
      </c>
      <c r="AL279" s="7">
        <f ca="1"/>
      </c>
      <c r="AM279" s="14">
        <f ca="1"/>
      </c>
      <c r="AN279" s="14">
        <f ca="1"/>
      </c>
      <c r="AO279" s="14">
        <f ca="1"/>
      </c>
      <c r="AP279" s="14">
        <f ca="1"/>
      </c>
      <c r="AQ279" s="14">
        <f ca="1"/>
      </c>
      <c r="AR279" s="14">
        <f ca="1"/>
      </c>
      <c r="AV279" s="14">
        <f ca="1"/>
      </c>
      <c r="AW279" s="14">
        <f ca="1"/>
      </c>
      <c r="AX279" s="14">
        <f ca="1"/>
      </c>
      <c r="AY279" s="14">
        <f ca="1"/>
      </c>
      <c r="AZ279" s="14">
        <f ca="1"/>
      </c>
      <c r="BF279" s="7">
        <f ca="1"/>
      </c>
      <c r="BG279" s="14">
        <f ca="1"/>
      </c>
      <c r="BH279" s="14">
        <f ca="1"/>
      </c>
      <c r="BI279" s="14">
        <f ca="1"/>
      </c>
      <c r="BJ279" s="14">
        <f ca="1"/>
      </c>
      <c r="BK279" s="14">
        <f ca="1"/>
      </c>
    </row>
    <row r="280" spans="28:63" x14ac:dyDescent="0.55000000000000004">
      <c r="AB280">
        <f ca="1"/>
      </c>
      <c r="AC280">
        <f ca="1"/>
      </c>
      <c r="AD280">
        <f ca="1"/>
      </c>
      <c r="AE280">
        <f ca="1"/>
      </c>
      <c r="AF280">
        <f ca="1"/>
      </c>
      <c r="AG280">
        <f ca="1"/>
      </c>
      <c r="AH280">
        <f ca="1"/>
      </c>
      <c r="AL280" s="7">
        <f ca="1"/>
      </c>
      <c r="AM280" s="14">
        <f ca="1"/>
      </c>
      <c r="AN280" s="14">
        <f ca="1"/>
      </c>
      <c r="AO280" s="14">
        <f ca="1"/>
      </c>
      <c r="AP280" s="14">
        <f ca="1"/>
      </c>
      <c r="AQ280" s="14">
        <f ca="1"/>
      </c>
      <c r="AR280" s="14">
        <f ca="1"/>
      </c>
      <c r="AV280" s="14">
        <f ca="1"/>
      </c>
      <c r="AW280" s="14">
        <f ca="1"/>
      </c>
      <c r="AX280" s="14">
        <f ca="1"/>
      </c>
      <c r="AY280" s="14">
        <f ca="1"/>
      </c>
      <c r="AZ280" s="14">
        <f ca="1"/>
      </c>
      <c r="BF280" s="7">
        <f ca="1"/>
      </c>
      <c r="BG280" s="14">
        <f ca="1"/>
      </c>
      <c r="BH280" s="14">
        <f ca="1"/>
      </c>
      <c r="BI280" s="14">
        <f ca="1"/>
      </c>
      <c r="BJ280" s="14">
        <f ca="1"/>
      </c>
      <c r="BK280" s="14">
        <f ca="1"/>
      </c>
    </row>
    <row r="281" spans="28:63" x14ac:dyDescent="0.55000000000000004">
      <c r="AB281">
        <f ca="1"/>
      </c>
      <c r="AC281">
        <f ca="1"/>
      </c>
      <c r="AD281">
        <f ca="1"/>
      </c>
      <c r="AE281">
        <f ca="1"/>
      </c>
      <c r="AF281">
        <f ca="1"/>
      </c>
      <c r="AG281">
        <f ca="1"/>
      </c>
      <c r="AH281">
        <f ca="1"/>
      </c>
      <c r="AL281" s="7">
        <f ca="1"/>
      </c>
      <c r="AM281" s="14">
        <f ca="1"/>
      </c>
      <c r="AN281" s="14">
        <f ca="1"/>
      </c>
      <c r="AO281" s="14">
        <f ca="1"/>
      </c>
      <c r="AP281" s="14">
        <f ca="1"/>
      </c>
      <c r="AQ281" s="14">
        <f ca="1"/>
      </c>
      <c r="AR281" s="14">
        <f ca="1"/>
      </c>
      <c r="AV281" s="14">
        <f ca="1"/>
      </c>
      <c r="AW281" s="14">
        <f ca="1"/>
      </c>
      <c r="AX281" s="14">
        <f ca="1"/>
      </c>
      <c r="AY281" s="14">
        <f ca="1"/>
      </c>
      <c r="AZ281" s="14">
        <f ca="1"/>
      </c>
      <c r="BF281" s="7">
        <f ca="1"/>
      </c>
      <c r="BG281" s="14">
        <f ca="1"/>
      </c>
      <c r="BH281" s="14">
        <f ca="1"/>
      </c>
      <c r="BI281" s="14">
        <f ca="1"/>
      </c>
      <c r="BJ281" s="14">
        <f ca="1"/>
      </c>
      <c r="BK281" s="14">
        <f ca="1"/>
      </c>
    </row>
    <row r="282" spans="28:63" x14ac:dyDescent="0.55000000000000004">
      <c r="AB282">
        <f ca="1"/>
      </c>
      <c r="AC282">
        <f ca="1"/>
      </c>
      <c r="AD282">
        <f ca="1"/>
      </c>
      <c r="AE282">
        <f ca="1"/>
      </c>
      <c r="AF282">
        <f ca="1"/>
      </c>
      <c r="AG282">
        <f ca="1"/>
      </c>
      <c r="AH282">
        <f ca="1"/>
      </c>
      <c r="AL282" s="7">
        <f ca="1"/>
      </c>
      <c r="AM282" s="14">
        <f ca="1"/>
      </c>
      <c r="AN282" s="14">
        <f ca="1"/>
      </c>
      <c r="AO282" s="14">
        <f ca="1"/>
      </c>
      <c r="AP282" s="14">
        <f ca="1"/>
      </c>
      <c r="AQ282" s="14">
        <f ca="1"/>
      </c>
      <c r="AR282" s="14">
        <f ca="1"/>
      </c>
      <c r="AV282" s="14">
        <f ca="1"/>
      </c>
      <c r="AW282" s="14">
        <f ca="1"/>
      </c>
      <c r="AX282" s="14">
        <f ca="1"/>
      </c>
      <c r="AY282" s="14">
        <f ca="1"/>
      </c>
      <c r="AZ282" s="14">
        <f ca="1"/>
      </c>
      <c r="BF282" s="7">
        <f ca="1"/>
      </c>
      <c r="BG282" s="14">
        <f ca="1"/>
      </c>
      <c r="BH282" s="14">
        <f ca="1"/>
      </c>
      <c r="BI282" s="14">
        <f ca="1"/>
      </c>
      <c r="BJ282" s="14">
        <f ca="1"/>
      </c>
      <c r="BK282" s="14">
        <f ca="1"/>
      </c>
    </row>
    <row r="283" spans="28:63" x14ac:dyDescent="0.55000000000000004">
      <c r="AB283">
        <f ca="1"/>
      </c>
      <c r="AC283">
        <f ca="1"/>
      </c>
      <c r="AD283">
        <f ca="1"/>
      </c>
      <c r="AE283">
        <f ca="1"/>
      </c>
      <c r="AF283">
        <f ca="1"/>
      </c>
      <c r="AG283">
        <f ca="1"/>
      </c>
      <c r="AH283">
        <f ca="1"/>
      </c>
      <c r="AL283" s="7">
        <f ca="1"/>
      </c>
      <c r="AM283" s="14">
        <f ca="1"/>
      </c>
      <c r="AN283" s="14">
        <f ca="1"/>
      </c>
      <c r="AO283" s="14">
        <f ca="1"/>
      </c>
      <c r="AP283" s="14">
        <f ca="1"/>
      </c>
      <c r="AQ283" s="14">
        <f ca="1"/>
      </c>
      <c r="AR283" s="14">
        <f ca="1"/>
      </c>
      <c r="AV283" s="14">
        <f ca="1"/>
      </c>
      <c r="AW283" s="14">
        <f ca="1"/>
      </c>
      <c r="AX283" s="14">
        <f ca="1"/>
      </c>
      <c r="AY283" s="14">
        <f ca="1"/>
      </c>
      <c r="AZ283" s="14">
        <f ca="1"/>
      </c>
      <c r="BF283" s="7">
        <f ca="1"/>
      </c>
      <c r="BG283" s="14">
        <f ca="1"/>
      </c>
      <c r="BH283" s="14">
        <f ca="1"/>
      </c>
      <c r="BI283" s="14">
        <f ca="1"/>
      </c>
      <c r="BJ283" s="14">
        <f ca="1"/>
      </c>
      <c r="BK283" s="14">
        <f ca="1"/>
      </c>
    </row>
    <row r="284" spans="28:63" x14ac:dyDescent="0.55000000000000004">
      <c r="AB284">
        <f ca="1"/>
      </c>
      <c r="AC284">
        <f ca="1"/>
      </c>
      <c r="AD284">
        <f ca="1"/>
      </c>
      <c r="AE284">
        <f ca="1"/>
      </c>
      <c r="AF284">
        <f ca="1"/>
      </c>
      <c r="AG284">
        <f ca="1"/>
      </c>
      <c r="AH284">
        <f ca="1"/>
      </c>
      <c r="AL284" s="7">
        <f ca="1"/>
      </c>
      <c r="AM284" s="14">
        <f ca="1"/>
      </c>
      <c r="AN284" s="14">
        <f ca="1"/>
      </c>
      <c r="AO284" s="14">
        <f ca="1"/>
      </c>
      <c r="AP284" s="14">
        <f ca="1"/>
      </c>
      <c r="AQ284" s="14">
        <f ca="1"/>
      </c>
      <c r="AR284" s="14">
        <f ca="1"/>
      </c>
      <c r="AV284" s="14">
        <f ca="1"/>
      </c>
      <c r="AW284" s="14">
        <f ca="1"/>
      </c>
      <c r="AX284" s="14">
        <f ca="1"/>
      </c>
      <c r="AY284" s="14">
        <f ca="1"/>
      </c>
      <c r="AZ284" s="14">
        <f ca="1"/>
      </c>
      <c r="BF284" s="7">
        <f ca="1"/>
      </c>
      <c r="BG284" s="14">
        <f ca="1"/>
      </c>
      <c r="BH284" s="14">
        <f ca="1"/>
      </c>
      <c r="BI284" s="14">
        <f ca="1"/>
      </c>
      <c r="BJ284" s="14">
        <f ca="1"/>
      </c>
      <c r="BK284" s="14">
        <f ca="1"/>
      </c>
    </row>
    <row r="285" spans="28:63" x14ac:dyDescent="0.55000000000000004">
      <c r="AB285">
        <f ca="1"/>
      </c>
      <c r="AC285">
        <f ca="1"/>
      </c>
      <c r="AD285">
        <f ca="1"/>
      </c>
      <c r="AE285">
        <f ca="1"/>
      </c>
      <c r="AF285">
        <f ca="1"/>
      </c>
      <c r="AG285">
        <f ca="1"/>
      </c>
      <c r="AH285">
        <f ca="1"/>
      </c>
      <c r="AL285" s="7">
        <f ca="1"/>
      </c>
      <c r="AM285" s="14">
        <f ca="1"/>
      </c>
      <c r="AN285" s="14">
        <f ca="1"/>
      </c>
      <c r="AO285" s="14">
        <f ca="1"/>
      </c>
      <c r="AP285" s="14">
        <f ca="1"/>
      </c>
      <c r="AQ285" s="14">
        <f ca="1"/>
      </c>
      <c r="AR285" s="14">
        <f ca="1"/>
      </c>
      <c r="AV285" s="14">
        <f ca="1"/>
      </c>
      <c r="AW285" s="14">
        <f ca="1"/>
      </c>
      <c r="AX285" s="14">
        <f ca="1"/>
      </c>
      <c r="AY285" s="14">
        <f ca="1"/>
      </c>
      <c r="AZ285" s="14">
        <f ca="1"/>
      </c>
      <c r="BF285" s="7">
        <f ca="1"/>
      </c>
      <c r="BG285" s="14">
        <f ca="1"/>
      </c>
      <c r="BH285" s="14">
        <f ca="1"/>
      </c>
      <c r="BI285" s="14">
        <f ca="1"/>
      </c>
      <c r="BJ285" s="14">
        <f ca="1"/>
      </c>
      <c r="BK285" s="14">
        <f ca="1"/>
      </c>
    </row>
    <row r="286" spans="28:63" x14ac:dyDescent="0.55000000000000004">
      <c r="AB286">
        <f ca="1"/>
      </c>
      <c r="AC286">
        <f ca="1"/>
      </c>
      <c r="AD286">
        <f ca="1"/>
      </c>
      <c r="AE286">
        <f ca="1"/>
      </c>
      <c r="AF286">
        <f ca="1"/>
      </c>
      <c r="AG286">
        <f ca="1"/>
      </c>
      <c r="AH286">
        <f ca="1"/>
      </c>
      <c r="AL286" s="7">
        <f ca="1"/>
      </c>
      <c r="AM286" s="14">
        <f ca="1"/>
      </c>
      <c r="AN286" s="14">
        <f ca="1"/>
      </c>
      <c r="AO286" s="14">
        <f ca="1"/>
      </c>
      <c r="AP286" s="14">
        <f ca="1"/>
      </c>
      <c r="AQ286" s="14">
        <f ca="1"/>
      </c>
      <c r="AR286" s="14">
        <f ca="1"/>
      </c>
      <c r="AV286" s="14">
        <f ca="1"/>
      </c>
      <c r="AW286" s="14">
        <f ca="1"/>
      </c>
      <c r="AX286" s="14">
        <f ca="1"/>
      </c>
      <c r="AY286" s="14">
        <f ca="1"/>
      </c>
      <c r="AZ286" s="14">
        <f ca="1"/>
      </c>
      <c r="BF286" s="7">
        <f ca="1"/>
      </c>
      <c r="BG286" s="14">
        <f ca="1"/>
      </c>
      <c r="BH286" s="14">
        <f ca="1"/>
      </c>
      <c r="BI286" s="14">
        <f ca="1"/>
      </c>
      <c r="BJ286" s="14">
        <f ca="1"/>
      </c>
      <c r="BK286" s="14">
        <f ca="1"/>
      </c>
    </row>
    <row r="287" spans="28:63" x14ac:dyDescent="0.55000000000000004">
      <c r="AB287">
        <f ca="1"/>
      </c>
      <c r="AC287">
        <f ca="1"/>
      </c>
      <c r="AD287">
        <f ca="1"/>
      </c>
      <c r="AE287">
        <f ca="1"/>
      </c>
      <c r="AF287">
        <f ca="1"/>
      </c>
      <c r="AG287">
        <f ca="1"/>
      </c>
      <c r="AH287">
        <f ca="1"/>
      </c>
      <c r="AL287" s="7">
        <f ca="1"/>
      </c>
      <c r="AM287" s="14">
        <f ca="1"/>
      </c>
      <c r="AN287" s="14">
        <f ca="1"/>
      </c>
      <c r="AO287" s="14">
        <f ca="1"/>
      </c>
      <c r="AP287" s="14">
        <f ca="1"/>
      </c>
      <c r="AQ287" s="14">
        <f ca="1"/>
      </c>
      <c r="AR287" s="14">
        <f ca="1"/>
      </c>
      <c r="AV287" s="14">
        <f ca="1"/>
      </c>
      <c r="AW287" s="14">
        <f ca="1"/>
      </c>
      <c r="AX287" s="14">
        <f ca="1"/>
      </c>
      <c r="AY287" s="14">
        <f ca="1"/>
      </c>
      <c r="AZ287" s="14">
        <f ca="1"/>
      </c>
      <c r="BF287" s="7">
        <f ca="1"/>
      </c>
      <c r="BG287" s="14">
        <f ca="1"/>
      </c>
      <c r="BH287" s="14">
        <f ca="1"/>
      </c>
      <c r="BI287" s="14">
        <f ca="1"/>
      </c>
      <c r="BJ287" s="14">
        <f ca="1"/>
      </c>
      <c r="BK287" s="14">
        <f ca="1"/>
      </c>
    </row>
    <row r="288" spans="28:63" x14ac:dyDescent="0.55000000000000004">
      <c r="AB288">
        <f ca="1"/>
      </c>
      <c r="AC288">
        <f ca="1"/>
      </c>
      <c r="AD288">
        <f ca="1"/>
      </c>
      <c r="AE288">
        <f ca="1"/>
      </c>
      <c r="AF288">
        <f ca="1"/>
      </c>
      <c r="AG288">
        <f ca="1"/>
      </c>
      <c r="AH288">
        <f ca="1"/>
      </c>
      <c r="AL288" s="7">
        <f ca="1"/>
      </c>
      <c r="AM288" s="14">
        <f ca="1"/>
      </c>
      <c r="AN288" s="14">
        <f ca="1"/>
      </c>
      <c r="AO288" s="14">
        <f ca="1"/>
      </c>
      <c r="AP288" s="14">
        <f ca="1"/>
      </c>
      <c r="AQ288" s="14">
        <f ca="1"/>
      </c>
      <c r="AR288" s="14">
        <f ca="1"/>
      </c>
      <c r="AV288" s="14">
        <f ca="1"/>
      </c>
      <c r="AW288" s="14">
        <f ca="1"/>
      </c>
      <c r="AX288" s="14">
        <f ca="1"/>
      </c>
      <c r="AY288" s="14">
        <f ca="1"/>
      </c>
      <c r="AZ288" s="14">
        <f ca="1"/>
      </c>
      <c r="BF288" s="7">
        <f ca="1"/>
      </c>
      <c r="BG288" s="14">
        <f ca="1"/>
      </c>
      <c r="BH288" s="14">
        <f ca="1"/>
      </c>
      <c r="BI288" s="14">
        <f ca="1"/>
      </c>
      <c r="BJ288" s="14">
        <f ca="1"/>
      </c>
      <c r="BK288" s="14">
        <f ca="1"/>
      </c>
    </row>
    <row r="289" spans="28:63" x14ac:dyDescent="0.55000000000000004">
      <c r="AB289">
        <f ca="1"/>
      </c>
      <c r="AC289">
        <f ca="1"/>
      </c>
      <c r="AD289">
        <f ca="1"/>
      </c>
      <c r="AE289">
        <f ca="1"/>
      </c>
      <c r="AF289">
        <f ca="1"/>
      </c>
      <c r="AG289">
        <f ca="1"/>
      </c>
      <c r="AH289">
        <f ca="1"/>
      </c>
      <c r="AL289" s="7">
        <f ca="1"/>
      </c>
      <c r="AM289" s="14">
        <f ca="1"/>
      </c>
      <c r="AN289" s="14">
        <f ca="1"/>
      </c>
      <c r="AO289" s="14">
        <f ca="1"/>
      </c>
      <c r="AP289" s="14">
        <f ca="1"/>
      </c>
      <c r="AQ289" s="14">
        <f ca="1"/>
      </c>
      <c r="AR289" s="14">
        <f ca="1"/>
      </c>
      <c r="AV289" s="14">
        <f ca="1"/>
      </c>
      <c r="AW289" s="14">
        <f ca="1"/>
      </c>
      <c r="AX289" s="14">
        <f ca="1"/>
      </c>
      <c r="AY289" s="14">
        <f ca="1"/>
      </c>
      <c r="AZ289" s="14">
        <f ca="1"/>
      </c>
      <c r="BF289" s="7">
        <f ca="1"/>
      </c>
      <c r="BG289" s="14">
        <f ca="1"/>
      </c>
      <c r="BH289" s="14">
        <f ca="1"/>
      </c>
      <c r="BI289" s="14">
        <f ca="1"/>
      </c>
      <c r="BJ289" s="14">
        <f ca="1"/>
      </c>
      <c r="BK289" s="14">
        <f ca="1"/>
      </c>
    </row>
    <row r="290" spans="28:63" x14ac:dyDescent="0.55000000000000004">
      <c r="AB290">
        <f ca="1"/>
      </c>
      <c r="AC290">
        <f ca="1"/>
      </c>
      <c r="AD290">
        <f ca="1"/>
      </c>
      <c r="AE290">
        <f ca="1"/>
      </c>
      <c r="AF290">
        <f ca="1"/>
      </c>
      <c r="AG290">
        <f ca="1"/>
      </c>
      <c r="AH290">
        <f ca="1"/>
      </c>
      <c r="AL290" s="7">
        <f ca="1"/>
      </c>
      <c r="AM290" s="14">
        <f ca="1"/>
      </c>
      <c r="AN290" s="14">
        <f ca="1"/>
      </c>
      <c r="AO290" s="14">
        <f ca="1"/>
      </c>
      <c r="AP290" s="14">
        <f ca="1"/>
      </c>
      <c r="AQ290" s="14">
        <f ca="1"/>
      </c>
      <c r="AR290" s="14">
        <f ca="1"/>
      </c>
      <c r="AV290" s="14">
        <f ca="1"/>
      </c>
      <c r="AW290" s="14">
        <f ca="1"/>
      </c>
      <c r="AX290" s="14">
        <f ca="1"/>
      </c>
      <c r="AY290" s="14">
        <f ca="1"/>
      </c>
      <c r="AZ290" s="14">
        <f ca="1"/>
      </c>
      <c r="BF290" s="7">
        <f ca="1"/>
      </c>
      <c r="BG290" s="14">
        <f ca="1"/>
      </c>
      <c r="BH290" s="14">
        <f ca="1"/>
      </c>
      <c r="BI290" s="14">
        <f ca="1"/>
      </c>
      <c r="BJ290" s="14">
        <f ca="1"/>
      </c>
      <c r="BK290" s="14">
        <f ca="1"/>
      </c>
    </row>
    <row r="291" spans="28:63" x14ac:dyDescent="0.55000000000000004">
      <c r="AB291">
        <f ca="1"/>
      </c>
      <c r="AC291">
        <f ca="1"/>
      </c>
      <c r="AD291">
        <f ca="1"/>
      </c>
      <c r="AE291">
        <f ca="1"/>
      </c>
      <c r="AF291">
        <f ca="1"/>
      </c>
      <c r="AG291">
        <f ca="1"/>
      </c>
      <c r="AH291">
        <f ca="1"/>
      </c>
      <c r="AL291" s="7">
        <f ca="1"/>
      </c>
      <c r="AM291" s="14">
        <f ca="1"/>
      </c>
      <c r="AN291" s="14">
        <f ca="1"/>
      </c>
      <c r="AO291" s="14">
        <f ca="1"/>
      </c>
      <c r="AP291" s="14">
        <f ca="1"/>
      </c>
      <c r="AQ291" s="14">
        <f ca="1"/>
      </c>
      <c r="AR291" s="14">
        <f ca="1"/>
      </c>
      <c r="AV291" s="14">
        <f ca="1"/>
      </c>
      <c r="AW291" s="14">
        <f ca="1"/>
      </c>
      <c r="AX291" s="14">
        <f ca="1"/>
      </c>
      <c r="AY291" s="14">
        <f ca="1"/>
      </c>
      <c r="AZ291" s="14">
        <f ca="1"/>
      </c>
      <c r="BF291" s="7">
        <f ca="1"/>
      </c>
      <c r="BG291" s="14">
        <f ca="1"/>
      </c>
      <c r="BH291" s="14">
        <f ca="1"/>
      </c>
      <c r="BI291" s="14">
        <f ca="1"/>
      </c>
      <c r="BJ291" s="14">
        <f ca="1"/>
      </c>
      <c r="BK291" s="14">
        <f ca="1"/>
      </c>
    </row>
    <row r="292" spans="28:63" x14ac:dyDescent="0.55000000000000004">
      <c r="AB292">
        <f ca="1"/>
      </c>
      <c r="AC292">
        <f ca="1"/>
      </c>
      <c r="AD292">
        <f ca="1"/>
      </c>
      <c r="AE292">
        <f ca="1"/>
      </c>
      <c r="AF292">
        <f ca="1"/>
      </c>
      <c r="AG292">
        <f ca="1"/>
      </c>
      <c r="AH292">
        <f ca="1"/>
      </c>
      <c r="AL292" s="7">
        <f ca="1"/>
      </c>
      <c r="AM292" s="14">
        <f ca="1"/>
      </c>
      <c r="AN292" s="14">
        <f ca="1"/>
      </c>
      <c r="AO292" s="14">
        <f ca="1"/>
      </c>
      <c r="AP292" s="14">
        <f ca="1"/>
      </c>
      <c r="AQ292" s="14">
        <f ca="1"/>
      </c>
      <c r="AR292" s="14">
        <f ca="1"/>
      </c>
      <c r="AV292" s="14">
        <f ca="1"/>
      </c>
      <c r="AW292" s="14">
        <f ca="1"/>
      </c>
      <c r="AX292" s="14">
        <f ca="1"/>
      </c>
      <c r="AY292" s="14">
        <f ca="1"/>
      </c>
      <c r="AZ292" s="14">
        <f ca="1"/>
      </c>
      <c r="BF292" s="7">
        <f ca="1"/>
      </c>
      <c r="BG292" s="14">
        <f ca="1"/>
      </c>
      <c r="BH292" s="14">
        <f ca="1"/>
      </c>
      <c r="BI292" s="14">
        <f ca="1"/>
      </c>
      <c r="BJ292" s="14">
        <f ca="1"/>
      </c>
      <c r="BK292" s="14">
        <f ca="1"/>
      </c>
    </row>
    <row r="293" spans="28:63" x14ac:dyDescent="0.55000000000000004">
      <c r="AB293">
        <f ca="1"/>
      </c>
      <c r="AC293">
        <f ca="1"/>
      </c>
      <c r="AD293">
        <f ca="1"/>
      </c>
      <c r="AE293">
        <f ca="1"/>
      </c>
      <c r="AF293">
        <f ca="1"/>
      </c>
      <c r="AG293">
        <f ca="1"/>
      </c>
      <c r="AH293">
        <f ca="1"/>
      </c>
      <c r="AL293" s="7">
        <f ca="1"/>
      </c>
      <c r="AM293" s="14">
        <f ca="1"/>
      </c>
      <c r="AN293" s="14">
        <f ca="1"/>
      </c>
      <c r="AO293" s="14">
        <f ca="1"/>
      </c>
      <c r="AP293" s="14">
        <f ca="1"/>
      </c>
      <c r="AQ293" s="14">
        <f ca="1"/>
      </c>
      <c r="AR293" s="14">
        <f ca="1"/>
      </c>
      <c r="AV293" s="14">
        <f ca="1"/>
      </c>
      <c r="AW293" s="14">
        <f ca="1"/>
      </c>
      <c r="AX293" s="14">
        <f ca="1"/>
      </c>
      <c r="AY293" s="14">
        <f ca="1"/>
      </c>
      <c r="AZ293" s="14">
        <f ca="1"/>
      </c>
      <c r="BF293" s="7">
        <f ca="1"/>
      </c>
      <c r="BG293" s="14">
        <f ca="1"/>
      </c>
      <c r="BH293" s="14">
        <f ca="1"/>
      </c>
      <c r="BI293" s="14">
        <f ca="1"/>
      </c>
      <c r="BJ293" s="14">
        <f ca="1"/>
      </c>
      <c r="BK293" s="14">
        <f ca="1"/>
      </c>
    </row>
    <row r="294" spans="28:63" x14ac:dyDescent="0.55000000000000004">
      <c r="AB294">
        <f ca="1"/>
      </c>
      <c r="AC294">
        <f ca="1"/>
      </c>
      <c r="AD294">
        <f ca="1"/>
      </c>
      <c r="AE294">
        <f ca="1"/>
      </c>
      <c r="AF294">
        <f ca="1"/>
      </c>
      <c r="AG294">
        <f ca="1"/>
      </c>
      <c r="AH294">
        <f ca="1"/>
      </c>
      <c r="AL294" s="7">
        <f ca="1"/>
      </c>
      <c r="AM294" s="14">
        <f ca="1"/>
      </c>
      <c r="AN294" s="14">
        <f ca="1"/>
      </c>
      <c r="AO294" s="14">
        <f ca="1"/>
      </c>
      <c r="AP294" s="14">
        <f ca="1"/>
      </c>
      <c r="AQ294" s="14">
        <f ca="1"/>
      </c>
      <c r="AR294" s="14">
        <f ca="1"/>
      </c>
      <c r="AV294" s="14">
        <f ca="1"/>
      </c>
      <c r="AW294" s="14">
        <f ca="1"/>
      </c>
      <c r="AX294" s="14">
        <f ca="1"/>
      </c>
      <c r="AY294" s="14">
        <f ca="1"/>
      </c>
      <c r="AZ294" s="14">
        <f ca="1"/>
      </c>
      <c r="BF294" s="7">
        <f ca="1"/>
      </c>
      <c r="BG294" s="14">
        <f ca="1"/>
      </c>
      <c r="BH294" s="14">
        <f ca="1"/>
      </c>
      <c r="BI294" s="14">
        <f ca="1"/>
      </c>
      <c r="BJ294" s="14">
        <f ca="1"/>
      </c>
      <c r="BK294" s="14">
        <f ca="1"/>
      </c>
    </row>
    <row r="295" spans="28:63" x14ac:dyDescent="0.55000000000000004">
      <c r="AB295">
        <f ca="1"/>
      </c>
      <c r="AC295">
        <f ca="1"/>
      </c>
      <c r="AD295">
        <f ca="1"/>
      </c>
      <c r="AE295">
        <f ca="1"/>
      </c>
      <c r="AF295">
        <f ca="1"/>
      </c>
      <c r="AG295">
        <f ca="1"/>
      </c>
      <c r="AH295">
        <f ca="1"/>
      </c>
      <c r="AL295" s="7">
        <f ca="1"/>
      </c>
      <c r="AM295" s="14">
        <f ca="1"/>
      </c>
      <c r="AN295" s="14">
        <f ca="1"/>
      </c>
      <c r="AO295" s="14">
        <f ca="1"/>
      </c>
      <c r="AP295" s="14">
        <f ca="1"/>
      </c>
      <c r="AQ295" s="14">
        <f ca="1"/>
      </c>
      <c r="AR295" s="14">
        <f ca="1"/>
      </c>
      <c r="AV295" s="14">
        <f ca="1"/>
      </c>
      <c r="AW295" s="14">
        <f ca="1"/>
      </c>
      <c r="AX295" s="14">
        <f ca="1"/>
      </c>
      <c r="AY295" s="14">
        <f ca="1"/>
      </c>
      <c r="AZ295" s="14">
        <f ca="1"/>
      </c>
      <c r="BF295" s="7">
        <f ca="1"/>
      </c>
      <c r="BG295" s="14">
        <f ca="1"/>
      </c>
      <c r="BH295" s="14">
        <f ca="1"/>
      </c>
      <c r="BI295" s="14">
        <f ca="1"/>
      </c>
      <c r="BJ295" s="14">
        <f ca="1"/>
      </c>
      <c r="BK295" s="14">
        <f ca="1"/>
      </c>
    </row>
    <row r="296" spans="28:63" x14ac:dyDescent="0.55000000000000004">
      <c r="AB296">
        <f ca="1"/>
      </c>
      <c r="AC296">
        <f ca="1"/>
      </c>
      <c r="AD296">
        <f ca="1"/>
      </c>
      <c r="AE296">
        <f ca="1"/>
      </c>
      <c r="AF296">
        <f ca="1"/>
      </c>
      <c r="AG296">
        <f ca="1"/>
      </c>
      <c r="AH296">
        <f ca="1"/>
      </c>
      <c r="AL296" s="7">
        <f ca="1"/>
      </c>
      <c r="AM296" s="14">
        <f ca="1"/>
      </c>
      <c r="AN296" s="14">
        <f ca="1"/>
      </c>
      <c r="AO296" s="14">
        <f ca="1"/>
      </c>
      <c r="AP296" s="14">
        <f ca="1"/>
      </c>
      <c r="AQ296" s="14">
        <f ca="1"/>
      </c>
      <c r="AR296" s="14">
        <f ca="1"/>
      </c>
      <c r="AV296" s="14">
        <f ca="1"/>
      </c>
      <c r="AW296" s="14">
        <f ca="1"/>
      </c>
      <c r="AX296" s="14">
        <f ca="1"/>
      </c>
      <c r="AY296" s="14">
        <f ca="1"/>
      </c>
      <c r="AZ296" s="14">
        <f ca="1"/>
      </c>
      <c r="BF296" s="7">
        <f ca="1"/>
      </c>
      <c r="BG296" s="14">
        <f ca="1"/>
      </c>
      <c r="BH296" s="14">
        <f ca="1"/>
      </c>
      <c r="BI296" s="14">
        <f ca="1"/>
      </c>
      <c r="BJ296" s="14">
        <f ca="1"/>
      </c>
      <c r="BK296" s="14">
        <f ca="1"/>
      </c>
    </row>
    <row r="297" spans="28:63" x14ac:dyDescent="0.55000000000000004">
      <c r="AB297">
        <f ca="1"/>
      </c>
      <c r="AC297">
        <f ca="1"/>
      </c>
      <c r="AD297">
        <f ca="1"/>
      </c>
      <c r="AE297">
        <f ca="1"/>
      </c>
      <c r="AF297">
        <f ca="1"/>
      </c>
      <c r="AG297">
        <f ca="1"/>
      </c>
      <c r="AH297">
        <f ca="1"/>
      </c>
      <c r="AL297" s="7">
        <f ca="1"/>
      </c>
      <c r="AM297" s="14">
        <f ca="1"/>
      </c>
      <c r="AN297" s="14">
        <f ca="1"/>
      </c>
      <c r="AO297" s="14">
        <f ca="1"/>
      </c>
      <c r="AP297" s="14">
        <f ca="1"/>
      </c>
      <c r="AQ297" s="14">
        <f ca="1"/>
      </c>
      <c r="AR297" s="14">
        <f ca="1"/>
      </c>
      <c r="AV297" s="14">
        <f ca="1"/>
      </c>
      <c r="AW297" s="14">
        <f ca="1"/>
      </c>
      <c r="AX297" s="14">
        <f ca="1"/>
      </c>
      <c r="AY297" s="14">
        <f ca="1"/>
      </c>
      <c r="AZ297" s="14">
        <f ca="1"/>
      </c>
      <c r="BF297" s="7">
        <f ca="1"/>
      </c>
      <c r="BG297" s="14">
        <f ca="1"/>
      </c>
      <c r="BH297" s="14">
        <f ca="1"/>
      </c>
      <c r="BI297" s="14">
        <f ca="1"/>
      </c>
      <c r="BJ297" s="14">
        <f ca="1"/>
      </c>
      <c r="BK297" s="14">
        <f ca="1"/>
      </c>
    </row>
    <row r="298" spans="28:63" x14ac:dyDescent="0.55000000000000004">
      <c r="AB298">
        <f ca="1"/>
      </c>
      <c r="AC298">
        <f ca="1"/>
      </c>
      <c r="AD298">
        <f ca="1"/>
      </c>
      <c r="AE298">
        <f ca="1"/>
      </c>
      <c r="AF298">
        <f ca="1"/>
      </c>
      <c r="AG298">
        <f ca="1"/>
      </c>
      <c r="AH298">
        <f ca="1"/>
      </c>
      <c r="AL298" s="7">
        <f ca="1"/>
      </c>
      <c r="AM298" s="14">
        <f ca="1"/>
      </c>
      <c r="AN298" s="14">
        <f ca="1"/>
      </c>
      <c r="AO298" s="14">
        <f ca="1"/>
      </c>
      <c r="AP298" s="14">
        <f ca="1"/>
      </c>
      <c r="AQ298" s="14">
        <f ca="1"/>
      </c>
      <c r="AR298" s="14">
        <f ca="1"/>
      </c>
      <c r="AV298" s="14">
        <f ca="1"/>
      </c>
      <c r="AW298" s="14">
        <f ca="1"/>
      </c>
      <c r="AX298" s="14">
        <f ca="1"/>
      </c>
      <c r="AY298" s="14">
        <f ca="1"/>
      </c>
      <c r="AZ298" s="14">
        <f ca="1"/>
      </c>
      <c r="BF298" s="7">
        <f ca="1"/>
      </c>
      <c r="BG298" s="14">
        <f ca="1"/>
      </c>
      <c r="BH298" s="14">
        <f ca="1"/>
      </c>
      <c r="BI298" s="14">
        <f ca="1"/>
      </c>
      <c r="BJ298" s="14">
        <f ca="1"/>
      </c>
      <c r="BK298" s="14">
        <f ca="1"/>
      </c>
    </row>
    <row r="299" spans="28:63" x14ac:dyDescent="0.55000000000000004">
      <c r="AB299">
        <f ca="1"/>
      </c>
      <c r="AC299">
        <f ca="1"/>
      </c>
      <c r="AD299">
        <f ca="1"/>
      </c>
      <c r="AE299">
        <f ca="1"/>
      </c>
      <c r="AF299">
        <f ca="1"/>
      </c>
      <c r="AG299">
        <f ca="1"/>
      </c>
      <c r="AH299">
        <f ca="1"/>
      </c>
      <c r="AL299" s="7">
        <f ca="1"/>
      </c>
      <c r="AM299" s="14">
        <f ca="1"/>
      </c>
      <c r="AN299" s="14">
        <f ca="1"/>
      </c>
      <c r="AO299" s="14">
        <f ca="1"/>
      </c>
      <c r="AP299" s="14">
        <f ca="1"/>
      </c>
      <c r="AQ299" s="14">
        <f ca="1"/>
      </c>
      <c r="AR299" s="14">
        <f ca="1"/>
      </c>
      <c r="AV299" s="14">
        <f ca="1"/>
      </c>
      <c r="AW299" s="14">
        <f ca="1"/>
      </c>
      <c r="AX299" s="14">
        <f ca="1"/>
      </c>
      <c r="AY299" s="14">
        <f ca="1"/>
      </c>
      <c r="AZ299" s="14">
        <f ca="1"/>
      </c>
      <c r="BF299" s="7">
        <f ca="1"/>
      </c>
      <c r="BG299" s="14">
        <f ca="1"/>
      </c>
      <c r="BH299" s="14">
        <f ca="1"/>
      </c>
      <c r="BI299" s="14">
        <f ca="1"/>
      </c>
      <c r="BJ299" s="14">
        <f ca="1"/>
      </c>
      <c r="BK299" s="14">
        <f ca="1"/>
      </c>
    </row>
    <row r="300" spans="28:63" x14ac:dyDescent="0.55000000000000004">
      <c r="AB300">
        <f ca="1"/>
      </c>
      <c r="AC300">
        <f ca="1"/>
      </c>
      <c r="AD300">
        <f ca="1"/>
      </c>
      <c r="AE300">
        <f ca="1"/>
      </c>
      <c r="AF300">
        <f ca="1"/>
      </c>
      <c r="AG300">
        <f ca="1"/>
      </c>
      <c r="AH300">
        <f ca="1"/>
      </c>
      <c r="AL300" s="7">
        <f ca="1"/>
      </c>
      <c r="AM300" s="14">
        <f ca="1"/>
      </c>
      <c r="AN300" s="14">
        <f ca="1"/>
      </c>
      <c r="AO300" s="14">
        <f ca="1"/>
      </c>
      <c r="AP300" s="14">
        <f ca="1"/>
      </c>
      <c r="AQ300" s="14">
        <f ca="1"/>
      </c>
      <c r="AR300" s="14">
        <f ca="1"/>
      </c>
      <c r="AV300" s="14">
        <f ca="1"/>
      </c>
      <c r="AW300" s="14">
        <f ca="1"/>
      </c>
      <c r="AX300" s="14">
        <f ca="1"/>
      </c>
      <c r="AY300" s="14">
        <f ca="1"/>
      </c>
      <c r="AZ300" s="14">
        <f ca="1"/>
      </c>
      <c r="BF300" s="7">
        <f ca="1"/>
      </c>
      <c r="BG300" s="14">
        <f ca="1"/>
      </c>
      <c r="BH300" s="14">
        <f ca="1"/>
      </c>
      <c r="BI300" s="14">
        <f ca="1"/>
      </c>
      <c r="BJ300" s="14">
        <f ca="1"/>
      </c>
      <c r="BK300" s="14">
        <f ca="1"/>
      </c>
    </row>
    <row r="301" spans="28:63" x14ac:dyDescent="0.55000000000000004">
      <c r="AB301">
        <f ca="1"/>
      </c>
      <c r="AC301">
        <f ca="1"/>
      </c>
      <c r="AD301">
        <f ca="1"/>
      </c>
      <c r="AE301">
        <f ca="1"/>
      </c>
      <c r="AF301">
        <f ca="1"/>
      </c>
      <c r="AG301">
        <f ca="1"/>
      </c>
      <c r="AH301">
        <f ca="1"/>
      </c>
      <c r="AL301" s="7">
        <f ca="1"/>
      </c>
      <c r="AM301" s="14">
        <f ca="1"/>
      </c>
      <c r="AN301" s="14">
        <f ca="1"/>
      </c>
      <c r="AO301" s="14">
        <f ca="1"/>
      </c>
      <c r="AP301" s="14">
        <f ca="1"/>
      </c>
      <c r="AQ301" s="14">
        <f ca="1"/>
      </c>
      <c r="AR301" s="14">
        <f ca="1"/>
      </c>
      <c r="AV301" s="14">
        <f ca="1"/>
      </c>
      <c r="AW301" s="14">
        <f ca="1"/>
      </c>
      <c r="AX301" s="14">
        <f ca="1"/>
      </c>
      <c r="AY301" s="14">
        <f ca="1"/>
      </c>
      <c r="AZ301" s="14">
        <f ca="1"/>
      </c>
      <c r="BF301" s="7">
        <f ca="1"/>
      </c>
      <c r="BG301" s="14">
        <f ca="1"/>
      </c>
      <c r="BH301" s="14">
        <f ca="1"/>
      </c>
      <c r="BI301" s="14">
        <f ca="1"/>
      </c>
      <c r="BJ301" s="14">
        <f ca="1"/>
      </c>
      <c r="BK301" s="14">
        <f ca="1"/>
      </c>
    </row>
    <row r="302" spans="28:63" x14ac:dyDescent="0.55000000000000004">
      <c r="AB302">
        <f ca="1"/>
      </c>
      <c r="AC302">
        <f ca="1"/>
      </c>
      <c r="AD302">
        <f ca="1"/>
      </c>
      <c r="AE302">
        <f ca="1"/>
      </c>
      <c r="AF302">
        <f ca="1"/>
      </c>
      <c r="AG302">
        <f ca="1"/>
      </c>
      <c r="AH302">
        <f ca="1"/>
      </c>
      <c r="AL302" s="7">
        <f ca="1"/>
      </c>
      <c r="AM302" s="14">
        <f ca="1"/>
      </c>
      <c r="AN302" s="14">
        <f ca="1"/>
      </c>
      <c r="AO302" s="14">
        <f ca="1"/>
      </c>
      <c r="AP302" s="14">
        <f ca="1"/>
      </c>
      <c r="AQ302" s="14">
        <f ca="1"/>
      </c>
      <c r="AR302" s="14">
        <f ca="1"/>
      </c>
      <c r="AV302" s="14">
        <f ca="1"/>
      </c>
      <c r="AW302" s="14">
        <f ca="1"/>
      </c>
      <c r="AX302" s="14">
        <f ca="1"/>
      </c>
      <c r="AY302" s="14">
        <f ca="1"/>
      </c>
      <c r="AZ302" s="14">
        <f ca="1"/>
      </c>
      <c r="BF302" s="7">
        <f ca="1"/>
      </c>
      <c r="BG302" s="14">
        <f ca="1"/>
      </c>
      <c r="BH302" s="14">
        <f ca="1"/>
      </c>
      <c r="BI302" s="14">
        <f ca="1"/>
      </c>
      <c r="BJ302" s="14">
        <f ca="1"/>
      </c>
      <c r="BK302" s="14">
        <f ca="1"/>
      </c>
    </row>
    <row r="303" spans="28:63" x14ac:dyDescent="0.55000000000000004">
      <c r="AB303">
        <f ca="1"/>
      </c>
      <c r="AC303">
        <f ca="1"/>
      </c>
      <c r="AD303">
        <f ca="1"/>
      </c>
      <c r="AE303">
        <f ca="1"/>
      </c>
      <c r="AF303">
        <f ca="1"/>
      </c>
      <c r="AG303">
        <f ca="1"/>
      </c>
      <c r="AH303">
        <f ca="1"/>
      </c>
      <c r="AL303" s="7">
        <f ca="1"/>
      </c>
      <c r="AM303" s="14">
        <f ca="1"/>
      </c>
      <c r="AN303" s="14">
        <f ca="1"/>
      </c>
      <c r="AO303" s="14">
        <f ca="1"/>
      </c>
      <c r="AP303" s="14">
        <f ca="1"/>
      </c>
      <c r="AQ303" s="14">
        <f ca="1"/>
      </c>
      <c r="AR303" s="14">
        <f ca="1"/>
      </c>
      <c r="AV303" s="14">
        <f ca="1"/>
      </c>
      <c r="AW303" s="14">
        <f ca="1"/>
      </c>
      <c r="AX303" s="14">
        <f ca="1"/>
      </c>
      <c r="AY303" s="14">
        <f ca="1"/>
      </c>
      <c r="AZ303" s="14">
        <f ca="1"/>
      </c>
      <c r="BF303" s="7">
        <f ca="1"/>
      </c>
      <c r="BG303" s="14">
        <f ca="1"/>
      </c>
      <c r="BH303" s="14">
        <f ca="1"/>
      </c>
      <c r="BI303" s="14">
        <f ca="1"/>
      </c>
      <c r="BJ303" s="14">
        <f ca="1"/>
      </c>
      <c r="BK303" s="14">
        <f ca="1"/>
      </c>
    </row>
    <row r="304" spans="28:63" x14ac:dyDescent="0.55000000000000004">
      <c r="AB304">
        <f ca="1"/>
      </c>
      <c r="AC304">
        <f ca="1"/>
      </c>
      <c r="AD304">
        <f ca="1"/>
      </c>
      <c r="AE304">
        <f ca="1"/>
      </c>
      <c r="AF304">
        <f ca="1"/>
      </c>
      <c r="AG304">
        <f ca="1"/>
      </c>
      <c r="AH304">
        <f ca="1"/>
      </c>
      <c r="AL304" s="7">
        <f ca="1"/>
      </c>
      <c r="AM304" s="14">
        <f ca="1"/>
      </c>
      <c r="AN304" s="14">
        <f ca="1"/>
      </c>
      <c r="AO304" s="14">
        <f ca="1"/>
      </c>
      <c r="AP304" s="14">
        <f ca="1"/>
      </c>
      <c r="AQ304" s="14">
        <f ca="1"/>
      </c>
      <c r="AR304" s="14">
        <f ca="1"/>
      </c>
      <c r="AV304" s="14">
        <f ca="1"/>
      </c>
      <c r="AW304" s="14">
        <f ca="1"/>
      </c>
      <c r="AX304" s="14">
        <f ca="1"/>
      </c>
      <c r="AY304" s="14">
        <f ca="1"/>
      </c>
      <c r="AZ304" s="14">
        <f ca="1"/>
      </c>
      <c r="BF304" s="7">
        <f ca="1"/>
      </c>
      <c r="BG304" s="14">
        <f ca="1"/>
      </c>
      <c r="BH304" s="14">
        <f ca="1"/>
      </c>
      <c r="BI304" s="14">
        <f ca="1"/>
      </c>
      <c r="BJ304" s="14">
        <f ca="1"/>
      </c>
      <c r="BK304" s="14">
        <f ca="1"/>
      </c>
    </row>
    <row r="305" spans="28:63" x14ac:dyDescent="0.55000000000000004">
      <c r="AB305">
        <f ca="1"/>
      </c>
      <c r="AC305">
        <f ca="1"/>
      </c>
      <c r="AD305">
        <f ca="1"/>
      </c>
      <c r="AE305">
        <f ca="1"/>
      </c>
      <c r="AF305">
        <f ca="1"/>
      </c>
      <c r="AG305">
        <f ca="1"/>
      </c>
      <c r="AH305">
        <f ca="1"/>
      </c>
      <c r="AL305" s="7">
        <f ca="1"/>
      </c>
      <c r="AM305" s="14">
        <f ca="1"/>
      </c>
      <c r="AN305" s="14">
        <f ca="1"/>
      </c>
      <c r="AO305" s="14">
        <f ca="1"/>
      </c>
      <c r="AP305" s="14">
        <f ca="1"/>
      </c>
      <c r="AQ305" s="14">
        <f ca="1"/>
      </c>
      <c r="AR305" s="14">
        <f ca="1"/>
      </c>
      <c r="AV305" s="14">
        <f ca="1"/>
      </c>
      <c r="AW305" s="14">
        <f ca="1"/>
      </c>
      <c r="AX305" s="14">
        <f ca="1"/>
      </c>
      <c r="AY305" s="14">
        <f ca="1"/>
      </c>
      <c r="AZ305" s="14">
        <f ca="1"/>
      </c>
      <c r="BF305" s="7">
        <f ca="1"/>
      </c>
      <c r="BG305" s="14">
        <f ca="1"/>
      </c>
      <c r="BH305" s="14">
        <f ca="1"/>
      </c>
      <c r="BI305" s="14">
        <f ca="1"/>
      </c>
      <c r="BJ305" s="14">
        <f ca="1"/>
      </c>
      <c r="BK305" s="14">
        <f ca="1"/>
      </c>
    </row>
    <row r="306" spans="28:63" x14ac:dyDescent="0.55000000000000004">
      <c r="AB306">
        <f ca="1"/>
      </c>
      <c r="AC306">
        <f ca="1"/>
      </c>
      <c r="AD306">
        <f ca="1"/>
      </c>
      <c r="AE306">
        <f ca="1"/>
      </c>
      <c r="AF306">
        <f ca="1"/>
      </c>
      <c r="AG306">
        <f ca="1"/>
      </c>
      <c r="AH306">
        <f ca="1"/>
      </c>
      <c r="AL306" s="7">
        <f ca="1"/>
      </c>
      <c r="AM306" s="14">
        <f ca="1"/>
      </c>
      <c r="AN306" s="14">
        <f ca="1"/>
      </c>
      <c r="AO306" s="14">
        <f ca="1"/>
      </c>
      <c r="AP306" s="14">
        <f ca="1"/>
      </c>
      <c r="AQ306" s="14">
        <f ca="1"/>
      </c>
      <c r="AR306" s="14">
        <f ca="1"/>
      </c>
      <c r="AV306" s="14">
        <f ca="1"/>
      </c>
      <c r="AW306" s="14">
        <f ca="1"/>
      </c>
      <c r="AX306" s="14">
        <f ca="1"/>
      </c>
      <c r="AY306" s="14">
        <f ca="1"/>
      </c>
      <c r="AZ306" s="14">
        <f ca="1"/>
      </c>
      <c r="BF306" s="7">
        <f ca="1"/>
      </c>
      <c r="BG306" s="14">
        <f ca="1"/>
      </c>
      <c r="BH306" s="14">
        <f ca="1"/>
      </c>
      <c r="BI306" s="14">
        <f ca="1"/>
      </c>
      <c r="BJ306" s="14">
        <f ca="1"/>
      </c>
      <c r="BK306" s="14">
        <f ca="1"/>
      </c>
    </row>
    <row r="307" spans="28:63" x14ac:dyDescent="0.55000000000000004">
      <c r="AB307">
        <f ca="1"/>
      </c>
      <c r="AC307">
        <f ca="1"/>
      </c>
      <c r="AD307">
        <f ca="1"/>
      </c>
      <c r="AE307">
        <f ca="1"/>
      </c>
      <c r="AF307">
        <f ca="1"/>
      </c>
      <c r="AG307">
        <f ca="1"/>
      </c>
      <c r="AH307">
        <f ca="1"/>
      </c>
      <c r="AL307" s="7">
        <f ca="1"/>
      </c>
      <c r="AM307" s="14">
        <f ca="1"/>
      </c>
      <c r="AN307" s="14">
        <f ca="1"/>
      </c>
      <c r="AO307" s="14">
        <f ca="1"/>
      </c>
      <c r="AP307" s="14">
        <f ca="1"/>
      </c>
      <c r="AQ307" s="14">
        <f ca="1"/>
      </c>
      <c r="AR307" s="14">
        <f ca="1"/>
      </c>
      <c r="AV307" s="14">
        <f ca="1"/>
      </c>
      <c r="AW307" s="14">
        <f ca="1"/>
      </c>
      <c r="AX307" s="14">
        <f ca="1"/>
      </c>
      <c r="AY307" s="14">
        <f ca="1"/>
      </c>
      <c r="AZ307" s="14">
        <f ca="1"/>
      </c>
      <c r="BF307" s="7">
        <f ca="1"/>
      </c>
      <c r="BG307" s="14">
        <f ca="1"/>
      </c>
      <c r="BH307" s="14">
        <f ca="1"/>
      </c>
      <c r="BI307" s="14">
        <f ca="1"/>
      </c>
      <c r="BJ307" s="14">
        <f ca="1"/>
      </c>
      <c r="BK307" s="14">
        <f ca="1"/>
      </c>
    </row>
    <row r="308" spans="28:63" x14ac:dyDescent="0.55000000000000004">
      <c r="AB308">
        <f ca="1"/>
      </c>
      <c r="AC308">
        <f ca="1"/>
      </c>
      <c r="AD308">
        <f ca="1"/>
      </c>
      <c r="AE308">
        <f ca="1"/>
      </c>
      <c r="AF308">
        <f ca="1"/>
      </c>
      <c r="AG308">
        <f ca="1"/>
      </c>
      <c r="AH308">
        <f ca="1"/>
      </c>
      <c r="AL308" s="7">
        <f ca="1"/>
      </c>
      <c r="AM308" s="14">
        <f ca="1"/>
      </c>
      <c r="AN308" s="14">
        <f ca="1"/>
      </c>
      <c r="AO308" s="14">
        <f ca="1"/>
      </c>
      <c r="AP308" s="14">
        <f ca="1"/>
      </c>
      <c r="AQ308" s="14">
        <f ca="1"/>
      </c>
      <c r="AR308" s="14">
        <f ca="1"/>
      </c>
      <c r="AV308" s="14">
        <f ca="1"/>
      </c>
      <c r="AW308" s="14">
        <f ca="1"/>
      </c>
      <c r="AX308" s="14">
        <f ca="1"/>
      </c>
      <c r="AY308" s="14">
        <f ca="1"/>
      </c>
      <c r="AZ308" s="14">
        <f ca="1"/>
      </c>
      <c r="BF308" s="7">
        <f ca="1"/>
      </c>
      <c r="BG308" s="14">
        <f ca="1"/>
      </c>
      <c r="BH308" s="14">
        <f ca="1"/>
      </c>
      <c r="BI308" s="14">
        <f ca="1"/>
      </c>
      <c r="BJ308" s="14">
        <f ca="1"/>
      </c>
      <c r="BK308" s="14">
        <f ca="1"/>
      </c>
    </row>
    <row r="309" spans="28:63" x14ac:dyDescent="0.55000000000000004">
      <c r="AB309">
        <f ca="1"/>
      </c>
      <c r="AC309">
        <f ca="1"/>
      </c>
      <c r="AD309">
        <f ca="1"/>
      </c>
      <c r="AE309">
        <f ca="1"/>
      </c>
      <c r="AF309">
        <f ca="1"/>
      </c>
      <c r="AG309">
        <f ca="1"/>
      </c>
      <c r="AH309">
        <f ca="1"/>
      </c>
      <c r="AL309" s="7">
        <f ca="1"/>
      </c>
      <c r="AM309" s="14">
        <f ca="1"/>
      </c>
      <c r="AN309" s="14">
        <f ca="1"/>
      </c>
      <c r="AO309" s="14">
        <f ca="1"/>
      </c>
      <c r="AP309" s="14">
        <f ca="1"/>
      </c>
      <c r="AQ309" s="14">
        <f ca="1"/>
      </c>
      <c r="AR309" s="14">
        <f ca="1"/>
      </c>
      <c r="AV309" s="14">
        <f ca="1"/>
      </c>
      <c r="AW309" s="14">
        <f ca="1"/>
      </c>
      <c r="AX309" s="14">
        <f ca="1"/>
      </c>
      <c r="AY309" s="14">
        <f ca="1"/>
      </c>
      <c r="AZ309" s="14">
        <f ca="1"/>
      </c>
      <c r="BF309" s="7">
        <f ca="1"/>
      </c>
      <c r="BG309" s="14">
        <f ca="1"/>
      </c>
      <c r="BH309" s="14">
        <f ca="1"/>
      </c>
      <c r="BI309" s="14">
        <f ca="1"/>
      </c>
      <c r="BJ309" s="14">
        <f ca="1"/>
      </c>
      <c r="BK309" s="14">
        <f ca="1"/>
      </c>
    </row>
    <row r="310" spans="28:63" x14ac:dyDescent="0.55000000000000004">
      <c r="AB310">
        <f ca="1"/>
      </c>
      <c r="AC310">
        <f ca="1"/>
      </c>
      <c r="AD310">
        <f ca="1"/>
      </c>
      <c r="AE310">
        <f ca="1"/>
      </c>
      <c r="AF310">
        <f ca="1"/>
      </c>
      <c r="AG310">
        <f ca="1"/>
      </c>
      <c r="AH310">
        <f ca="1"/>
      </c>
      <c r="AL310" s="7">
        <f ca="1"/>
      </c>
      <c r="AM310" s="14">
        <f ca="1"/>
      </c>
      <c r="AN310" s="14">
        <f ca="1"/>
      </c>
      <c r="AO310" s="14">
        <f ca="1"/>
      </c>
      <c r="AP310" s="14">
        <f ca="1"/>
      </c>
      <c r="AQ310" s="14">
        <f ca="1"/>
      </c>
      <c r="AR310" s="14">
        <f ca="1"/>
      </c>
      <c r="AV310" s="14">
        <f ca="1"/>
      </c>
      <c r="AW310" s="14">
        <f ca="1"/>
      </c>
      <c r="AX310" s="14">
        <f ca="1"/>
      </c>
      <c r="AY310" s="14">
        <f ca="1"/>
      </c>
      <c r="AZ310" s="14">
        <f ca="1"/>
      </c>
      <c r="BF310" s="7">
        <f ca="1"/>
      </c>
      <c r="BG310" s="14">
        <f ca="1"/>
      </c>
      <c r="BH310" s="14">
        <f ca="1"/>
      </c>
      <c r="BI310" s="14">
        <f ca="1"/>
      </c>
      <c r="BJ310" s="14">
        <f ca="1"/>
      </c>
      <c r="BK310" s="14">
        <f ca="1"/>
      </c>
    </row>
    <row r="311" spans="28:63" x14ac:dyDescent="0.55000000000000004">
      <c r="AB311">
        <f ca="1"/>
      </c>
      <c r="AC311">
        <f ca="1"/>
      </c>
      <c r="AD311">
        <f ca="1"/>
      </c>
      <c r="AE311">
        <f ca="1"/>
      </c>
      <c r="AF311">
        <f ca="1"/>
      </c>
      <c r="AG311">
        <f ca="1"/>
      </c>
      <c r="AH311">
        <f ca="1"/>
      </c>
      <c r="AL311" s="7">
        <f ca="1"/>
      </c>
      <c r="AM311" s="14">
        <f ca="1"/>
      </c>
      <c r="AN311" s="14">
        <f ca="1"/>
      </c>
      <c r="AO311" s="14">
        <f ca="1"/>
      </c>
      <c r="AP311" s="14">
        <f ca="1"/>
      </c>
      <c r="AQ311" s="14">
        <f ca="1"/>
      </c>
      <c r="AR311" s="14">
        <f ca="1"/>
      </c>
      <c r="AV311" s="14">
        <f ca="1"/>
      </c>
      <c r="AW311" s="14">
        <f ca="1"/>
      </c>
      <c r="AX311" s="14">
        <f ca="1"/>
      </c>
      <c r="AY311" s="14">
        <f ca="1"/>
      </c>
      <c r="AZ311" s="14">
        <f ca="1"/>
      </c>
      <c r="BF311" s="7">
        <f ca="1"/>
      </c>
      <c r="BG311" s="14">
        <f ca="1"/>
      </c>
      <c r="BH311" s="14">
        <f ca="1"/>
      </c>
      <c r="BI311" s="14">
        <f ca="1"/>
      </c>
      <c r="BJ311" s="14">
        <f ca="1"/>
      </c>
      <c r="BK311" s="14">
        <f ca="1"/>
      </c>
    </row>
    <row r="312" spans="28:63" x14ac:dyDescent="0.55000000000000004">
      <c r="AB312">
        <f ca="1"/>
      </c>
      <c r="AC312">
        <f ca="1"/>
      </c>
      <c r="AD312">
        <f ca="1"/>
      </c>
      <c r="AE312">
        <f ca="1"/>
      </c>
      <c r="AF312">
        <f ca="1"/>
      </c>
      <c r="AG312">
        <f ca="1"/>
      </c>
      <c r="AH312">
        <f ca="1"/>
      </c>
      <c r="AL312" s="7">
        <f ca="1"/>
      </c>
      <c r="AM312" s="14">
        <f ca="1"/>
      </c>
      <c r="AN312" s="14">
        <f ca="1"/>
      </c>
      <c r="AO312" s="14">
        <f ca="1"/>
      </c>
      <c r="AP312" s="14">
        <f ca="1"/>
      </c>
      <c r="AQ312" s="14">
        <f ca="1"/>
      </c>
      <c r="AR312" s="14">
        <f ca="1"/>
      </c>
      <c r="AV312" s="14">
        <f ca="1"/>
      </c>
      <c r="AW312" s="14">
        <f ca="1"/>
      </c>
      <c r="AX312" s="14">
        <f ca="1"/>
      </c>
      <c r="AY312" s="14">
        <f ca="1"/>
      </c>
      <c r="AZ312" s="14">
        <f ca="1"/>
      </c>
      <c r="BF312" s="7">
        <f ca="1"/>
      </c>
      <c r="BG312" s="14">
        <f ca="1"/>
      </c>
      <c r="BH312" s="14">
        <f ca="1"/>
      </c>
      <c r="BI312" s="14">
        <f ca="1"/>
      </c>
      <c r="BJ312" s="14">
        <f ca="1"/>
      </c>
      <c r="BK312" s="14">
        <f ca="1"/>
      </c>
    </row>
    <row r="313" spans="28:63" x14ac:dyDescent="0.55000000000000004">
      <c r="AB313">
        <f ca="1"/>
      </c>
      <c r="AC313">
        <f ca="1"/>
      </c>
      <c r="AD313">
        <f ca="1"/>
      </c>
      <c r="AE313">
        <f ca="1"/>
      </c>
      <c r="AF313">
        <f ca="1"/>
      </c>
      <c r="AG313">
        <f ca="1"/>
      </c>
      <c r="AH313">
        <f ca="1"/>
      </c>
      <c r="AL313" s="7">
        <f ca="1"/>
      </c>
      <c r="AM313" s="14">
        <f ca="1"/>
      </c>
      <c r="AN313" s="14">
        <f ca="1"/>
      </c>
      <c r="AO313" s="14">
        <f ca="1"/>
      </c>
      <c r="AP313" s="14">
        <f ca="1"/>
      </c>
      <c r="AQ313" s="14">
        <f ca="1"/>
      </c>
      <c r="AR313" s="14">
        <f ca="1"/>
      </c>
      <c r="AV313" s="14">
        <f ca="1"/>
      </c>
      <c r="AW313" s="14">
        <f ca="1"/>
      </c>
      <c r="AX313" s="14">
        <f ca="1"/>
      </c>
      <c r="AY313" s="14">
        <f ca="1"/>
      </c>
      <c r="AZ313" s="14">
        <f ca="1"/>
      </c>
      <c r="BF313" s="7">
        <f ca="1"/>
      </c>
      <c r="BG313" s="14">
        <f ca="1"/>
      </c>
      <c r="BH313" s="14">
        <f ca="1"/>
      </c>
      <c r="BI313" s="14">
        <f ca="1"/>
      </c>
      <c r="BJ313" s="14">
        <f ca="1"/>
      </c>
      <c r="BK313" s="14">
        <f ca="1"/>
      </c>
    </row>
    <row r="314" spans="28:63" x14ac:dyDescent="0.55000000000000004">
      <c r="AB314">
        <f ca="1"/>
      </c>
      <c r="AC314">
        <f ca="1"/>
      </c>
      <c r="AD314">
        <f ca="1"/>
      </c>
      <c r="AE314">
        <f ca="1"/>
      </c>
      <c r="AF314">
        <f ca="1"/>
      </c>
      <c r="AG314">
        <f ca="1"/>
      </c>
      <c r="AH314">
        <f ca="1"/>
      </c>
      <c r="AL314" s="7">
        <f ca="1"/>
      </c>
      <c r="AM314" s="14">
        <f ca="1"/>
      </c>
      <c r="AN314" s="14">
        <f ca="1"/>
      </c>
      <c r="AO314" s="14">
        <f ca="1"/>
      </c>
      <c r="AP314" s="14">
        <f ca="1"/>
      </c>
      <c r="AQ314" s="14">
        <f ca="1"/>
      </c>
      <c r="AR314" s="14">
        <f ca="1"/>
      </c>
      <c r="AV314" s="14">
        <f ca="1"/>
      </c>
      <c r="AW314" s="14">
        <f ca="1"/>
      </c>
      <c r="AX314" s="14">
        <f ca="1"/>
      </c>
      <c r="AY314" s="14">
        <f ca="1"/>
      </c>
      <c r="AZ314" s="14">
        <f ca="1"/>
      </c>
      <c r="BF314" s="7">
        <f ca="1"/>
      </c>
      <c r="BG314" s="14">
        <f ca="1"/>
      </c>
      <c r="BH314" s="14">
        <f ca="1"/>
      </c>
      <c r="BI314" s="14">
        <f ca="1"/>
      </c>
      <c r="BJ314" s="14">
        <f ca="1"/>
      </c>
      <c r="BK314" s="14">
        <f ca="1"/>
      </c>
    </row>
    <row r="315" spans="28:63" x14ac:dyDescent="0.55000000000000004">
      <c r="AB315">
        <f ca="1"/>
      </c>
      <c r="AC315">
        <f ca="1"/>
      </c>
      <c r="AD315">
        <f ca="1"/>
      </c>
      <c r="AE315">
        <f ca="1"/>
      </c>
      <c r="AF315">
        <f ca="1"/>
      </c>
      <c r="AG315">
        <f ca="1"/>
      </c>
      <c r="AH315">
        <f ca="1"/>
      </c>
      <c r="AL315" s="7">
        <f ca="1"/>
      </c>
      <c r="AM315" s="14">
        <f ca="1"/>
      </c>
      <c r="AN315" s="14">
        <f ca="1"/>
      </c>
      <c r="AO315" s="14">
        <f ca="1"/>
      </c>
      <c r="AP315" s="14">
        <f ca="1"/>
      </c>
      <c r="AQ315" s="14">
        <f ca="1"/>
      </c>
      <c r="AR315" s="14">
        <f ca="1"/>
      </c>
      <c r="AV315" s="14">
        <f ca="1"/>
      </c>
      <c r="AW315" s="14">
        <f ca="1"/>
      </c>
      <c r="AX315" s="14">
        <f ca="1"/>
      </c>
      <c r="AY315" s="14">
        <f ca="1"/>
      </c>
      <c r="AZ315" s="14">
        <f ca="1"/>
      </c>
      <c r="BF315" s="7">
        <f ca="1"/>
      </c>
      <c r="BG315" s="14">
        <f ca="1"/>
      </c>
      <c r="BH315" s="14">
        <f ca="1"/>
      </c>
      <c r="BI315" s="14">
        <f ca="1"/>
      </c>
      <c r="BJ315" s="14">
        <f ca="1"/>
      </c>
      <c r="BK315" s="14">
        <f ca="1"/>
      </c>
    </row>
    <row r="316" spans="28:63" x14ac:dyDescent="0.55000000000000004">
      <c r="AB316">
        <f ca="1"/>
      </c>
      <c r="AC316">
        <f ca="1"/>
      </c>
      <c r="AD316">
        <f ca="1"/>
      </c>
      <c r="AE316">
        <f ca="1"/>
      </c>
      <c r="AF316">
        <f ca="1"/>
      </c>
      <c r="AG316">
        <f ca="1"/>
      </c>
      <c r="AH316">
        <f ca="1"/>
      </c>
      <c r="AL316" s="7">
        <f ca="1"/>
      </c>
      <c r="AM316" s="14">
        <f ca="1"/>
      </c>
      <c r="AN316" s="14">
        <f ca="1"/>
      </c>
      <c r="AO316" s="14">
        <f ca="1"/>
      </c>
      <c r="AP316" s="14">
        <f ca="1"/>
      </c>
      <c r="AQ316" s="14">
        <f ca="1"/>
      </c>
      <c r="AR316" s="14">
        <f ca="1"/>
      </c>
      <c r="AV316" s="14">
        <f ca="1"/>
      </c>
      <c r="AW316" s="14">
        <f ca="1"/>
      </c>
      <c r="AX316" s="14">
        <f ca="1"/>
      </c>
      <c r="AY316" s="14">
        <f ca="1"/>
      </c>
      <c r="AZ316" s="14">
        <f ca="1"/>
      </c>
      <c r="BF316" s="7">
        <f ca="1"/>
      </c>
      <c r="BG316" s="14">
        <f ca="1"/>
      </c>
      <c r="BH316" s="14">
        <f ca="1"/>
      </c>
      <c r="BI316" s="14">
        <f ca="1"/>
      </c>
      <c r="BJ316" s="14">
        <f ca="1"/>
      </c>
      <c r="BK316" s="14">
        <f ca="1"/>
      </c>
    </row>
    <row r="317" spans="28:63" x14ac:dyDescent="0.55000000000000004">
      <c r="AB317">
        <f ca="1"/>
      </c>
      <c r="AC317">
        <f ca="1"/>
      </c>
      <c r="AD317">
        <f ca="1"/>
      </c>
      <c r="AE317">
        <f ca="1"/>
      </c>
      <c r="AF317">
        <f ca="1"/>
      </c>
      <c r="AG317">
        <f ca="1"/>
      </c>
      <c r="AH317">
        <f ca="1"/>
      </c>
      <c r="AL317" s="7">
        <f ca="1"/>
      </c>
      <c r="AM317" s="14">
        <f ca="1"/>
      </c>
      <c r="AN317" s="14">
        <f ca="1"/>
      </c>
      <c r="AO317" s="14">
        <f ca="1"/>
      </c>
      <c r="AP317" s="14">
        <f ca="1"/>
      </c>
      <c r="AQ317" s="14">
        <f ca="1"/>
      </c>
      <c r="AR317" s="14">
        <f ca="1"/>
      </c>
      <c r="AV317" s="14">
        <f ca="1"/>
      </c>
      <c r="AW317" s="14">
        <f ca="1"/>
      </c>
      <c r="AX317" s="14">
        <f ca="1"/>
      </c>
      <c r="AY317" s="14">
        <f ca="1"/>
      </c>
      <c r="AZ317" s="14">
        <f ca="1"/>
      </c>
      <c r="BF317" s="7">
        <f ca="1"/>
      </c>
      <c r="BG317" s="14">
        <f ca="1"/>
      </c>
      <c r="BH317" s="14">
        <f ca="1"/>
      </c>
      <c r="BI317" s="14">
        <f ca="1"/>
      </c>
      <c r="BJ317" s="14">
        <f ca="1"/>
      </c>
      <c r="BK317" s="14">
        <f ca="1"/>
      </c>
    </row>
    <row r="318" spans="28:63" x14ac:dyDescent="0.55000000000000004">
      <c r="AB318">
        <f ca="1"/>
      </c>
      <c r="AC318">
        <f ca="1"/>
      </c>
      <c r="AD318">
        <f ca="1"/>
      </c>
      <c r="AE318">
        <f ca="1"/>
      </c>
      <c r="AF318">
        <f ca="1"/>
      </c>
      <c r="AG318">
        <f ca="1"/>
      </c>
      <c r="AH318">
        <f ca="1"/>
      </c>
      <c r="AL318" s="7">
        <f ca="1"/>
      </c>
      <c r="AM318" s="14">
        <f ca="1"/>
      </c>
      <c r="AN318" s="14">
        <f ca="1"/>
      </c>
      <c r="AO318" s="14">
        <f ca="1"/>
      </c>
      <c r="AP318" s="14">
        <f ca="1"/>
      </c>
      <c r="AQ318" s="14">
        <f ca="1"/>
      </c>
      <c r="AR318" s="14">
        <f ca="1"/>
      </c>
      <c r="AV318" s="14">
        <f ca="1"/>
      </c>
      <c r="AW318" s="14">
        <f ca="1"/>
      </c>
      <c r="AX318" s="14">
        <f ca="1"/>
      </c>
      <c r="AY318" s="14">
        <f ca="1"/>
      </c>
      <c r="AZ318" s="14">
        <f ca="1"/>
      </c>
      <c r="BF318" s="7">
        <f ca="1"/>
      </c>
      <c r="BG318" s="14">
        <f ca="1"/>
      </c>
      <c r="BH318" s="14">
        <f ca="1"/>
      </c>
      <c r="BI318" s="14">
        <f ca="1"/>
      </c>
      <c r="BJ318" s="14">
        <f ca="1"/>
      </c>
      <c r="BK318" s="14">
        <f ca="1"/>
      </c>
    </row>
    <row r="319" spans="28:63" x14ac:dyDescent="0.55000000000000004">
      <c r="AB319">
        <f ca="1"/>
      </c>
      <c r="AC319">
        <f ca="1"/>
      </c>
      <c r="AD319">
        <f ca="1"/>
      </c>
      <c r="AE319">
        <f ca="1"/>
      </c>
      <c r="AF319">
        <f ca="1"/>
      </c>
      <c r="AG319">
        <f ca="1"/>
      </c>
      <c r="AH319">
        <f ca="1"/>
      </c>
      <c r="AL319" s="7">
        <f ca="1"/>
      </c>
      <c r="AM319" s="14">
        <f ca="1"/>
      </c>
      <c r="AN319" s="14">
        <f ca="1"/>
      </c>
      <c r="AO319" s="14">
        <f ca="1"/>
      </c>
      <c r="AP319" s="14">
        <f ca="1"/>
      </c>
      <c r="AQ319" s="14">
        <f ca="1"/>
      </c>
      <c r="AR319" s="14">
        <f ca="1"/>
      </c>
      <c r="AV319" s="14">
        <f ca="1"/>
      </c>
      <c r="AW319" s="14">
        <f ca="1"/>
      </c>
      <c r="AX319" s="14">
        <f ca="1"/>
      </c>
      <c r="AY319" s="14">
        <f ca="1"/>
      </c>
      <c r="AZ319" s="14">
        <f ca="1"/>
      </c>
      <c r="BF319" s="7">
        <f ca="1"/>
      </c>
      <c r="BG319" s="14">
        <f ca="1"/>
      </c>
      <c r="BH319" s="14">
        <f ca="1"/>
      </c>
      <c r="BI319" s="14">
        <f ca="1"/>
      </c>
      <c r="BJ319" s="14">
        <f ca="1"/>
      </c>
      <c r="BK319" s="14">
        <f ca="1"/>
      </c>
    </row>
    <row r="320" spans="28:63" x14ac:dyDescent="0.55000000000000004">
      <c r="AB320">
        <f ca="1"/>
      </c>
      <c r="AC320">
        <f ca="1"/>
      </c>
      <c r="AD320">
        <f ca="1"/>
      </c>
      <c r="AE320">
        <f ca="1"/>
      </c>
      <c r="AF320">
        <f ca="1"/>
      </c>
      <c r="AG320">
        <f ca="1"/>
      </c>
      <c r="AH320">
        <f ca="1"/>
      </c>
      <c r="AL320" s="7">
        <f ca="1"/>
      </c>
      <c r="AM320" s="14">
        <f ca="1"/>
      </c>
      <c r="AN320" s="14">
        <f ca="1"/>
      </c>
      <c r="AO320" s="14">
        <f ca="1"/>
      </c>
      <c r="AP320" s="14">
        <f ca="1"/>
      </c>
      <c r="AQ320" s="14">
        <f ca="1"/>
      </c>
      <c r="AR320" s="14">
        <f ca="1"/>
      </c>
      <c r="AV320" s="14">
        <f ca="1"/>
      </c>
      <c r="AW320" s="14">
        <f ca="1"/>
      </c>
      <c r="AX320" s="14">
        <f ca="1"/>
      </c>
      <c r="AY320" s="14">
        <f ca="1"/>
      </c>
      <c r="AZ320" s="14">
        <f ca="1"/>
      </c>
      <c r="BF320" s="7">
        <f ca="1"/>
      </c>
      <c r="BG320" s="14">
        <f ca="1"/>
      </c>
      <c r="BH320" s="14">
        <f ca="1"/>
      </c>
      <c r="BI320" s="14">
        <f ca="1"/>
      </c>
      <c r="BJ320" s="14">
        <f ca="1"/>
      </c>
      <c r="BK320" s="14">
        <f ca="1"/>
      </c>
    </row>
    <row r="321" spans="28:63" x14ac:dyDescent="0.55000000000000004">
      <c r="AB321">
        <f ca="1"/>
      </c>
      <c r="AC321">
        <f ca="1"/>
      </c>
      <c r="AD321">
        <f ca="1"/>
      </c>
      <c r="AE321">
        <f ca="1"/>
      </c>
      <c r="AF321">
        <f ca="1"/>
      </c>
      <c r="AG321">
        <f ca="1"/>
      </c>
      <c r="AH321">
        <f ca="1"/>
      </c>
      <c r="AL321" s="7">
        <f ca="1"/>
      </c>
      <c r="AM321" s="14">
        <f ca="1"/>
      </c>
      <c r="AN321" s="14">
        <f ca="1"/>
      </c>
      <c r="AO321" s="14">
        <f ca="1"/>
      </c>
      <c r="AP321" s="14">
        <f ca="1"/>
      </c>
      <c r="AQ321" s="14">
        <f ca="1"/>
      </c>
      <c r="AR321" s="14">
        <f ca="1"/>
      </c>
      <c r="AV321" s="14">
        <f ca="1"/>
      </c>
      <c r="AW321" s="14">
        <f ca="1"/>
      </c>
      <c r="AX321" s="14">
        <f ca="1"/>
      </c>
      <c r="AY321" s="14">
        <f ca="1"/>
      </c>
      <c r="AZ321" s="14">
        <f ca="1"/>
      </c>
      <c r="BF321" s="7">
        <f ca="1"/>
      </c>
      <c r="BG321" s="14">
        <f ca="1"/>
      </c>
      <c r="BH321" s="14">
        <f ca="1"/>
      </c>
      <c r="BI321" s="14">
        <f ca="1"/>
      </c>
      <c r="BJ321" s="14">
        <f ca="1"/>
      </c>
      <c r="BK321" s="14">
        <f ca="1"/>
      </c>
    </row>
    <row r="322" spans="28:63" x14ac:dyDescent="0.55000000000000004">
      <c r="AB322">
        <f ca="1"/>
      </c>
      <c r="AC322">
        <f ca="1"/>
      </c>
      <c r="AD322">
        <f ca="1"/>
      </c>
      <c r="AE322">
        <f ca="1"/>
      </c>
      <c r="AF322">
        <f ca="1"/>
      </c>
      <c r="AG322">
        <f ca="1"/>
      </c>
      <c r="AH322">
        <f ca="1"/>
      </c>
      <c r="AL322" s="7">
        <f ca="1"/>
      </c>
      <c r="AM322" s="14">
        <f ca="1"/>
      </c>
      <c r="AN322" s="14">
        <f ca="1"/>
      </c>
      <c r="AO322" s="14">
        <f ca="1"/>
      </c>
      <c r="AP322" s="14">
        <f ca="1"/>
      </c>
      <c r="AQ322" s="14">
        <f ca="1"/>
      </c>
      <c r="AR322" s="14">
        <f ca="1"/>
      </c>
      <c r="AV322" s="14">
        <f ca="1"/>
      </c>
      <c r="AW322" s="14">
        <f ca="1"/>
      </c>
      <c r="AX322" s="14">
        <f ca="1"/>
      </c>
      <c r="AY322" s="14">
        <f ca="1"/>
      </c>
      <c r="AZ322" s="14">
        <f ca="1"/>
      </c>
      <c r="BF322" s="7">
        <f ca="1"/>
      </c>
      <c r="BG322" s="14">
        <f ca="1"/>
      </c>
      <c r="BH322" s="14">
        <f ca="1"/>
      </c>
      <c r="BI322" s="14">
        <f ca="1"/>
      </c>
      <c r="BJ322" s="14">
        <f ca="1"/>
      </c>
      <c r="BK322" s="14">
        <f ca="1"/>
      </c>
    </row>
    <row r="323" spans="28:63" x14ac:dyDescent="0.55000000000000004">
      <c r="AB323">
        <f ca="1"/>
      </c>
      <c r="AC323">
        <f ca="1"/>
      </c>
      <c r="AD323">
        <f ca="1"/>
      </c>
      <c r="AE323">
        <f ca="1"/>
      </c>
      <c r="AF323">
        <f ca="1"/>
      </c>
      <c r="AG323">
        <f ca="1"/>
      </c>
      <c r="AH323">
        <f ca="1"/>
      </c>
      <c r="AL323" s="7">
        <f ca="1"/>
      </c>
      <c r="AM323" s="14">
        <f ca="1"/>
      </c>
      <c r="AN323" s="14">
        <f ca="1"/>
      </c>
      <c r="AO323" s="14">
        <f ca="1"/>
      </c>
      <c r="AP323" s="14">
        <f ca="1"/>
      </c>
      <c r="AQ323" s="14">
        <f ca="1"/>
      </c>
      <c r="AR323" s="14">
        <f ca="1"/>
      </c>
      <c r="AV323" s="14">
        <f ca="1"/>
      </c>
      <c r="AW323" s="14">
        <f ca="1"/>
      </c>
      <c r="AX323" s="14">
        <f ca="1"/>
      </c>
      <c r="AY323" s="14">
        <f ca="1"/>
      </c>
      <c r="AZ323" s="14">
        <f ca="1"/>
      </c>
      <c r="BF323" s="7">
        <f ca="1"/>
      </c>
      <c r="BG323" s="14">
        <f ca="1"/>
      </c>
      <c r="BH323" s="14">
        <f ca="1"/>
      </c>
      <c r="BI323" s="14">
        <f ca="1"/>
      </c>
      <c r="BJ323" s="14">
        <f ca="1"/>
      </c>
      <c r="BK323" s="14">
        <f ca="1"/>
      </c>
    </row>
    <row r="324" spans="28:63" x14ac:dyDescent="0.55000000000000004">
      <c r="AB324">
        <f ca="1"/>
      </c>
      <c r="AC324">
        <f ca="1"/>
      </c>
      <c r="AD324">
        <f ca="1"/>
      </c>
      <c r="AE324">
        <f ca="1"/>
      </c>
      <c r="AF324">
        <f ca="1"/>
      </c>
      <c r="AG324">
        <f ca="1"/>
      </c>
      <c r="AH324">
        <f ca="1"/>
      </c>
      <c r="AL324" s="7">
        <f ca="1"/>
      </c>
      <c r="AM324" s="14">
        <f ca="1"/>
      </c>
      <c r="AN324" s="14">
        <f ca="1"/>
      </c>
      <c r="AO324" s="14">
        <f ca="1"/>
      </c>
      <c r="AP324" s="14">
        <f ca="1"/>
      </c>
      <c r="AQ324" s="14">
        <f ca="1"/>
      </c>
      <c r="AR324" s="14">
        <f ca="1"/>
      </c>
      <c r="AV324" s="14">
        <f ca="1"/>
      </c>
      <c r="AW324" s="14">
        <f ca="1"/>
      </c>
      <c r="AX324" s="14">
        <f ca="1"/>
      </c>
      <c r="AY324" s="14">
        <f ca="1"/>
      </c>
      <c r="AZ324" s="14">
        <f ca="1"/>
      </c>
      <c r="BF324" s="7">
        <f ca="1"/>
      </c>
      <c r="BG324" s="14">
        <f ca="1"/>
      </c>
      <c r="BH324" s="14">
        <f ca="1"/>
      </c>
      <c r="BI324" s="14">
        <f ca="1"/>
      </c>
      <c r="BJ324" s="14">
        <f ca="1"/>
      </c>
      <c r="BK324" s="14">
        <f ca="1"/>
      </c>
    </row>
    <row r="325" spans="28:63" x14ac:dyDescent="0.55000000000000004">
      <c r="AB325">
        <f ca="1"/>
      </c>
      <c r="AC325">
        <f ca="1"/>
      </c>
      <c r="AD325">
        <f ca="1"/>
      </c>
      <c r="AE325">
        <f ca="1"/>
      </c>
      <c r="AF325">
        <f ca="1"/>
      </c>
      <c r="AG325">
        <f ca="1"/>
      </c>
      <c r="AH325">
        <f ca="1"/>
      </c>
      <c r="AL325" s="7">
        <f ca="1"/>
      </c>
      <c r="AM325" s="14">
        <f ca="1"/>
      </c>
      <c r="AN325" s="14">
        <f ca="1"/>
      </c>
      <c r="AO325" s="14">
        <f ca="1"/>
      </c>
      <c r="AP325" s="14">
        <f ca="1"/>
      </c>
      <c r="AQ325" s="14">
        <f ca="1"/>
      </c>
      <c r="AR325" s="14">
        <f ca="1"/>
      </c>
      <c r="AV325" s="14">
        <f ca="1"/>
      </c>
      <c r="AW325" s="14">
        <f ca="1"/>
      </c>
      <c r="AX325" s="14">
        <f ca="1"/>
      </c>
      <c r="AY325" s="14">
        <f ca="1"/>
      </c>
      <c r="AZ325" s="14">
        <f ca="1"/>
      </c>
      <c r="BF325" s="7">
        <f ca="1"/>
      </c>
      <c r="BG325" s="14">
        <f ca="1"/>
      </c>
      <c r="BH325" s="14">
        <f ca="1"/>
      </c>
      <c r="BI325" s="14">
        <f ca="1"/>
      </c>
      <c r="BJ325" s="14">
        <f ca="1"/>
      </c>
      <c r="BK325" s="14">
        <f ca="1"/>
      </c>
    </row>
    <row r="326" spans="28:63" x14ac:dyDescent="0.55000000000000004">
      <c r="AB326">
        <f ca="1"/>
      </c>
      <c r="AC326">
        <f ca="1"/>
      </c>
      <c r="AD326">
        <f ca="1"/>
      </c>
      <c r="AE326">
        <f ca="1"/>
      </c>
      <c r="AF326">
        <f ca="1"/>
      </c>
      <c r="AG326">
        <f ca="1"/>
      </c>
      <c r="AH326">
        <f ca="1"/>
      </c>
      <c r="AL326" s="7">
        <f ca="1"/>
      </c>
      <c r="AM326" s="14">
        <f ca="1"/>
      </c>
      <c r="AN326" s="14">
        <f ca="1"/>
      </c>
      <c r="AO326" s="14">
        <f ca="1"/>
      </c>
      <c r="AP326" s="14">
        <f ca="1"/>
      </c>
      <c r="AQ326" s="14">
        <f ca="1"/>
      </c>
      <c r="AR326" s="14">
        <f ca="1"/>
      </c>
      <c r="AV326" s="14">
        <f ca="1"/>
      </c>
      <c r="AW326" s="14">
        <f ca="1"/>
      </c>
      <c r="AX326" s="14">
        <f ca="1"/>
      </c>
      <c r="AY326" s="14">
        <f ca="1"/>
      </c>
      <c r="AZ326" s="14">
        <f ca="1"/>
      </c>
      <c r="BF326" s="7">
        <f ca="1"/>
      </c>
      <c r="BG326" s="14">
        <f ca="1"/>
      </c>
      <c r="BH326" s="14">
        <f ca="1"/>
      </c>
      <c r="BI326" s="14">
        <f ca="1"/>
      </c>
      <c r="BJ326" s="14">
        <f ca="1"/>
      </c>
      <c r="BK326" s="14">
        <f ca="1"/>
      </c>
    </row>
    <row r="327" spans="28:63" x14ac:dyDescent="0.55000000000000004">
      <c r="AB327">
        <f ca="1"/>
      </c>
      <c r="AC327">
        <f ca="1"/>
      </c>
      <c r="AD327">
        <f ca="1"/>
      </c>
      <c r="AE327">
        <f ca="1"/>
      </c>
      <c r="AF327">
        <f ca="1"/>
      </c>
      <c r="AG327">
        <f ca="1"/>
      </c>
      <c r="AH327">
        <f ca="1"/>
      </c>
      <c r="AL327" s="7">
        <f ca="1"/>
      </c>
      <c r="AM327" s="14">
        <f ca="1"/>
      </c>
      <c r="AN327" s="14">
        <f ca="1"/>
      </c>
      <c r="AO327" s="14">
        <f ca="1"/>
      </c>
      <c r="AP327" s="14">
        <f ca="1"/>
      </c>
      <c r="AQ327" s="14">
        <f ca="1"/>
      </c>
      <c r="AR327" s="14">
        <f ca="1"/>
      </c>
      <c r="AV327" s="14">
        <f ca="1"/>
      </c>
      <c r="AW327" s="14">
        <f ca="1"/>
      </c>
      <c r="AX327" s="14">
        <f ca="1"/>
      </c>
      <c r="AY327" s="14">
        <f ca="1"/>
      </c>
      <c r="AZ327" s="14">
        <f ca="1"/>
      </c>
      <c r="BF327" s="7">
        <f ca="1"/>
      </c>
      <c r="BG327" s="14">
        <f ca="1"/>
      </c>
      <c r="BH327" s="14">
        <f ca="1"/>
      </c>
      <c r="BI327" s="14">
        <f ca="1"/>
      </c>
      <c r="BJ327" s="14">
        <f ca="1"/>
      </c>
      <c r="BK327" s="14">
        <f ca="1"/>
      </c>
    </row>
    <row r="328" spans="28:63" x14ac:dyDescent="0.55000000000000004">
      <c r="AB328">
        <f ca="1"/>
      </c>
      <c r="AC328">
        <f ca="1"/>
      </c>
      <c r="AD328">
        <f ca="1"/>
      </c>
      <c r="AE328">
        <f ca="1"/>
      </c>
      <c r="AF328">
        <f ca="1"/>
      </c>
      <c r="AG328">
        <f ca="1"/>
      </c>
      <c r="AH328">
        <f ca="1"/>
      </c>
      <c r="AL328" s="7">
        <f ca="1"/>
      </c>
      <c r="AM328" s="14">
        <f ca="1"/>
      </c>
      <c r="AN328" s="14">
        <f ca="1"/>
      </c>
      <c r="AO328" s="14">
        <f ca="1"/>
      </c>
      <c r="AP328" s="14">
        <f ca="1"/>
      </c>
      <c r="AQ328" s="14">
        <f ca="1"/>
      </c>
      <c r="AR328" s="14">
        <f ca="1"/>
      </c>
      <c r="AV328" s="14">
        <f ca="1"/>
      </c>
      <c r="AW328" s="14">
        <f ca="1"/>
      </c>
      <c r="AX328" s="14">
        <f ca="1"/>
      </c>
      <c r="AY328" s="14">
        <f ca="1"/>
      </c>
      <c r="AZ328" s="14">
        <f ca="1"/>
      </c>
      <c r="BF328" s="7">
        <f ca="1"/>
      </c>
      <c r="BG328" s="14">
        <f ca="1"/>
      </c>
      <c r="BH328" s="14">
        <f ca="1"/>
      </c>
      <c r="BI328" s="14">
        <f ca="1"/>
      </c>
      <c r="BJ328" s="14">
        <f ca="1"/>
      </c>
      <c r="BK328" s="14">
        <f ca="1"/>
      </c>
    </row>
    <row r="329" spans="28:63" x14ac:dyDescent="0.55000000000000004">
      <c r="AB329">
        <f ca="1"/>
      </c>
      <c r="AC329">
        <f ca="1"/>
      </c>
      <c r="AD329">
        <f ca="1"/>
      </c>
      <c r="AE329">
        <f ca="1"/>
      </c>
      <c r="AF329">
        <f ca="1"/>
      </c>
      <c r="AG329">
        <f ca="1"/>
      </c>
      <c r="AH329">
        <f ca="1"/>
      </c>
      <c r="AL329" s="7">
        <f ca="1"/>
      </c>
      <c r="AM329" s="14">
        <f ca="1"/>
      </c>
      <c r="AN329" s="14">
        <f ca="1"/>
      </c>
      <c r="AO329" s="14">
        <f ca="1"/>
      </c>
      <c r="AP329" s="14">
        <f ca="1"/>
      </c>
      <c r="AQ329" s="14">
        <f ca="1"/>
      </c>
      <c r="AR329" s="14">
        <f ca="1"/>
      </c>
      <c r="AV329" s="14">
        <f ca="1"/>
      </c>
      <c r="AW329" s="14">
        <f ca="1"/>
      </c>
      <c r="AX329" s="14">
        <f ca="1"/>
      </c>
      <c r="AY329" s="14">
        <f ca="1"/>
      </c>
      <c r="AZ329" s="14">
        <f ca="1"/>
      </c>
      <c r="BF329" s="7">
        <f ca="1"/>
      </c>
      <c r="BG329" s="14">
        <f ca="1"/>
      </c>
      <c r="BH329" s="14">
        <f ca="1"/>
      </c>
      <c r="BI329" s="14">
        <f ca="1"/>
      </c>
      <c r="BJ329" s="14">
        <f ca="1"/>
      </c>
      <c r="BK329" s="14">
        <f ca="1"/>
      </c>
    </row>
    <row r="330" spans="28:63" x14ac:dyDescent="0.55000000000000004">
      <c r="AB330">
        <f ca="1"/>
      </c>
      <c r="AC330">
        <f ca="1"/>
      </c>
      <c r="AD330">
        <f ca="1"/>
      </c>
      <c r="AE330">
        <f ca="1"/>
      </c>
      <c r="AF330">
        <f ca="1"/>
      </c>
      <c r="AG330">
        <f ca="1"/>
      </c>
      <c r="AH330">
        <f ca="1"/>
      </c>
      <c r="AL330" s="7">
        <f ca="1"/>
      </c>
      <c r="AM330" s="14">
        <f ca="1"/>
      </c>
      <c r="AN330" s="14">
        <f ca="1"/>
      </c>
      <c r="AO330" s="14">
        <f ca="1"/>
      </c>
      <c r="AP330" s="14">
        <f ca="1"/>
      </c>
      <c r="AQ330" s="14">
        <f ca="1"/>
      </c>
      <c r="AR330" s="14">
        <f ca="1"/>
      </c>
      <c r="AV330" s="14">
        <f ca="1"/>
      </c>
      <c r="AW330" s="14">
        <f ca="1"/>
      </c>
      <c r="AX330" s="14">
        <f ca="1"/>
      </c>
      <c r="AY330" s="14">
        <f ca="1"/>
      </c>
      <c r="AZ330" s="14">
        <f ca="1"/>
      </c>
      <c r="BF330" s="7">
        <f ca="1"/>
      </c>
      <c r="BG330" s="14">
        <f ca="1"/>
      </c>
      <c r="BH330" s="14">
        <f ca="1"/>
      </c>
      <c r="BI330" s="14">
        <f ca="1"/>
      </c>
      <c r="BJ330" s="14">
        <f ca="1"/>
      </c>
      <c r="BK330" s="14">
        <f ca="1"/>
      </c>
    </row>
    <row r="331" spans="28:63" x14ac:dyDescent="0.55000000000000004">
      <c r="AB331">
        <f ca="1"/>
      </c>
      <c r="AC331">
        <f ca="1"/>
      </c>
      <c r="AD331">
        <f ca="1"/>
      </c>
      <c r="AE331">
        <f ca="1"/>
      </c>
      <c r="AF331">
        <f ca="1"/>
      </c>
      <c r="AG331">
        <f ca="1"/>
      </c>
      <c r="AH331">
        <f ca="1"/>
      </c>
      <c r="AL331" s="7">
        <f ca="1"/>
      </c>
      <c r="AM331" s="14">
        <f ca="1"/>
      </c>
      <c r="AN331" s="14">
        <f ca="1"/>
      </c>
      <c r="AO331" s="14">
        <f ca="1"/>
      </c>
      <c r="AP331" s="14">
        <f ca="1"/>
      </c>
      <c r="AQ331" s="14">
        <f ca="1"/>
      </c>
      <c r="AR331" s="14">
        <f ca="1"/>
      </c>
      <c r="AV331" s="14">
        <f ca="1"/>
      </c>
      <c r="AW331" s="14">
        <f ca="1"/>
      </c>
      <c r="AX331" s="14">
        <f ca="1"/>
      </c>
      <c r="AY331" s="14">
        <f ca="1"/>
      </c>
      <c r="AZ331" s="14">
        <f ca="1"/>
      </c>
      <c r="BF331" s="7">
        <f ca="1"/>
      </c>
      <c r="BG331" s="14">
        <f ca="1"/>
      </c>
      <c r="BH331" s="14">
        <f ca="1"/>
      </c>
      <c r="BI331" s="14">
        <f ca="1"/>
      </c>
      <c r="BJ331" s="14">
        <f ca="1"/>
      </c>
      <c r="BK331" s="14">
        <f ca="1"/>
      </c>
    </row>
    <row r="332" spans="28:63" x14ac:dyDescent="0.55000000000000004">
      <c r="AB332">
        <f ca="1"/>
      </c>
      <c r="AC332">
        <f ca="1"/>
      </c>
      <c r="AD332">
        <f ca="1"/>
      </c>
      <c r="AE332">
        <f ca="1"/>
      </c>
      <c r="AF332">
        <f ca="1"/>
      </c>
      <c r="AG332">
        <f ca="1"/>
      </c>
      <c r="AH332">
        <f ca="1"/>
      </c>
      <c r="AL332" s="7">
        <f ca="1"/>
      </c>
      <c r="AM332" s="14">
        <f ca="1"/>
      </c>
      <c r="AN332" s="14">
        <f ca="1"/>
      </c>
      <c r="AO332" s="14">
        <f ca="1"/>
      </c>
      <c r="AP332" s="14">
        <f ca="1"/>
      </c>
      <c r="AQ332" s="14">
        <f ca="1"/>
      </c>
      <c r="AR332" s="14">
        <f ca="1"/>
      </c>
      <c r="AV332" s="14">
        <f ca="1"/>
      </c>
      <c r="AW332" s="14">
        <f ca="1"/>
      </c>
      <c r="AX332" s="14">
        <f ca="1"/>
      </c>
      <c r="AY332" s="14">
        <f ca="1"/>
      </c>
      <c r="AZ332" s="14">
        <f ca="1"/>
      </c>
      <c r="BF332" s="7">
        <f ca="1"/>
      </c>
      <c r="BG332" s="14">
        <f ca="1"/>
      </c>
      <c r="BH332" s="14">
        <f ca="1"/>
      </c>
      <c r="BI332" s="14">
        <f ca="1"/>
      </c>
      <c r="BJ332" s="14">
        <f ca="1"/>
      </c>
      <c r="BK332" s="14">
        <f ca="1"/>
      </c>
    </row>
    <row r="333" spans="28:63" x14ac:dyDescent="0.55000000000000004">
      <c r="AB333">
        <f ca="1"/>
      </c>
      <c r="AC333">
        <f ca="1"/>
      </c>
      <c r="AD333">
        <f ca="1"/>
      </c>
      <c r="AE333">
        <f ca="1"/>
      </c>
      <c r="AF333">
        <f ca="1"/>
      </c>
      <c r="AG333">
        <f ca="1"/>
      </c>
      <c r="AH333">
        <f ca="1"/>
      </c>
      <c r="AL333" s="7">
        <f ca="1"/>
      </c>
      <c r="AM333" s="14">
        <f ca="1"/>
      </c>
      <c r="AN333" s="14">
        <f ca="1"/>
      </c>
      <c r="AO333" s="14">
        <f ca="1"/>
      </c>
      <c r="AP333" s="14">
        <f ca="1"/>
      </c>
      <c r="AQ333" s="14">
        <f ca="1"/>
      </c>
      <c r="AR333" s="14">
        <f ca="1"/>
      </c>
      <c r="AV333" s="14">
        <f ca="1"/>
      </c>
      <c r="AW333" s="14">
        <f ca="1"/>
      </c>
      <c r="AX333" s="14">
        <f ca="1"/>
      </c>
      <c r="AY333" s="14">
        <f ca="1"/>
      </c>
      <c r="AZ333" s="14">
        <f ca="1"/>
      </c>
      <c r="BF333" s="7">
        <f ca="1"/>
      </c>
      <c r="BG333" s="14">
        <f ca="1"/>
      </c>
      <c r="BH333" s="14">
        <f ca="1"/>
      </c>
      <c r="BI333" s="14">
        <f ca="1"/>
      </c>
      <c r="BJ333" s="14">
        <f ca="1"/>
      </c>
      <c r="BK333" s="14">
        <f ca="1"/>
      </c>
    </row>
    <row r="334" spans="28:63" x14ac:dyDescent="0.55000000000000004">
      <c r="AB334">
        <f ca="1"/>
      </c>
      <c r="AC334">
        <f ca="1"/>
      </c>
      <c r="AD334">
        <f ca="1"/>
      </c>
      <c r="AE334">
        <f ca="1"/>
      </c>
      <c r="AF334">
        <f ca="1"/>
      </c>
      <c r="AG334">
        <f ca="1"/>
      </c>
      <c r="AH334">
        <f ca="1"/>
      </c>
      <c r="AL334" s="7">
        <f ca="1"/>
      </c>
      <c r="AM334" s="14">
        <f ca="1"/>
      </c>
      <c r="AN334" s="14">
        <f ca="1"/>
      </c>
      <c r="AO334" s="14">
        <f ca="1"/>
      </c>
      <c r="AP334" s="14">
        <f ca="1"/>
      </c>
      <c r="AQ334" s="14">
        <f ca="1"/>
      </c>
      <c r="AR334" s="14">
        <f ca="1"/>
      </c>
      <c r="AV334" s="14">
        <f ca="1"/>
      </c>
      <c r="AW334" s="14">
        <f ca="1"/>
      </c>
      <c r="AX334" s="14">
        <f ca="1"/>
      </c>
      <c r="AY334" s="14">
        <f ca="1"/>
      </c>
      <c r="AZ334" s="14">
        <f ca="1"/>
      </c>
      <c r="BF334" s="7">
        <f ca="1"/>
      </c>
      <c r="BG334" s="14">
        <f ca="1"/>
      </c>
      <c r="BH334" s="14">
        <f ca="1"/>
      </c>
      <c r="BI334" s="14">
        <f ca="1"/>
      </c>
      <c r="BJ334" s="14">
        <f ca="1"/>
      </c>
      <c r="BK334" s="14">
        <f ca="1"/>
      </c>
    </row>
    <row r="335" spans="28:63" x14ac:dyDescent="0.55000000000000004">
      <c r="AB335">
        <f ca="1"/>
      </c>
      <c r="AC335">
        <f ca="1"/>
      </c>
      <c r="AD335">
        <f ca="1"/>
      </c>
      <c r="AE335">
        <f ca="1"/>
      </c>
      <c r="AF335">
        <f ca="1"/>
      </c>
      <c r="AG335">
        <f ca="1"/>
      </c>
      <c r="AH335">
        <f ca="1"/>
      </c>
      <c r="AL335" s="7">
        <f ca="1"/>
      </c>
      <c r="AM335" s="14">
        <f ca="1"/>
      </c>
      <c r="AN335" s="14">
        <f ca="1"/>
      </c>
      <c r="AO335" s="14">
        <f ca="1"/>
      </c>
      <c r="AP335" s="14">
        <f ca="1"/>
      </c>
      <c r="AQ335" s="14">
        <f ca="1"/>
      </c>
      <c r="AR335" s="14">
        <f ca="1"/>
      </c>
      <c r="AV335" s="14">
        <f ca="1"/>
      </c>
      <c r="AW335" s="14">
        <f ca="1"/>
      </c>
      <c r="AX335" s="14">
        <f ca="1"/>
      </c>
      <c r="AY335" s="14">
        <f ca="1"/>
      </c>
      <c r="AZ335" s="14">
        <f ca="1"/>
      </c>
      <c r="BF335" s="7">
        <f ca="1"/>
      </c>
      <c r="BG335" s="14">
        <f ca="1"/>
      </c>
      <c r="BH335" s="14">
        <f ca="1"/>
      </c>
      <c r="BI335" s="14">
        <f ca="1"/>
      </c>
      <c r="BJ335" s="14">
        <f ca="1"/>
      </c>
      <c r="BK335" s="14">
        <f ca="1"/>
      </c>
    </row>
    <row r="336" spans="28:63" x14ac:dyDescent="0.55000000000000004">
      <c r="AB336">
        <f ca="1"/>
      </c>
      <c r="AC336">
        <f ca="1"/>
      </c>
      <c r="AD336">
        <f ca="1"/>
      </c>
      <c r="AE336">
        <f ca="1"/>
      </c>
      <c r="AF336">
        <f ca="1"/>
      </c>
      <c r="AG336">
        <f ca="1"/>
      </c>
      <c r="AH336">
        <f ca="1"/>
      </c>
      <c r="AL336" s="7">
        <f ca="1"/>
      </c>
      <c r="AM336" s="14">
        <f ca="1"/>
      </c>
      <c r="AN336" s="14">
        <f ca="1"/>
      </c>
      <c r="AO336" s="14">
        <f ca="1"/>
      </c>
      <c r="AP336" s="14">
        <f ca="1"/>
      </c>
      <c r="AQ336" s="14">
        <f ca="1"/>
      </c>
      <c r="AR336" s="14">
        <f ca="1"/>
      </c>
      <c r="AV336" s="14">
        <f ca="1"/>
      </c>
      <c r="AW336" s="14">
        <f ca="1"/>
      </c>
      <c r="AX336" s="14">
        <f ca="1"/>
      </c>
      <c r="AY336" s="14">
        <f ca="1"/>
      </c>
      <c r="AZ336" s="14">
        <f ca="1"/>
      </c>
      <c r="BF336" s="7">
        <f ca="1"/>
      </c>
      <c r="BG336" s="14">
        <f ca="1"/>
      </c>
      <c r="BH336" s="14">
        <f ca="1"/>
      </c>
      <c r="BI336" s="14">
        <f ca="1"/>
      </c>
      <c r="BJ336" s="14">
        <f ca="1"/>
      </c>
      <c r="BK336" s="14">
        <f ca="1"/>
      </c>
    </row>
    <row r="337" spans="28:63" x14ac:dyDescent="0.55000000000000004">
      <c r="AB337">
        <f ca="1"/>
      </c>
      <c r="AC337">
        <f ca="1"/>
      </c>
      <c r="AD337">
        <f ca="1"/>
      </c>
      <c r="AE337">
        <f ca="1"/>
      </c>
      <c r="AF337">
        <f ca="1"/>
      </c>
      <c r="AG337">
        <f ca="1"/>
      </c>
      <c r="AH337">
        <f ca="1"/>
      </c>
      <c r="AL337" s="7">
        <f ca="1"/>
      </c>
      <c r="AM337" s="14">
        <f ca="1"/>
      </c>
      <c r="AN337" s="14">
        <f ca="1"/>
      </c>
      <c r="AO337" s="14">
        <f ca="1"/>
      </c>
      <c r="AP337" s="14">
        <f ca="1"/>
      </c>
      <c r="AQ337" s="14">
        <f ca="1"/>
      </c>
      <c r="AR337" s="14">
        <f ca="1"/>
      </c>
      <c r="AV337" s="14">
        <f ca="1"/>
      </c>
      <c r="AW337" s="14">
        <f ca="1"/>
      </c>
      <c r="AX337" s="14">
        <f ca="1"/>
      </c>
      <c r="AY337" s="14">
        <f ca="1"/>
      </c>
      <c r="AZ337" s="14">
        <f ca="1"/>
      </c>
      <c r="BF337" s="7">
        <f ca="1"/>
      </c>
      <c r="BG337" s="14">
        <f ca="1"/>
      </c>
      <c r="BH337" s="14">
        <f ca="1"/>
      </c>
      <c r="BI337" s="14">
        <f ca="1"/>
      </c>
      <c r="BJ337" s="14">
        <f ca="1"/>
      </c>
      <c r="BK337" s="14">
        <f ca="1"/>
      </c>
    </row>
    <row r="338" spans="28:63" x14ac:dyDescent="0.55000000000000004">
      <c r="AB338">
        <f ca="1"/>
      </c>
      <c r="AC338">
        <f ca="1"/>
      </c>
      <c r="AD338">
        <f ca="1"/>
      </c>
      <c r="AE338">
        <f ca="1"/>
      </c>
      <c r="AF338">
        <f ca="1"/>
      </c>
      <c r="AG338">
        <f ca="1"/>
      </c>
      <c r="AH338">
        <f ca="1"/>
      </c>
      <c r="AL338" s="7">
        <f ca="1"/>
      </c>
      <c r="AM338" s="14">
        <f ca="1"/>
      </c>
      <c r="AN338" s="14">
        <f ca="1"/>
      </c>
      <c r="AO338" s="14">
        <f ca="1"/>
      </c>
      <c r="AP338" s="14">
        <f ca="1"/>
      </c>
      <c r="AQ338" s="14">
        <f ca="1"/>
      </c>
      <c r="AR338" s="14">
        <f ca="1"/>
      </c>
      <c r="AV338" s="14">
        <f ca="1"/>
      </c>
      <c r="AW338" s="14">
        <f ca="1"/>
      </c>
      <c r="AX338" s="14">
        <f ca="1"/>
      </c>
      <c r="AY338" s="14">
        <f ca="1"/>
      </c>
      <c r="AZ338" s="14">
        <f ca="1"/>
      </c>
      <c r="BF338" s="7">
        <f ca="1"/>
      </c>
      <c r="BG338" s="14">
        <f ca="1"/>
      </c>
      <c r="BH338" s="14">
        <f ca="1"/>
      </c>
      <c r="BI338" s="14">
        <f ca="1"/>
      </c>
      <c r="BJ338" s="14">
        <f ca="1"/>
      </c>
      <c r="BK338" s="14">
        <f ca="1"/>
      </c>
    </row>
    <row r="339" spans="28:63" x14ac:dyDescent="0.55000000000000004">
      <c r="AB339">
        <f ca="1"/>
      </c>
      <c r="AC339">
        <f ca="1"/>
      </c>
      <c r="AD339">
        <f ca="1"/>
      </c>
      <c r="AE339">
        <f ca="1"/>
      </c>
      <c r="AF339">
        <f ca="1"/>
      </c>
      <c r="AG339">
        <f ca="1"/>
      </c>
      <c r="AH339">
        <f ca="1"/>
      </c>
      <c r="AL339" s="7">
        <f ca="1"/>
      </c>
      <c r="AM339" s="14">
        <f ca="1"/>
      </c>
      <c r="AN339" s="14">
        <f ca="1"/>
      </c>
      <c r="AO339" s="14">
        <f ca="1"/>
      </c>
      <c r="AP339" s="14">
        <f ca="1"/>
      </c>
      <c r="AQ339" s="14">
        <f ca="1"/>
      </c>
      <c r="AR339" s="14">
        <f ca="1"/>
      </c>
      <c r="AV339" s="14">
        <f ca="1"/>
      </c>
      <c r="AW339" s="14">
        <f ca="1"/>
      </c>
      <c r="AX339" s="14">
        <f ca="1"/>
      </c>
      <c r="AY339" s="14">
        <f ca="1"/>
      </c>
      <c r="AZ339" s="14">
        <f ca="1"/>
      </c>
      <c r="BF339" s="7">
        <f ca="1"/>
      </c>
      <c r="BG339" s="14">
        <f ca="1"/>
      </c>
      <c r="BH339" s="14">
        <f ca="1"/>
      </c>
      <c r="BI339" s="14">
        <f ca="1"/>
      </c>
      <c r="BJ339" s="14">
        <f ca="1"/>
      </c>
      <c r="BK339" s="14">
        <f ca="1"/>
      </c>
    </row>
    <row r="340" spans="28:63" x14ac:dyDescent="0.55000000000000004">
      <c r="AB340">
        <f ca="1"/>
      </c>
      <c r="AC340">
        <f ca="1"/>
      </c>
      <c r="AD340">
        <f ca="1"/>
      </c>
      <c r="AE340">
        <f ca="1"/>
      </c>
      <c r="AF340">
        <f ca="1"/>
      </c>
      <c r="AG340">
        <f ca="1"/>
      </c>
      <c r="AH340">
        <f ca="1"/>
      </c>
      <c r="AL340" s="7">
        <f ca="1"/>
      </c>
      <c r="AM340" s="14">
        <f ca="1"/>
      </c>
      <c r="AN340" s="14">
        <f ca="1"/>
      </c>
      <c r="AO340" s="14">
        <f ca="1"/>
      </c>
      <c r="AP340" s="14">
        <f ca="1"/>
      </c>
      <c r="AQ340" s="14">
        <f ca="1"/>
      </c>
      <c r="AR340" s="14">
        <f ca="1"/>
      </c>
      <c r="AV340" s="14">
        <f ca="1"/>
      </c>
      <c r="AW340" s="14">
        <f ca="1"/>
      </c>
      <c r="AX340" s="14">
        <f ca="1"/>
      </c>
      <c r="AY340" s="14">
        <f ca="1"/>
      </c>
      <c r="AZ340" s="14">
        <f ca="1"/>
      </c>
      <c r="BF340" s="7">
        <f ca="1"/>
      </c>
      <c r="BG340" s="14">
        <f ca="1"/>
      </c>
      <c r="BH340" s="14">
        <f ca="1"/>
      </c>
      <c r="BI340" s="14">
        <f ca="1"/>
      </c>
      <c r="BJ340" s="14">
        <f ca="1"/>
      </c>
      <c r="BK340" s="14">
        <f ca="1"/>
      </c>
    </row>
    <row r="341" spans="28:63" x14ac:dyDescent="0.55000000000000004">
      <c r="AB341">
        <f ca="1"/>
      </c>
      <c r="AC341">
        <f ca="1"/>
      </c>
      <c r="AD341">
        <f ca="1"/>
      </c>
      <c r="AE341">
        <f ca="1"/>
      </c>
      <c r="AF341">
        <f ca="1"/>
      </c>
      <c r="AG341">
        <f ca="1"/>
      </c>
      <c r="AH341">
        <f ca="1"/>
      </c>
      <c r="AL341" s="7">
        <f ca="1"/>
      </c>
      <c r="AM341" s="14">
        <f ca="1"/>
      </c>
      <c r="AN341" s="14">
        <f ca="1"/>
      </c>
      <c r="AO341" s="14">
        <f ca="1"/>
      </c>
      <c r="AP341" s="14">
        <f ca="1"/>
      </c>
      <c r="AQ341" s="14">
        <f ca="1"/>
      </c>
      <c r="AR341" s="14">
        <f ca="1"/>
      </c>
      <c r="AV341" s="14">
        <f ca="1"/>
      </c>
      <c r="AW341" s="14">
        <f ca="1"/>
      </c>
      <c r="AX341" s="14">
        <f ca="1"/>
      </c>
      <c r="AY341" s="14">
        <f ca="1"/>
      </c>
      <c r="AZ341" s="14">
        <f ca="1"/>
      </c>
      <c r="BF341" s="7">
        <f ca="1"/>
      </c>
      <c r="BG341" s="14">
        <f ca="1"/>
      </c>
      <c r="BH341" s="14">
        <f ca="1"/>
      </c>
      <c r="BI341" s="14">
        <f ca="1"/>
      </c>
      <c r="BJ341" s="14">
        <f ca="1"/>
      </c>
      <c r="BK341" s="14">
        <f ca="1"/>
      </c>
    </row>
    <row r="342" spans="28:63" x14ac:dyDescent="0.55000000000000004">
      <c r="AB342">
        <f ca="1"/>
      </c>
      <c r="AC342">
        <f ca="1"/>
      </c>
      <c r="AD342">
        <f ca="1"/>
      </c>
      <c r="AE342">
        <f ca="1"/>
      </c>
      <c r="AF342">
        <f ca="1"/>
      </c>
      <c r="AG342">
        <f ca="1"/>
      </c>
      <c r="AH342">
        <f ca="1"/>
      </c>
      <c r="AL342" s="7">
        <f ca="1"/>
      </c>
      <c r="AM342" s="14">
        <f ca="1"/>
      </c>
      <c r="AN342" s="14">
        <f ca="1"/>
      </c>
      <c r="AO342" s="14">
        <f ca="1"/>
      </c>
      <c r="AP342" s="14">
        <f ca="1"/>
      </c>
      <c r="AQ342" s="14">
        <f ca="1"/>
      </c>
      <c r="AR342" s="14">
        <f ca="1"/>
      </c>
      <c r="AV342" s="14">
        <f ca="1"/>
      </c>
      <c r="AW342" s="14">
        <f ca="1"/>
      </c>
      <c r="AX342" s="14">
        <f ca="1"/>
      </c>
      <c r="AY342" s="14">
        <f ca="1"/>
      </c>
      <c r="AZ342" s="14">
        <f ca="1"/>
      </c>
      <c r="BF342" s="7">
        <f ca="1"/>
      </c>
      <c r="BG342" s="14">
        <f ca="1"/>
      </c>
      <c r="BH342" s="14">
        <f ca="1"/>
      </c>
      <c r="BI342" s="14">
        <f ca="1"/>
      </c>
      <c r="BJ342" s="14">
        <f ca="1"/>
      </c>
      <c r="BK342" s="14">
        <f ca="1"/>
      </c>
    </row>
    <row r="343" spans="28:63" x14ac:dyDescent="0.55000000000000004">
      <c r="AB343">
        <f ca="1"/>
      </c>
      <c r="AC343">
        <f ca="1"/>
      </c>
      <c r="AD343">
        <f ca="1"/>
      </c>
      <c r="AE343">
        <f ca="1"/>
      </c>
      <c r="AF343">
        <f ca="1"/>
      </c>
      <c r="AG343">
        <f ca="1"/>
      </c>
      <c r="AH343">
        <f ca="1"/>
      </c>
      <c r="AL343" s="7">
        <f ca="1"/>
      </c>
      <c r="AM343" s="14">
        <f ca="1"/>
      </c>
      <c r="AN343" s="14">
        <f ca="1"/>
      </c>
      <c r="AO343" s="14">
        <f ca="1"/>
      </c>
      <c r="AP343" s="14">
        <f ca="1"/>
      </c>
      <c r="AQ343" s="14">
        <f ca="1"/>
      </c>
      <c r="AR343" s="14">
        <f ca="1"/>
      </c>
      <c r="AV343" s="14">
        <f ca="1"/>
      </c>
      <c r="AW343" s="14">
        <f ca="1"/>
      </c>
      <c r="AX343" s="14">
        <f ca="1"/>
      </c>
      <c r="AY343" s="14">
        <f ca="1"/>
      </c>
      <c r="AZ343" s="14">
        <f ca="1"/>
      </c>
      <c r="BF343" s="7">
        <f ca="1"/>
      </c>
      <c r="BG343" s="14">
        <f ca="1"/>
      </c>
      <c r="BH343" s="14">
        <f ca="1"/>
      </c>
      <c r="BI343" s="14">
        <f ca="1"/>
      </c>
      <c r="BJ343" s="14">
        <f ca="1"/>
      </c>
      <c r="BK343" s="14">
        <f ca="1"/>
      </c>
    </row>
    <row r="344" spans="28:63" x14ac:dyDescent="0.55000000000000004">
      <c r="AB344">
        <f ca="1"/>
      </c>
      <c r="AC344">
        <f ca="1"/>
      </c>
      <c r="AD344">
        <f ca="1"/>
      </c>
      <c r="AE344">
        <f ca="1"/>
      </c>
      <c r="AF344">
        <f ca="1"/>
      </c>
      <c r="AG344">
        <f ca="1"/>
      </c>
      <c r="AH344">
        <f ca="1"/>
      </c>
      <c r="AL344" s="7">
        <f ca="1"/>
      </c>
      <c r="AM344" s="14">
        <f ca="1"/>
      </c>
      <c r="AN344" s="14">
        <f ca="1"/>
      </c>
      <c r="AO344" s="14">
        <f ca="1"/>
      </c>
      <c r="AP344" s="14">
        <f ca="1"/>
      </c>
      <c r="AQ344" s="14">
        <f ca="1"/>
      </c>
      <c r="AR344" s="14">
        <f ca="1"/>
      </c>
      <c r="AV344" s="14">
        <f ca="1"/>
      </c>
      <c r="AW344" s="14">
        <f ca="1"/>
      </c>
      <c r="AX344" s="14">
        <f ca="1"/>
      </c>
      <c r="AY344" s="14">
        <f ca="1"/>
      </c>
      <c r="AZ344" s="14">
        <f ca="1"/>
      </c>
      <c r="BF344" s="7">
        <f ca="1"/>
      </c>
      <c r="BG344" s="14">
        <f ca="1"/>
      </c>
      <c r="BH344" s="14">
        <f ca="1"/>
      </c>
      <c r="BI344" s="14">
        <f ca="1"/>
      </c>
      <c r="BJ344" s="14">
        <f ca="1"/>
      </c>
      <c r="BK344" s="14">
        <f ca="1"/>
      </c>
    </row>
    <row r="345" spans="28:63" x14ac:dyDescent="0.55000000000000004">
      <c r="AB345">
        <f ca="1"/>
      </c>
      <c r="AC345">
        <f ca="1"/>
      </c>
      <c r="AD345">
        <f ca="1"/>
      </c>
      <c r="AE345">
        <f ca="1"/>
      </c>
      <c r="AF345">
        <f ca="1"/>
      </c>
      <c r="AG345">
        <f ca="1"/>
      </c>
      <c r="AH345">
        <f ca="1"/>
      </c>
      <c r="AL345" s="7">
        <f ca="1"/>
      </c>
      <c r="AM345" s="14">
        <f ca="1"/>
      </c>
      <c r="AN345" s="14">
        <f ca="1"/>
      </c>
      <c r="AO345" s="14">
        <f ca="1"/>
      </c>
      <c r="AP345" s="14">
        <f ca="1"/>
      </c>
      <c r="AQ345" s="14">
        <f ca="1"/>
      </c>
      <c r="AR345" s="14">
        <f ca="1"/>
      </c>
      <c r="AV345" s="14">
        <f ca="1"/>
      </c>
      <c r="AW345" s="14">
        <f ca="1"/>
      </c>
      <c r="AX345" s="14">
        <f ca="1"/>
      </c>
      <c r="AY345" s="14">
        <f ca="1"/>
      </c>
      <c r="AZ345" s="14">
        <f ca="1"/>
      </c>
      <c r="BF345" s="7">
        <f ca="1"/>
      </c>
      <c r="BG345" s="14">
        <f ca="1"/>
      </c>
      <c r="BH345" s="14">
        <f ca="1"/>
      </c>
      <c r="BI345" s="14">
        <f ca="1"/>
      </c>
      <c r="BJ345" s="14">
        <f ca="1"/>
      </c>
      <c r="BK345" s="14">
        <f ca="1"/>
      </c>
    </row>
    <row r="346" spans="28:63" x14ac:dyDescent="0.55000000000000004">
      <c r="AB346">
        <f ca="1"/>
      </c>
      <c r="AC346">
        <f ca="1"/>
      </c>
      <c r="AD346">
        <f ca="1"/>
      </c>
      <c r="AE346">
        <f ca="1"/>
      </c>
      <c r="AF346">
        <f ca="1"/>
      </c>
      <c r="AG346">
        <f ca="1"/>
      </c>
      <c r="AH346">
        <f ca="1"/>
      </c>
      <c r="AL346" s="7">
        <f ca="1"/>
      </c>
      <c r="AM346" s="14">
        <f ca="1"/>
      </c>
      <c r="AN346" s="14">
        <f ca="1"/>
      </c>
      <c r="AO346" s="14">
        <f ca="1"/>
      </c>
      <c r="AP346" s="14">
        <f ca="1"/>
      </c>
      <c r="AQ346" s="14">
        <f ca="1"/>
      </c>
      <c r="AR346" s="14">
        <f ca="1"/>
      </c>
      <c r="AV346" s="14">
        <f ca="1"/>
      </c>
      <c r="AW346" s="14">
        <f ca="1"/>
      </c>
      <c r="AX346" s="14">
        <f ca="1"/>
      </c>
      <c r="AY346" s="14">
        <f ca="1"/>
      </c>
      <c r="AZ346" s="14">
        <f ca="1"/>
      </c>
      <c r="BF346" s="7">
        <f ca="1"/>
      </c>
      <c r="BG346" s="14">
        <f ca="1"/>
      </c>
      <c r="BH346" s="14">
        <f ca="1"/>
      </c>
      <c r="BI346" s="14">
        <f ca="1"/>
      </c>
      <c r="BJ346" s="14">
        <f ca="1"/>
      </c>
      <c r="BK346" s="14">
        <f ca="1"/>
      </c>
    </row>
    <row r="347" spans="28:63" x14ac:dyDescent="0.55000000000000004">
      <c r="AB347">
        <f ca="1"/>
      </c>
      <c r="AC347">
        <f ca="1"/>
      </c>
      <c r="AD347">
        <f ca="1"/>
      </c>
      <c r="AE347">
        <f ca="1"/>
      </c>
      <c r="AF347">
        <f ca="1"/>
      </c>
      <c r="AG347">
        <f ca="1"/>
      </c>
      <c r="AH347">
        <f ca="1"/>
      </c>
      <c r="AL347" s="7">
        <f ca="1"/>
      </c>
      <c r="AM347" s="14">
        <f ca="1"/>
      </c>
      <c r="AN347" s="14">
        <f ca="1"/>
      </c>
      <c r="AO347" s="14">
        <f ca="1"/>
      </c>
      <c r="AP347" s="14">
        <f ca="1"/>
      </c>
      <c r="AQ347" s="14">
        <f ca="1"/>
      </c>
      <c r="AR347" s="14">
        <f ca="1"/>
      </c>
      <c r="AV347" s="14">
        <f ca="1"/>
      </c>
      <c r="AW347" s="14">
        <f ca="1"/>
      </c>
      <c r="AX347" s="14">
        <f ca="1"/>
      </c>
      <c r="AY347" s="14">
        <f ca="1"/>
      </c>
      <c r="AZ347" s="14">
        <f ca="1"/>
      </c>
      <c r="BF347" s="7">
        <f ca="1"/>
      </c>
      <c r="BG347" s="14">
        <f ca="1"/>
      </c>
      <c r="BH347" s="14">
        <f ca="1"/>
      </c>
      <c r="BI347" s="14">
        <f ca="1"/>
      </c>
      <c r="BJ347" s="14">
        <f ca="1"/>
      </c>
      <c r="BK347" s="14">
        <f ca="1"/>
      </c>
    </row>
    <row r="348" spans="28:63" x14ac:dyDescent="0.55000000000000004">
      <c r="AB348">
        <f ca="1"/>
      </c>
      <c r="AC348">
        <f ca="1"/>
      </c>
      <c r="AD348">
        <f ca="1"/>
      </c>
      <c r="AE348">
        <f ca="1"/>
      </c>
      <c r="AF348">
        <f ca="1"/>
      </c>
      <c r="AG348">
        <f ca="1"/>
      </c>
      <c r="AH348">
        <f ca="1"/>
      </c>
      <c r="AL348" s="7">
        <f ca="1"/>
      </c>
      <c r="AM348" s="14">
        <f ca="1"/>
      </c>
      <c r="AN348" s="14">
        <f ca="1"/>
      </c>
      <c r="AO348" s="14">
        <f ca="1"/>
      </c>
      <c r="AP348" s="14">
        <f ca="1"/>
      </c>
      <c r="AQ348" s="14">
        <f ca="1"/>
      </c>
      <c r="AR348" s="14">
        <f ca="1"/>
      </c>
      <c r="AV348" s="14">
        <f ca="1"/>
      </c>
      <c r="AW348" s="14">
        <f ca="1"/>
      </c>
      <c r="AX348" s="14">
        <f ca="1"/>
      </c>
      <c r="AY348" s="14">
        <f ca="1"/>
      </c>
      <c r="AZ348" s="14">
        <f ca="1"/>
      </c>
      <c r="BF348" s="7">
        <f ca="1"/>
      </c>
      <c r="BG348" s="14">
        <f ca="1"/>
      </c>
      <c r="BH348" s="14">
        <f ca="1"/>
      </c>
      <c r="BI348" s="14">
        <f ca="1"/>
      </c>
      <c r="BJ348" s="14">
        <f ca="1"/>
      </c>
      <c r="BK348" s="14">
        <f ca="1"/>
      </c>
    </row>
    <row r="349" spans="28:63" x14ac:dyDescent="0.55000000000000004">
      <c r="AB349">
        <f ca="1"/>
      </c>
      <c r="AC349">
        <f ca="1"/>
      </c>
      <c r="AD349">
        <f ca="1"/>
      </c>
      <c r="AE349">
        <f ca="1"/>
      </c>
      <c r="AF349">
        <f ca="1"/>
      </c>
      <c r="AG349">
        <f ca="1"/>
      </c>
      <c r="AH349">
        <f ca="1"/>
      </c>
      <c r="AL349" s="7">
        <f ca="1"/>
      </c>
      <c r="AM349" s="14">
        <f ca="1"/>
      </c>
      <c r="AN349" s="14">
        <f ca="1"/>
      </c>
      <c r="AO349" s="14">
        <f ca="1"/>
      </c>
      <c r="AP349" s="14">
        <f ca="1"/>
      </c>
      <c r="AQ349" s="14">
        <f ca="1"/>
      </c>
      <c r="AR349" s="14">
        <f ca="1"/>
      </c>
      <c r="AV349" s="14">
        <f ca="1"/>
      </c>
      <c r="AW349" s="14">
        <f ca="1"/>
      </c>
      <c r="AX349" s="14">
        <f ca="1"/>
      </c>
      <c r="AY349" s="14">
        <f ca="1"/>
      </c>
      <c r="AZ349" s="14">
        <f ca="1"/>
      </c>
      <c r="BF349" s="7">
        <f ca="1"/>
      </c>
      <c r="BG349" s="14">
        <f ca="1"/>
      </c>
      <c r="BH349" s="14">
        <f ca="1"/>
      </c>
      <c r="BI349" s="14">
        <f ca="1"/>
      </c>
      <c r="BJ349" s="14">
        <f ca="1"/>
      </c>
      <c r="BK349" s="14">
        <f ca="1"/>
      </c>
    </row>
    <row r="350" spans="28:63" x14ac:dyDescent="0.55000000000000004">
      <c r="AB350">
        <f ca="1"/>
      </c>
      <c r="AC350">
        <f ca="1"/>
      </c>
      <c r="AD350">
        <f ca="1"/>
      </c>
      <c r="AE350">
        <f ca="1"/>
      </c>
      <c r="AF350">
        <f ca="1"/>
      </c>
      <c r="AG350">
        <f ca="1"/>
      </c>
      <c r="AH350">
        <f ca="1"/>
      </c>
      <c r="AL350" s="7">
        <f ca="1"/>
      </c>
      <c r="AM350" s="14">
        <f ca="1"/>
      </c>
      <c r="AN350" s="14">
        <f ca="1"/>
      </c>
      <c r="AO350" s="14">
        <f ca="1"/>
      </c>
      <c r="AP350" s="14">
        <f ca="1"/>
      </c>
      <c r="AQ350" s="14">
        <f ca="1"/>
      </c>
      <c r="AR350" s="14">
        <f ca="1"/>
      </c>
      <c r="AV350" s="14">
        <f ca="1"/>
      </c>
      <c r="AW350" s="14">
        <f ca="1"/>
      </c>
      <c r="AX350" s="14">
        <f ca="1"/>
      </c>
      <c r="AY350" s="14">
        <f ca="1"/>
      </c>
      <c r="AZ350" s="14">
        <f ca="1"/>
      </c>
      <c r="BF350" s="7">
        <f ca="1"/>
      </c>
      <c r="BG350" s="14">
        <f ca="1"/>
      </c>
      <c r="BH350" s="14">
        <f ca="1"/>
      </c>
      <c r="BI350" s="14">
        <f ca="1"/>
      </c>
      <c r="BJ350" s="14">
        <f ca="1"/>
      </c>
      <c r="BK350" s="14">
        <f ca="1"/>
      </c>
    </row>
    <row r="351" spans="28:63" x14ac:dyDescent="0.55000000000000004">
      <c r="AB351">
        <f ca="1"/>
      </c>
      <c r="AC351">
        <f ca="1"/>
      </c>
      <c r="AD351">
        <f ca="1"/>
      </c>
      <c r="AE351">
        <f ca="1"/>
      </c>
      <c r="AF351">
        <f ca="1"/>
      </c>
      <c r="AG351">
        <f ca="1"/>
      </c>
      <c r="AH351">
        <f ca="1"/>
      </c>
      <c r="AL351" s="7">
        <f ca="1"/>
      </c>
      <c r="AM351" s="14">
        <f ca="1"/>
      </c>
      <c r="AN351" s="14">
        <f ca="1"/>
      </c>
      <c r="AO351" s="14">
        <f ca="1"/>
      </c>
      <c r="AP351" s="14">
        <f ca="1"/>
      </c>
      <c r="AQ351" s="14">
        <f ca="1"/>
      </c>
      <c r="AR351" s="14">
        <f ca="1"/>
      </c>
      <c r="AV351" s="14">
        <f ca="1"/>
      </c>
      <c r="AW351" s="14">
        <f ca="1"/>
      </c>
      <c r="AX351" s="14">
        <f ca="1"/>
      </c>
      <c r="AY351" s="14">
        <f ca="1"/>
      </c>
      <c r="AZ351" s="14">
        <f ca="1"/>
      </c>
      <c r="BF351" s="7">
        <f ca="1"/>
      </c>
      <c r="BG351" s="14">
        <f ca="1"/>
      </c>
      <c r="BH351" s="14">
        <f ca="1"/>
      </c>
      <c r="BI351" s="14">
        <f ca="1"/>
      </c>
      <c r="BJ351" s="14">
        <f ca="1"/>
      </c>
      <c r="BK351" s="14">
        <f ca="1"/>
      </c>
    </row>
    <row r="352" spans="28:63" x14ac:dyDescent="0.55000000000000004">
      <c r="AB352">
        <f ca="1"/>
      </c>
      <c r="AC352">
        <f ca="1"/>
      </c>
      <c r="AD352">
        <f ca="1"/>
      </c>
      <c r="AE352">
        <f ca="1"/>
      </c>
      <c r="AF352">
        <f ca="1"/>
      </c>
      <c r="AG352">
        <f ca="1"/>
      </c>
      <c r="AH352">
        <f ca="1"/>
      </c>
      <c r="AL352" s="7">
        <f ca="1"/>
      </c>
      <c r="AM352" s="14">
        <f ca="1"/>
      </c>
      <c r="AN352" s="14">
        <f ca="1"/>
      </c>
      <c r="AO352" s="14">
        <f ca="1"/>
      </c>
      <c r="AP352" s="14">
        <f ca="1"/>
      </c>
      <c r="AQ352" s="14">
        <f ca="1"/>
      </c>
      <c r="AR352" s="14">
        <f ca="1"/>
      </c>
      <c r="AV352" s="14">
        <f ca="1"/>
      </c>
      <c r="AW352" s="14">
        <f ca="1"/>
      </c>
      <c r="AX352" s="14">
        <f ca="1"/>
      </c>
      <c r="AY352" s="14">
        <f ca="1"/>
      </c>
      <c r="AZ352" s="14">
        <f ca="1"/>
      </c>
      <c r="BF352" s="7">
        <f ca="1"/>
      </c>
      <c r="BG352" s="14">
        <f ca="1"/>
      </c>
      <c r="BH352" s="14">
        <f ca="1"/>
      </c>
      <c r="BI352" s="14">
        <f ca="1"/>
      </c>
      <c r="BJ352" s="14">
        <f ca="1"/>
      </c>
      <c r="BK352" s="14">
        <f ca="1"/>
      </c>
    </row>
    <row r="353" spans="28:63" x14ac:dyDescent="0.55000000000000004">
      <c r="AB353">
        <f ca="1"/>
      </c>
      <c r="AC353">
        <f ca="1"/>
      </c>
      <c r="AD353">
        <f ca="1"/>
      </c>
      <c r="AE353">
        <f ca="1"/>
      </c>
      <c r="AF353">
        <f ca="1"/>
      </c>
      <c r="AG353">
        <f ca="1"/>
      </c>
      <c r="AH353">
        <f ca="1"/>
      </c>
      <c r="AL353" s="7">
        <f ca="1"/>
      </c>
      <c r="AM353" s="14">
        <f ca="1"/>
      </c>
      <c r="AN353" s="14">
        <f ca="1"/>
      </c>
      <c r="AO353" s="14">
        <f ca="1"/>
      </c>
      <c r="AP353" s="14">
        <f ca="1"/>
      </c>
      <c r="AQ353" s="14">
        <f ca="1"/>
      </c>
      <c r="AR353" s="14">
        <f ca="1"/>
      </c>
      <c r="AV353" s="14">
        <f ca="1"/>
      </c>
      <c r="AW353" s="14">
        <f ca="1"/>
      </c>
      <c r="AX353" s="14">
        <f ca="1"/>
      </c>
      <c r="AY353" s="14">
        <f ca="1"/>
      </c>
      <c r="AZ353" s="14">
        <f ca="1"/>
      </c>
      <c r="BF353" s="7">
        <f ca="1"/>
      </c>
      <c r="BG353" s="14">
        <f ca="1"/>
      </c>
      <c r="BH353" s="14">
        <f ca="1"/>
      </c>
      <c r="BI353" s="14">
        <f ca="1"/>
      </c>
      <c r="BJ353" s="14">
        <f ca="1"/>
      </c>
      <c r="BK353" s="14">
        <f ca="1"/>
      </c>
    </row>
    <row r="354" spans="28:63" x14ac:dyDescent="0.55000000000000004">
      <c r="AB354">
        <f ca="1"/>
      </c>
      <c r="AC354">
        <f ca="1"/>
      </c>
      <c r="AD354">
        <f ca="1"/>
      </c>
      <c r="AE354">
        <f ca="1"/>
      </c>
      <c r="AF354">
        <f ca="1"/>
      </c>
      <c r="AG354">
        <f ca="1"/>
      </c>
      <c r="AH354">
        <f ca="1"/>
      </c>
      <c r="AL354" s="7">
        <f ca="1"/>
      </c>
      <c r="AM354" s="14">
        <f ca="1"/>
      </c>
      <c r="AN354" s="14">
        <f ca="1"/>
      </c>
      <c r="AO354" s="14">
        <f ca="1"/>
      </c>
      <c r="AP354" s="14">
        <f ca="1"/>
      </c>
      <c r="AQ354" s="14">
        <f ca="1"/>
      </c>
      <c r="AR354" s="14">
        <f ca="1"/>
      </c>
      <c r="AV354" s="14">
        <f ca="1"/>
      </c>
      <c r="AW354" s="14">
        <f ca="1"/>
      </c>
      <c r="AX354" s="14">
        <f ca="1"/>
      </c>
      <c r="AY354" s="14">
        <f ca="1"/>
      </c>
      <c r="AZ354" s="14">
        <f ca="1"/>
      </c>
      <c r="BF354" s="7">
        <f ca="1"/>
      </c>
      <c r="BG354" s="14">
        <f ca="1"/>
      </c>
      <c r="BH354" s="14">
        <f ca="1"/>
      </c>
      <c r="BI354" s="14">
        <f ca="1"/>
      </c>
      <c r="BJ354" s="14">
        <f ca="1"/>
      </c>
      <c r="BK354" s="14">
        <f ca="1"/>
      </c>
    </row>
    <row r="355" spans="28:63" x14ac:dyDescent="0.55000000000000004">
      <c r="AB355">
        <f ca="1"/>
      </c>
      <c r="AC355">
        <f ca="1"/>
      </c>
      <c r="AD355">
        <f ca="1"/>
      </c>
      <c r="AE355">
        <f ca="1"/>
      </c>
      <c r="AF355">
        <f ca="1"/>
      </c>
      <c r="AG355">
        <f ca="1"/>
      </c>
      <c r="AH355">
        <f ca="1"/>
      </c>
      <c r="AL355" s="7">
        <f ca="1"/>
      </c>
      <c r="AM355" s="14">
        <f ca="1"/>
      </c>
      <c r="AN355" s="14">
        <f ca="1"/>
      </c>
      <c r="AO355" s="14">
        <f ca="1"/>
      </c>
      <c r="AP355" s="14">
        <f ca="1"/>
      </c>
      <c r="AQ355" s="14">
        <f ca="1"/>
      </c>
      <c r="AR355" s="14">
        <f ca="1"/>
      </c>
      <c r="AV355" s="14">
        <f ca="1"/>
      </c>
      <c r="AW355" s="14">
        <f ca="1"/>
      </c>
      <c r="AX355" s="14">
        <f ca="1"/>
      </c>
      <c r="AY355" s="14">
        <f ca="1"/>
      </c>
      <c r="AZ355" s="14">
        <f ca="1"/>
      </c>
      <c r="BF355" s="7">
        <f ca="1"/>
      </c>
      <c r="BG355" s="14">
        <f ca="1"/>
      </c>
      <c r="BH355" s="14">
        <f ca="1"/>
      </c>
      <c r="BI355" s="14">
        <f ca="1"/>
      </c>
      <c r="BJ355" s="14">
        <f ca="1"/>
      </c>
      <c r="BK355" s="14">
        <f ca="1"/>
      </c>
    </row>
    <row r="356" spans="28:63" x14ac:dyDescent="0.55000000000000004">
      <c r="AB356">
        <f ca="1"/>
      </c>
      <c r="AC356">
        <f ca="1"/>
      </c>
      <c r="AD356">
        <f ca="1"/>
      </c>
      <c r="AE356">
        <f ca="1"/>
      </c>
      <c r="AF356">
        <f ca="1"/>
      </c>
      <c r="AG356">
        <f ca="1"/>
      </c>
      <c r="AH356">
        <f ca="1"/>
      </c>
      <c r="AL356" s="7">
        <f ca="1"/>
      </c>
      <c r="AM356" s="14">
        <f ca="1"/>
      </c>
      <c r="AN356" s="14">
        <f ca="1"/>
      </c>
      <c r="AO356" s="14">
        <f ca="1"/>
      </c>
      <c r="AP356" s="14">
        <f ca="1"/>
      </c>
      <c r="AQ356" s="14">
        <f ca="1"/>
      </c>
      <c r="AR356" s="14">
        <f ca="1"/>
      </c>
      <c r="AV356" s="14">
        <f ca="1"/>
      </c>
      <c r="AW356" s="14">
        <f ca="1"/>
      </c>
      <c r="AX356" s="14">
        <f ca="1"/>
      </c>
      <c r="AY356" s="14">
        <f ca="1"/>
      </c>
      <c r="AZ356" s="14">
        <f ca="1"/>
      </c>
      <c r="BF356" s="7">
        <f ca="1"/>
      </c>
      <c r="BG356" s="14">
        <f ca="1"/>
      </c>
      <c r="BH356" s="14">
        <f ca="1"/>
      </c>
      <c r="BI356" s="14">
        <f ca="1"/>
      </c>
      <c r="BJ356" s="14">
        <f ca="1"/>
      </c>
      <c r="BK356" s="14">
        <f ca="1"/>
      </c>
    </row>
    <row r="357" spans="28:63" x14ac:dyDescent="0.55000000000000004">
      <c r="AB357">
        <f ca="1"/>
      </c>
      <c r="AC357">
        <f ca="1"/>
      </c>
      <c r="AD357">
        <f ca="1"/>
      </c>
      <c r="AE357">
        <f ca="1"/>
      </c>
      <c r="AF357">
        <f ca="1"/>
      </c>
      <c r="AG357">
        <f ca="1"/>
      </c>
      <c r="AH357">
        <f ca="1"/>
      </c>
      <c r="AL357" s="7">
        <f ca="1"/>
      </c>
      <c r="AM357" s="14">
        <f ca="1"/>
      </c>
      <c r="AN357" s="14">
        <f ca="1"/>
      </c>
      <c r="AO357" s="14">
        <f ca="1"/>
      </c>
      <c r="AP357" s="14">
        <f ca="1"/>
      </c>
      <c r="AQ357" s="14">
        <f ca="1"/>
      </c>
      <c r="AR357" s="14">
        <f ca="1"/>
      </c>
      <c r="AV357" s="14">
        <f ca="1"/>
      </c>
      <c r="AW357" s="14">
        <f ca="1"/>
      </c>
      <c r="AX357" s="14">
        <f ca="1"/>
      </c>
      <c r="AY357" s="14">
        <f ca="1"/>
      </c>
      <c r="AZ357" s="14">
        <f ca="1"/>
      </c>
      <c r="BF357" s="7">
        <f ca="1"/>
      </c>
      <c r="BG357" s="14">
        <f ca="1"/>
      </c>
      <c r="BH357" s="14">
        <f ca="1"/>
      </c>
      <c r="BI357" s="14">
        <f ca="1"/>
      </c>
      <c r="BJ357" s="14">
        <f ca="1"/>
      </c>
      <c r="BK357" s="14">
        <f ca="1"/>
      </c>
    </row>
    <row r="358" spans="28:63" x14ac:dyDescent="0.55000000000000004">
      <c r="AB358">
        <f ca="1"/>
      </c>
      <c r="AC358">
        <f ca="1"/>
      </c>
      <c r="AD358">
        <f ca="1"/>
      </c>
      <c r="AE358">
        <f ca="1"/>
      </c>
      <c r="AF358">
        <f ca="1"/>
      </c>
      <c r="AG358">
        <f ca="1"/>
      </c>
      <c r="AH358">
        <f ca="1"/>
      </c>
      <c r="AL358" s="7">
        <f ca="1"/>
      </c>
      <c r="AM358" s="14">
        <f ca="1"/>
      </c>
      <c r="AN358" s="14">
        <f ca="1"/>
      </c>
      <c r="AO358" s="14">
        <f ca="1"/>
      </c>
      <c r="AP358" s="14">
        <f ca="1"/>
      </c>
      <c r="AQ358" s="14">
        <f ca="1"/>
      </c>
      <c r="AR358" s="14">
        <f ca="1"/>
      </c>
      <c r="AV358" s="14">
        <f ca="1"/>
      </c>
      <c r="AW358" s="14">
        <f ca="1"/>
      </c>
      <c r="AX358" s="14">
        <f ca="1"/>
      </c>
      <c r="AY358" s="14">
        <f ca="1"/>
      </c>
      <c r="AZ358" s="14">
        <f ca="1"/>
      </c>
      <c r="BF358" s="7">
        <f ca="1"/>
      </c>
      <c r="BG358" s="14">
        <f ca="1"/>
      </c>
      <c r="BH358" s="14">
        <f ca="1"/>
      </c>
      <c r="BI358" s="14">
        <f ca="1"/>
      </c>
      <c r="BJ358" s="14">
        <f ca="1"/>
      </c>
      <c r="BK358" s="14">
        <f ca="1"/>
      </c>
    </row>
    <row r="359" spans="28:63" x14ac:dyDescent="0.55000000000000004">
      <c r="AB359">
        <f ca="1"/>
      </c>
      <c r="AC359">
        <f ca="1"/>
      </c>
      <c r="AD359">
        <f ca="1"/>
      </c>
      <c r="AE359">
        <f ca="1"/>
      </c>
      <c r="AF359">
        <f ca="1"/>
      </c>
      <c r="AG359">
        <f ca="1"/>
      </c>
      <c r="AH359">
        <f ca="1"/>
      </c>
      <c r="AL359" s="7">
        <f ca="1"/>
      </c>
      <c r="AM359" s="14">
        <f ca="1"/>
      </c>
      <c r="AN359" s="14">
        <f ca="1"/>
      </c>
      <c r="AO359" s="14">
        <f ca="1"/>
      </c>
      <c r="AP359" s="14">
        <f ca="1"/>
      </c>
      <c r="AQ359" s="14">
        <f ca="1"/>
      </c>
      <c r="AR359" s="14">
        <f ca="1"/>
      </c>
      <c r="AV359" s="14">
        <f ca="1"/>
      </c>
      <c r="AW359" s="14">
        <f ca="1"/>
      </c>
      <c r="AX359" s="14">
        <f ca="1"/>
      </c>
      <c r="AY359" s="14">
        <f ca="1"/>
      </c>
      <c r="AZ359" s="14">
        <f ca="1"/>
      </c>
      <c r="BF359" s="7">
        <f ca="1"/>
      </c>
      <c r="BG359" s="14">
        <f ca="1"/>
      </c>
      <c r="BH359" s="14">
        <f ca="1"/>
      </c>
      <c r="BI359" s="14">
        <f ca="1"/>
      </c>
      <c r="BJ359" s="14">
        <f ca="1"/>
      </c>
      <c r="BK359" s="14">
        <f ca="1"/>
      </c>
    </row>
    <row r="360" spans="28:63" x14ac:dyDescent="0.55000000000000004">
      <c r="AB360">
        <f ca="1"/>
      </c>
      <c r="AC360">
        <f ca="1"/>
      </c>
      <c r="AD360">
        <f ca="1"/>
      </c>
      <c r="AE360">
        <f ca="1"/>
      </c>
      <c r="AF360">
        <f ca="1"/>
      </c>
      <c r="AG360">
        <f ca="1"/>
      </c>
      <c r="AH360">
        <f ca="1"/>
      </c>
      <c r="AL360" s="7">
        <f ca="1"/>
      </c>
      <c r="AM360" s="14">
        <f ca="1"/>
      </c>
      <c r="AN360" s="14">
        <f ca="1"/>
      </c>
      <c r="AO360" s="14">
        <f ca="1"/>
      </c>
      <c r="AP360" s="14">
        <f ca="1"/>
      </c>
      <c r="AQ360" s="14">
        <f ca="1"/>
      </c>
      <c r="AR360" s="14">
        <f ca="1"/>
      </c>
      <c r="AV360" s="14">
        <f ca="1"/>
      </c>
      <c r="AW360" s="14">
        <f ca="1"/>
      </c>
      <c r="AX360" s="14">
        <f ca="1"/>
      </c>
      <c r="AY360" s="14">
        <f ca="1"/>
      </c>
      <c r="AZ360" s="14">
        <f ca="1"/>
      </c>
      <c r="BF360" s="7">
        <f ca="1"/>
      </c>
      <c r="BG360" s="14">
        <f ca="1"/>
      </c>
      <c r="BH360" s="14">
        <f ca="1"/>
      </c>
      <c r="BI360" s="14">
        <f ca="1"/>
      </c>
      <c r="BJ360" s="14">
        <f ca="1"/>
      </c>
      <c r="BK360" s="14">
        <f ca="1"/>
      </c>
    </row>
    <row r="361" spans="28:63" x14ac:dyDescent="0.55000000000000004">
      <c r="AB361">
        <f ca="1"/>
      </c>
      <c r="AC361">
        <f ca="1"/>
      </c>
      <c r="AD361">
        <f ca="1"/>
      </c>
      <c r="AE361">
        <f ca="1"/>
      </c>
      <c r="AF361">
        <f ca="1"/>
      </c>
      <c r="AG361">
        <f ca="1"/>
      </c>
      <c r="AH361">
        <f ca="1"/>
      </c>
      <c r="AL361" s="7">
        <f ca="1"/>
      </c>
      <c r="AM361" s="14">
        <f ca="1"/>
      </c>
      <c r="AN361" s="14">
        <f ca="1"/>
      </c>
      <c r="AO361" s="14">
        <f ca="1"/>
      </c>
      <c r="AP361" s="14">
        <f ca="1"/>
      </c>
      <c r="AQ361" s="14">
        <f ca="1"/>
      </c>
      <c r="AR361" s="14">
        <f ca="1"/>
      </c>
      <c r="AV361" s="14">
        <f ca="1"/>
      </c>
      <c r="AW361" s="14">
        <f ca="1"/>
      </c>
      <c r="AX361" s="14">
        <f ca="1"/>
      </c>
      <c r="AY361" s="14">
        <f ca="1"/>
      </c>
      <c r="AZ361" s="14">
        <f ca="1"/>
      </c>
      <c r="BF361" s="7">
        <f ca="1"/>
      </c>
      <c r="BG361" s="14">
        <f ca="1"/>
      </c>
      <c r="BH361" s="14">
        <f ca="1"/>
      </c>
      <c r="BI361" s="14">
        <f ca="1"/>
      </c>
      <c r="BJ361" s="14">
        <f ca="1"/>
      </c>
      <c r="BK361" s="14">
        <f ca="1"/>
      </c>
    </row>
    <row r="362" spans="28:63" x14ac:dyDescent="0.55000000000000004">
      <c r="AB362">
        <f ca="1"/>
      </c>
      <c r="AC362">
        <f ca="1"/>
      </c>
      <c r="AD362">
        <f ca="1"/>
      </c>
      <c r="AE362">
        <f ca="1"/>
      </c>
      <c r="AF362">
        <f ca="1"/>
      </c>
      <c r="AG362">
        <f ca="1"/>
      </c>
      <c r="AH362">
        <f ca="1"/>
      </c>
      <c r="AL362" s="7">
        <f ca="1"/>
      </c>
      <c r="AM362" s="14">
        <f ca="1"/>
      </c>
      <c r="AN362" s="14">
        <f ca="1"/>
      </c>
      <c r="AO362" s="14">
        <f ca="1"/>
      </c>
      <c r="AP362" s="14">
        <f ca="1"/>
      </c>
      <c r="AQ362" s="14">
        <f ca="1"/>
      </c>
      <c r="AR362" s="14">
        <f ca="1"/>
      </c>
      <c r="AV362" s="14">
        <f ca="1"/>
      </c>
      <c r="AW362" s="14">
        <f ca="1"/>
      </c>
      <c r="AX362" s="14">
        <f ca="1"/>
      </c>
      <c r="AY362" s="14">
        <f ca="1"/>
      </c>
      <c r="AZ362" s="14">
        <f ca="1"/>
      </c>
      <c r="BF362" s="7">
        <f ca="1"/>
      </c>
      <c r="BG362" s="14">
        <f ca="1"/>
      </c>
      <c r="BH362" s="14">
        <f ca="1"/>
      </c>
      <c r="BI362" s="14">
        <f ca="1"/>
      </c>
      <c r="BJ362" s="14">
        <f ca="1"/>
      </c>
      <c r="BK362" s="14">
        <f ca="1"/>
      </c>
    </row>
    <row r="363" spans="28:63" x14ac:dyDescent="0.55000000000000004">
      <c r="AB363">
        <f ca="1"/>
      </c>
      <c r="AC363">
        <f ca="1"/>
      </c>
      <c r="AD363">
        <f ca="1"/>
      </c>
      <c r="AE363">
        <f ca="1"/>
      </c>
      <c r="AF363">
        <f ca="1"/>
      </c>
      <c r="AG363">
        <f ca="1"/>
      </c>
      <c r="AH363">
        <f ca="1"/>
      </c>
      <c r="AL363" s="7">
        <f ca="1"/>
      </c>
      <c r="AM363" s="14">
        <f ca="1"/>
      </c>
      <c r="AN363" s="14">
        <f ca="1"/>
      </c>
      <c r="AO363" s="14">
        <f ca="1"/>
      </c>
      <c r="AP363" s="14">
        <f ca="1"/>
      </c>
      <c r="AQ363" s="14">
        <f ca="1"/>
      </c>
      <c r="AR363" s="14">
        <f ca="1"/>
      </c>
      <c r="AV363" s="14">
        <f ca="1"/>
      </c>
      <c r="AW363" s="14">
        <f ca="1"/>
      </c>
      <c r="AX363" s="14">
        <f ca="1"/>
      </c>
      <c r="AY363" s="14">
        <f ca="1"/>
      </c>
      <c r="AZ363" s="14">
        <f ca="1"/>
      </c>
      <c r="BF363" s="7">
        <f ca="1"/>
      </c>
      <c r="BG363" s="14">
        <f ca="1"/>
      </c>
      <c r="BH363" s="14">
        <f ca="1"/>
      </c>
      <c r="BI363" s="14">
        <f ca="1"/>
      </c>
      <c r="BJ363" s="14">
        <f ca="1"/>
      </c>
      <c r="BK363" s="14">
        <f ca="1"/>
      </c>
    </row>
    <row r="364" spans="28:63" x14ac:dyDescent="0.55000000000000004">
      <c r="AB364">
        <f ca="1"/>
      </c>
      <c r="AC364">
        <f ca="1"/>
      </c>
      <c r="AD364">
        <f ca="1"/>
      </c>
      <c r="AE364">
        <f ca="1"/>
      </c>
      <c r="AF364">
        <f ca="1"/>
      </c>
      <c r="AG364">
        <f ca="1"/>
      </c>
      <c r="AH364">
        <f ca="1"/>
      </c>
      <c r="AL364" s="7">
        <f ca="1"/>
      </c>
      <c r="AM364" s="14">
        <f ca="1"/>
      </c>
      <c r="AN364" s="14">
        <f ca="1"/>
      </c>
      <c r="AO364" s="14">
        <f ca="1"/>
      </c>
      <c r="AP364" s="14">
        <f ca="1"/>
      </c>
      <c r="AQ364" s="14">
        <f ca="1"/>
      </c>
      <c r="AR364" s="14">
        <f ca="1"/>
      </c>
      <c r="AV364" s="14">
        <f ca="1"/>
      </c>
      <c r="AW364" s="14">
        <f ca="1"/>
      </c>
      <c r="AX364" s="14">
        <f ca="1"/>
      </c>
      <c r="AY364" s="14">
        <f ca="1"/>
      </c>
      <c r="AZ364" s="14">
        <f ca="1"/>
      </c>
      <c r="BF364" s="7">
        <f ca="1"/>
      </c>
      <c r="BG364" s="14">
        <f ca="1"/>
      </c>
      <c r="BH364" s="14">
        <f ca="1"/>
      </c>
      <c r="BI364" s="14">
        <f ca="1"/>
      </c>
      <c r="BJ364" s="14">
        <f ca="1"/>
      </c>
      <c r="BK364" s="14">
        <f ca="1"/>
      </c>
    </row>
    <row r="365" spans="28:63" x14ac:dyDescent="0.55000000000000004">
      <c r="AB365">
        <f ca="1"/>
      </c>
      <c r="AC365">
        <f ca="1"/>
      </c>
      <c r="AD365">
        <f ca="1"/>
      </c>
      <c r="AE365">
        <f ca="1"/>
      </c>
      <c r="AF365">
        <f ca="1"/>
      </c>
      <c r="AG365">
        <f ca="1"/>
      </c>
      <c r="AH365">
        <f ca="1"/>
      </c>
      <c r="AL365" s="7">
        <f ca="1"/>
      </c>
      <c r="AM365" s="14">
        <f ca="1"/>
      </c>
      <c r="AN365" s="14">
        <f ca="1"/>
      </c>
      <c r="AO365" s="14">
        <f ca="1"/>
      </c>
      <c r="AP365" s="14">
        <f ca="1"/>
      </c>
      <c r="AQ365" s="14">
        <f ca="1"/>
      </c>
      <c r="AR365" s="14">
        <f ca="1"/>
      </c>
      <c r="AV365" s="14">
        <f ca="1"/>
      </c>
      <c r="AW365" s="14">
        <f ca="1"/>
      </c>
      <c r="AX365" s="14">
        <f ca="1"/>
      </c>
      <c r="AY365" s="14">
        <f ca="1"/>
      </c>
      <c r="AZ365" s="14">
        <f ca="1"/>
      </c>
      <c r="BF365" s="7">
        <f ca="1"/>
      </c>
      <c r="BG365" s="14">
        <f ca="1"/>
      </c>
      <c r="BH365" s="14">
        <f ca="1"/>
      </c>
      <c r="BI365" s="14">
        <f ca="1"/>
      </c>
      <c r="BJ365" s="14">
        <f ca="1"/>
      </c>
      <c r="BK365" s="14">
        <f ca="1"/>
      </c>
    </row>
    <row r="366" spans="28:63" x14ac:dyDescent="0.55000000000000004">
      <c r="AB366">
        <f ca="1"/>
      </c>
      <c r="AC366">
        <f ca="1"/>
      </c>
      <c r="AD366">
        <f ca="1"/>
      </c>
      <c r="AE366">
        <f ca="1"/>
      </c>
      <c r="AF366">
        <f ca="1"/>
      </c>
      <c r="AG366">
        <f ca="1"/>
      </c>
      <c r="AH366">
        <f ca="1"/>
      </c>
      <c r="AL366" s="7">
        <f ca="1"/>
      </c>
      <c r="AM366" s="14">
        <f ca="1"/>
      </c>
      <c r="AN366" s="14">
        <f ca="1"/>
      </c>
      <c r="AO366" s="14">
        <f ca="1"/>
      </c>
      <c r="AP366" s="14">
        <f ca="1"/>
      </c>
      <c r="AQ366" s="14">
        <f ca="1"/>
      </c>
      <c r="AR366" s="14">
        <f ca="1"/>
      </c>
      <c r="AV366" s="14">
        <f ca="1"/>
      </c>
      <c r="AW366" s="14">
        <f ca="1"/>
      </c>
      <c r="AX366" s="14">
        <f ca="1"/>
      </c>
      <c r="AY366" s="14">
        <f ca="1"/>
      </c>
      <c r="AZ366" s="14">
        <f ca="1"/>
      </c>
      <c r="BF366" s="7">
        <f ca="1"/>
      </c>
      <c r="BG366" s="14">
        <f ca="1"/>
      </c>
      <c r="BH366" s="14">
        <f ca="1"/>
      </c>
      <c r="BI366" s="14">
        <f ca="1"/>
      </c>
      <c r="BJ366" s="14">
        <f ca="1"/>
      </c>
      <c r="BK366" s="14">
        <f ca="1"/>
      </c>
    </row>
    <row r="367" spans="28:63" x14ac:dyDescent="0.55000000000000004">
      <c r="AB367">
        <f ca="1"/>
      </c>
      <c r="AC367">
        <f ca="1"/>
      </c>
      <c r="AD367">
        <f ca="1"/>
      </c>
      <c r="AE367">
        <f ca="1"/>
      </c>
      <c r="AF367">
        <f ca="1"/>
      </c>
      <c r="AG367">
        <f ca="1"/>
      </c>
      <c r="AH367">
        <f ca="1"/>
      </c>
      <c r="AL367" s="7">
        <f ca="1"/>
      </c>
      <c r="AM367" s="14">
        <f ca="1"/>
      </c>
      <c r="AN367" s="14">
        <f ca="1"/>
      </c>
      <c r="AO367" s="14">
        <f ca="1"/>
      </c>
      <c r="AP367" s="14">
        <f ca="1"/>
      </c>
      <c r="AQ367" s="14">
        <f ca="1"/>
      </c>
      <c r="AR367" s="14">
        <f ca="1"/>
      </c>
      <c r="AV367" s="14">
        <f ca="1"/>
      </c>
      <c r="AW367" s="14">
        <f ca="1"/>
      </c>
      <c r="AX367" s="14">
        <f ca="1"/>
      </c>
      <c r="AY367" s="14">
        <f ca="1"/>
      </c>
      <c r="AZ367" s="14">
        <f ca="1"/>
      </c>
      <c r="BF367" s="7">
        <f ca="1"/>
      </c>
      <c r="BG367" s="14">
        <f ca="1"/>
      </c>
      <c r="BH367" s="14">
        <f ca="1"/>
      </c>
      <c r="BI367" s="14">
        <f ca="1"/>
      </c>
      <c r="BJ367" s="14">
        <f ca="1"/>
      </c>
      <c r="BK367" s="14">
        <f ca="1"/>
      </c>
    </row>
    <row r="368" spans="28:63" x14ac:dyDescent="0.55000000000000004">
      <c r="AB368">
        <f ca="1"/>
      </c>
      <c r="AC368">
        <f ca="1"/>
      </c>
      <c r="AD368">
        <f ca="1"/>
      </c>
      <c r="AE368">
        <f ca="1"/>
      </c>
      <c r="AF368">
        <f ca="1"/>
      </c>
      <c r="AG368">
        <f ca="1"/>
      </c>
      <c r="AH368">
        <f ca="1"/>
      </c>
      <c r="AL368" s="7">
        <f ca="1"/>
      </c>
      <c r="AM368" s="14">
        <f ca="1"/>
      </c>
      <c r="AN368" s="14">
        <f ca="1"/>
      </c>
      <c r="AO368" s="14">
        <f ca="1"/>
      </c>
      <c r="AP368" s="14">
        <f ca="1"/>
      </c>
      <c r="AQ368" s="14">
        <f ca="1"/>
      </c>
      <c r="AR368" s="14">
        <f ca="1"/>
      </c>
      <c r="AV368" s="14">
        <f ca="1"/>
      </c>
      <c r="AW368" s="14">
        <f ca="1"/>
      </c>
      <c r="AX368" s="14">
        <f ca="1"/>
      </c>
      <c r="AY368" s="14">
        <f ca="1"/>
      </c>
      <c r="AZ368" s="14">
        <f ca="1"/>
      </c>
      <c r="BF368" s="7">
        <f ca="1"/>
      </c>
      <c r="BG368" s="14">
        <f ca="1"/>
      </c>
      <c r="BH368" s="14">
        <f ca="1"/>
      </c>
      <c r="BI368" s="14">
        <f ca="1"/>
      </c>
      <c r="BJ368" s="14">
        <f ca="1"/>
      </c>
      <c r="BK368" s="14">
        <f ca="1"/>
      </c>
    </row>
    <row r="369" spans="28:63" x14ac:dyDescent="0.55000000000000004">
      <c r="AB369">
        <f ca="1"/>
      </c>
      <c r="AC369">
        <f ca="1"/>
      </c>
      <c r="AD369">
        <f ca="1"/>
      </c>
      <c r="AE369">
        <f ca="1"/>
      </c>
      <c r="AF369">
        <f ca="1"/>
      </c>
      <c r="AG369">
        <f ca="1"/>
      </c>
      <c r="AH369">
        <f ca="1"/>
      </c>
      <c r="AL369" s="7">
        <f ca="1"/>
      </c>
      <c r="AM369" s="14">
        <f ca="1"/>
      </c>
      <c r="AN369" s="14">
        <f ca="1"/>
      </c>
      <c r="AO369" s="14">
        <f ca="1"/>
      </c>
      <c r="AP369" s="14">
        <f ca="1"/>
      </c>
      <c r="AQ369" s="14">
        <f ca="1"/>
      </c>
      <c r="AR369" s="14">
        <f ca="1"/>
      </c>
      <c r="AV369" s="14">
        <f ca="1"/>
      </c>
      <c r="AW369" s="14">
        <f ca="1"/>
      </c>
      <c r="AX369" s="14">
        <f ca="1"/>
      </c>
      <c r="AY369" s="14">
        <f ca="1"/>
      </c>
      <c r="AZ369" s="14">
        <f ca="1"/>
      </c>
      <c r="BF369" s="7">
        <f ca="1"/>
      </c>
      <c r="BG369" s="14">
        <f ca="1"/>
      </c>
      <c r="BH369" s="14">
        <f ca="1"/>
      </c>
      <c r="BI369" s="14">
        <f ca="1"/>
      </c>
      <c r="BJ369" s="14">
        <f ca="1"/>
      </c>
      <c r="BK369" s="14">
        <f ca="1"/>
      </c>
    </row>
    <row r="370" spans="28:63" x14ac:dyDescent="0.55000000000000004">
      <c r="AB370">
        <f ca="1"/>
      </c>
      <c r="AC370">
        <f ca="1"/>
      </c>
      <c r="AD370">
        <f ca="1"/>
      </c>
      <c r="AE370">
        <f ca="1"/>
      </c>
      <c r="AF370">
        <f ca="1"/>
      </c>
      <c r="AG370">
        <f ca="1"/>
      </c>
      <c r="AH370">
        <f ca="1"/>
      </c>
      <c r="AL370" s="7">
        <f ca="1"/>
      </c>
      <c r="AM370" s="14">
        <f ca="1"/>
      </c>
      <c r="AN370" s="14">
        <f ca="1"/>
      </c>
      <c r="AO370" s="14">
        <f ca="1"/>
      </c>
      <c r="AP370" s="14">
        <f ca="1"/>
      </c>
      <c r="AQ370" s="14">
        <f ca="1"/>
      </c>
      <c r="AR370" s="14">
        <f ca="1"/>
      </c>
      <c r="AV370" s="14">
        <f ca="1"/>
      </c>
      <c r="AW370" s="14">
        <f ca="1"/>
      </c>
      <c r="AX370" s="14">
        <f ca="1"/>
      </c>
      <c r="AY370" s="14">
        <f ca="1"/>
      </c>
      <c r="AZ370" s="14">
        <f ca="1"/>
      </c>
      <c r="BF370" s="7">
        <f ca="1"/>
      </c>
      <c r="BG370" s="14">
        <f ca="1"/>
      </c>
      <c r="BH370" s="14">
        <f ca="1"/>
      </c>
      <c r="BI370" s="14">
        <f ca="1"/>
      </c>
      <c r="BJ370" s="14">
        <f ca="1"/>
      </c>
      <c r="BK370" s="14">
        <f ca="1"/>
      </c>
    </row>
    <row r="371" spans="28:63" x14ac:dyDescent="0.55000000000000004">
      <c r="AB371">
        <f ca="1"/>
      </c>
      <c r="AC371">
        <f ca="1"/>
      </c>
      <c r="AD371">
        <f ca="1"/>
      </c>
      <c r="AE371">
        <f ca="1"/>
      </c>
      <c r="AF371">
        <f ca="1"/>
      </c>
      <c r="AG371">
        <f ca="1"/>
      </c>
      <c r="AH371">
        <f ca="1"/>
      </c>
      <c r="AL371" s="7">
        <f ca="1"/>
      </c>
      <c r="AM371" s="14">
        <f ca="1"/>
      </c>
      <c r="AN371" s="14">
        <f ca="1"/>
      </c>
      <c r="AO371" s="14">
        <f ca="1"/>
      </c>
      <c r="AP371" s="14">
        <f ca="1"/>
      </c>
      <c r="AQ371" s="14">
        <f ca="1"/>
      </c>
      <c r="AR371" s="14">
        <f ca="1"/>
      </c>
      <c r="AV371" s="14">
        <f ca="1"/>
      </c>
      <c r="AW371" s="14">
        <f ca="1"/>
      </c>
      <c r="AX371" s="14">
        <f ca="1"/>
      </c>
      <c r="AY371" s="14">
        <f ca="1"/>
      </c>
      <c r="AZ371" s="14">
        <f ca="1"/>
      </c>
      <c r="BF371" s="7">
        <f ca="1"/>
      </c>
      <c r="BG371" s="14">
        <f ca="1"/>
      </c>
      <c r="BH371" s="14">
        <f ca="1"/>
      </c>
      <c r="BI371" s="14">
        <f ca="1"/>
      </c>
      <c r="BJ371" s="14">
        <f ca="1"/>
      </c>
      <c r="BK371" s="14">
        <f ca="1"/>
      </c>
    </row>
    <row r="372" spans="28:63" x14ac:dyDescent="0.55000000000000004">
      <c r="AB372">
        <f ca="1"/>
      </c>
      <c r="AC372">
        <f ca="1"/>
      </c>
      <c r="AD372">
        <f ca="1"/>
      </c>
      <c r="AE372">
        <f ca="1"/>
      </c>
      <c r="AF372">
        <f ca="1"/>
      </c>
      <c r="AG372">
        <f ca="1"/>
      </c>
      <c r="AH372">
        <f ca="1"/>
      </c>
      <c r="AL372" s="7">
        <f ca="1"/>
      </c>
      <c r="AM372" s="14">
        <f ca="1"/>
      </c>
      <c r="AN372" s="14">
        <f ca="1"/>
      </c>
      <c r="AO372" s="14">
        <f ca="1"/>
      </c>
      <c r="AP372" s="14">
        <f ca="1"/>
      </c>
      <c r="AQ372" s="14">
        <f ca="1"/>
      </c>
      <c r="AR372" s="14">
        <f ca="1"/>
      </c>
      <c r="AV372" s="14">
        <f ca="1"/>
      </c>
      <c r="AW372" s="14">
        <f ca="1"/>
      </c>
      <c r="AX372" s="14">
        <f ca="1"/>
      </c>
      <c r="AY372" s="14">
        <f ca="1"/>
      </c>
      <c r="AZ372" s="14">
        <f ca="1"/>
      </c>
      <c r="BF372" s="7">
        <f ca="1"/>
      </c>
      <c r="BG372" s="14">
        <f ca="1"/>
      </c>
      <c r="BH372" s="14">
        <f ca="1"/>
      </c>
      <c r="BI372" s="14">
        <f ca="1"/>
      </c>
      <c r="BJ372" s="14">
        <f ca="1"/>
      </c>
      <c r="BK372" s="14">
        <f ca="1"/>
      </c>
    </row>
    <row r="373" spans="28:63" x14ac:dyDescent="0.55000000000000004">
      <c r="AB373">
        <f ca="1"/>
      </c>
      <c r="AC373">
        <f ca="1"/>
      </c>
      <c r="AD373">
        <f ca="1"/>
      </c>
      <c r="AE373">
        <f ca="1"/>
      </c>
      <c r="AF373">
        <f ca="1"/>
      </c>
      <c r="AG373">
        <f ca="1"/>
      </c>
      <c r="AH373">
        <f ca="1"/>
      </c>
      <c r="AL373" s="7">
        <f ca="1"/>
      </c>
      <c r="AM373" s="14">
        <f ca="1"/>
      </c>
      <c r="AN373" s="14">
        <f ca="1"/>
      </c>
      <c r="AO373" s="14">
        <f ca="1"/>
      </c>
      <c r="AP373" s="14">
        <f ca="1"/>
      </c>
      <c r="AQ373" s="14">
        <f ca="1"/>
      </c>
      <c r="AR373" s="14">
        <f ca="1"/>
      </c>
      <c r="AV373" s="14">
        <f ca="1"/>
      </c>
      <c r="AW373" s="14">
        <f ca="1"/>
      </c>
      <c r="AX373" s="14">
        <f ca="1"/>
      </c>
      <c r="AY373" s="14">
        <f ca="1"/>
      </c>
      <c r="AZ373" s="14">
        <f ca="1"/>
      </c>
      <c r="BF373" s="7">
        <f ca="1"/>
      </c>
      <c r="BG373" s="14">
        <f ca="1"/>
      </c>
      <c r="BH373" s="14">
        <f ca="1"/>
      </c>
      <c r="BI373" s="14">
        <f ca="1"/>
      </c>
      <c r="BJ373" s="14">
        <f ca="1"/>
      </c>
      <c r="BK373" s="14">
        <f ca="1"/>
      </c>
    </row>
    <row r="374" spans="28:63" x14ac:dyDescent="0.55000000000000004">
      <c r="AB374">
        <f ca="1"/>
      </c>
      <c r="AC374">
        <f ca="1"/>
      </c>
      <c r="AD374">
        <f ca="1"/>
      </c>
      <c r="AE374">
        <f ca="1"/>
      </c>
      <c r="AF374">
        <f ca="1"/>
      </c>
      <c r="AG374">
        <f ca="1"/>
      </c>
      <c r="AH374">
        <f ca="1"/>
      </c>
      <c r="AL374" s="7">
        <f ca="1"/>
      </c>
      <c r="AM374" s="14">
        <f ca="1"/>
      </c>
      <c r="AN374" s="14">
        <f ca="1"/>
      </c>
      <c r="AO374" s="14">
        <f ca="1"/>
      </c>
      <c r="AP374" s="14">
        <f ca="1"/>
      </c>
      <c r="AQ374" s="14">
        <f ca="1"/>
      </c>
      <c r="AR374" s="14">
        <f ca="1"/>
      </c>
      <c r="AV374" s="14">
        <f ca="1"/>
      </c>
      <c r="AW374" s="14">
        <f ca="1"/>
      </c>
      <c r="AX374" s="14">
        <f ca="1"/>
      </c>
      <c r="AY374" s="14">
        <f ca="1"/>
      </c>
      <c r="AZ374" s="14">
        <f ca="1"/>
      </c>
      <c r="BF374" s="7">
        <f ca="1"/>
      </c>
      <c r="BG374" s="14">
        <f ca="1"/>
      </c>
      <c r="BH374" s="14">
        <f ca="1"/>
      </c>
      <c r="BI374" s="14">
        <f ca="1"/>
      </c>
      <c r="BJ374" s="14">
        <f ca="1"/>
      </c>
      <c r="BK374" s="14">
        <f ca="1"/>
      </c>
    </row>
    <row r="375" spans="28:63" x14ac:dyDescent="0.55000000000000004">
      <c r="AB375">
        <f ca="1"/>
      </c>
      <c r="AC375">
        <f ca="1"/>
      </c>
      <c r="AD375">
        <f ca="1"/>
      </c>
      <c r="AE375">
        <f ca="1"/>
      </c>
      <c r="AF375">
        <f ca="1"/>
      </c>
      <c r="AG375">
        <f ca="1"/>
      </c>
      <c r="AH375">
        <f ca="1"/>
      </c>
      <c r="AL375" s="7">
        <f ca="1"/>
      </c>
      <c r="AM375" s="14">
        <f ca="1"/>
      </c>
      <c r="AN375" s="14">
        <f ca="1"/>
      </c>
      <c r="AO375" s="14">
        <f ca="1"/>
      </c>
      <c r="AP375" s="14">
        <f ca="1"/>
      </c>
      <c r="AQ375" s="14">
        <f ca="1"/>
      </c>
      <c r="AR375" s="14">
        <f ca="1"/>
      </c>
      <c r="AV375" s="14">
        <f ca="1"/>
      </c>
      <c r="AW375" s="14">
        <f ca="1"/>
      </c>
      <c r="AX375" s="14">
        <f ca="1"/>
      </c>
      <c r="AY375" s="14">
        <f ca="1"/>
      </c>
      <c r="AZ375" s="14">
        <f ca="1"/>
      </c>
      <c r="BF375" s="7">
        <f ca="1"/>
      </c>
      <c r="BG375" s="14">
        <f ca="1"/>
      </c>
      <c r="BH375" s="14">
        <f ca="1"/>
      </c>
      <c r="BI375" s="14">
        <f ca="1"/>
      </c>
      <c r="BJ375" s="14">
        <f ca="1"/>
      </c>
      <c r="BK375" s="14">
        <f ca="1"/>
      </c>
    </row>
    <row r="376" spans="28:63" x14ac:dyDescent="0.55000000000000004">
      <c r="AB376">
        <f ca="1"/>
      </c>
      <c r="AC376">
        <f ca="1"/>
      </c>
      <c r="AD376">
        <f ca="1"/>
      </c>
      <c r="AE376">
        <f ca="1"/>
      </c>
      <c r="AF376">
        <f ca="1"/>
      </c>
      <c r="AG376">
        <f ca="1"/>
      </c>
      <c r="AH376">
        <f ca="1"/>
      </c>
      <c r="AL376" s="7">
        <f ca="1"/>
      </c>
      <c r="AM376" s="14">
        <f ca="1"/>
      </c>
      <c r="AN376" s="14">
        <f ca="1"/>
      </c>
      <c r="AO376" s="14">
        <f ca="1"/>
      </c>
      <c r="AP376" s="14">
        <f ca="1"/>
      </c>
      <c r="AQ376" s="14">
        <f ca="1"/>
      </c>
      <c r="AR376" s="14">
        <f ca="1"/>
      </c>
      <c r="AV376" s="14">
        <f ca="1"/>
      </c>
      <c r="AW376" s="14">
        <f ca="1"/>
      </c>
      <c r="AX376" s="14">
        <f ca="1"/>
      </c>
      <c r="AY376" s="14">
        <f ca="1"/>
      </c>
      <c r="AZ376" s="14">
        <f ca="1"/>
      </c>
      <c r="BF376" s="7">
        <f ca="1"/>
      </c>
      <c r="BG376" s="14">
        <f ca="1"/>
      </c>
      <c r="BH376" s="14">
        <f ca="1"/>
      </c>
      <c r="BI376" s="14">
        <f ca="1"/>
      </c>
      <c r="BJ376" s="14">
        <f ca="1"/>
      </c>
      <c r="BK376" s="14">
        <f ca="1"/>
      </c>
    </row>
    <row r="377" spans="28:63" x14ac:dyDescent="0.55000000000000004">
      <c r="AB377">
        <f ca="1"/>
      </c>
      <c r="AC377">
        <f ca="1"/>
      </c>
      <c r="AD377">
        <f ca="1"/>
      </c>
      <c r="AE377">
        <f ca="1"/>
      </c>
      <c r="AF377">
        <f ca="1"/>
      </c>
      <c r="AG377">
        <f ca="1"/>
      </c>
      <c r="AH377">
        <f ca="1"/>
      </c>
      <c r="AL377" s="7">
        <f ca="1"/>
      </c>
      <c r="AM377" s="14">
        <f ca="1"/>
      </c>
      <c r="AN377" s="14">
        <f ca="1"/>
      </c>
      <c r="AO377" s="14">
        <f ca="1"/>
      </c>
      <c r="AP377" s="14">
        <f ca="1"/>
      </c>
      <c r="AQ377" s="14">
        <f ca="1"/>
      </c>
      <c r="AR377" s="14">
        <f ca="1"/>
      </c>
      <c r="AV377" s="14">
        <f ca="1"/>
      </c>
      <c r="AW377" s="14">
        <f ca="1"/>
      </c>
      <c r="AX377" s="14">
        <f ca="1"/>
      </c>
      <c r="AY377" s="14">
        <f ca="1"/>
      </c>
      <c r="AZ377" s="14">
        <f ca="1"/>
      </c>
      <c r="BF377" s="7">
        <f ca="1"/>
      </c>
      <c r="BG377" s="14">
        <f ca="1"/>
      </c>
      <c r="BH377" s="14">
        <f ca="1"/>
      </c>
      <c r="BI377" s="14">
        <f ca="1"/>
      </c>
      <c r="BJ377" s="14">
        <f ca="1"/>
      </c>
      <c r="BK377" s="14">
        <f ca="1"/>
      </c>
    </row>
    <row r="378" spans="28:63" x14ac:dyDescent="0.55000000000000004">
      <c r="AB378">
        <f ca="1"/>
      </c>
      <c r="AC378">
        <f ca="1"/>
      </c>
      <c r="AD378">
        <f ca="1"/>
      </c>
      <c r="AE378">
        <f ca="1"/>
      </c>
      <c r="AF378">
        <f ca="1"/>
      </c>
      <c r="AG378">
        <f ca="1"/>
      </c>
      <c r="AH378">
        <f ca="1"/>
      </c>
      <c r="AL378" s="7">
        <f ca="1"/>
      </c>
      <c r="AM378" s="14">
        <f ca="1"/>
      </c>
      <c r="AN378" s="14">
        <f ca="1"/>
      </c>
      <c r="AO378" s="14">
        <f ca="1"/>
      </c>
      <c r="AP378" s="14">
        <f ca="1"/>
      </c>
      <c r="AQ378" s="14">
        <f ca="1"/>
      </c>
      <c r="AR378" s="14">
        <f ca="1"/>
      </c>
      <c r="AV378" s="14">
        <f ca="1"/>
      </c>
      <c r="AW378" s="14">
        <f ca="1"/>
      </c>
      <c r="AX378" s="14">
        <f ca="1"/>
      </c>
      <c r="AY378" s="14">
        <f ca="1"/>
      </c>
      <c r="AZ378" s="14">
        <f ca="1"/>
      </c>
      <c r="BF378" s="7">
        <f ca="1"/>
      </c>
      <c r="BG378" s="14">
        <f ca="1"/>
      </c>
      <c r="BH378" s="14">
        <f ca="1"/>
      </c>
      <c r="BI378" s="14">
        <f ca="1"/>
      </c>
      <c r="BJ378" s="14">
        <f ca="1"/>
      </c>
      <c r="BK378" s="14">
        <f ca="1"/>
      </c>
    </row>
    <row r="379" spans="28:63" x14ac:dyDescent="0.55000000000000004">
      <c r="AB379">
        <f ca="1"/>
      </c>
      <c r="AC379">
        <f ca="1"/>
      </c>
      <c r="AD379">
        <f ca="1"/>
      </c>
      <c r="AE379">
        <f ca="1"/>
      </c>
      <c r="AF379">
        <f ca="1"/>
      </c>
      <c r="AG379">
        <f ca="1"/>
      </c>
      <c r="AH379">
        <f ca="1"/>
      </c>
      <c r="AL379" s="7">
        <f ca="1"/>
      </c>
      <c r="AM379" s="14">
        <f ca="1"/>
      </c>
      <c r="AN379" s="14">
        <f ca="1"/>
      </c>
      <c r="AO379" s="14">
        <f ca="1"/>
      </c>
      <c r="AP379" s="14">
        <f ca="1"/>
      </c>
      <c r="AQ379" s="14">
        <f ca="1"/>
      </c>
      <c r="AR379" s="14">
        <f ca="1"/>
      </c>
      <c r="AV379" s="14">
        <f ca="1"/>
      </c>
      <c r="AW379" s="14">
        <f ca="1"/>
      </c>
      <c r="AX379" s="14">
        <f ca="1"/>
      </c>
      <c r="AY379" s="14">
        <f ca="1"/>
      </c>
      <c r="AZ379" s="14">
        <f ca="1"/>
      </c>
      <c r="BF379" s="7">
        <f ca="1"/>
      </c>
      <c r="BG379" s="14">
        <f ca="1"/>
      </c>
      <c r="BH379" s="14">
        <f ca="1"/>
      </c>
      <c r="BI379" s="14">
        <f ca="1"/>
      </c>
      <c r="BJ379" s="14">
        <f ca="1"/>
      </c>
      <c r="BK379" s="14">
        <f ca="1"/>
      </c>
    </row>
    <row r="380" spans="28:63" x14ac:dyDescent="0.55000000000000004">
      <c r="AB380">
        <f ca="1"/>
      </c>
      <c r="AC380">
        <f ca="1"/>
      </c>
      <c r="AD380">
        <f ca="1"/>
      </c>
      <c r="AE380">
        <f ca="1"/>
      </c>
      <c r="AF380">
        <f ca="1"/>
      </c>
      <c r="AG380">
        <f ca="1"/>
      </c>
      <c r="AH380">
        <f ca="1"/>
      </c>
      <c r="AL380" s="7">
        <f ca="1"/>
      </c>
      <c r="AM380" s="14">
        <f ca="1"/>
      </c>
      <c r="AN380" s="14">
        <f ca="1"/>
      </c>
      <c r="AO380" s="14">
        <f ca="1"/>
      </c>
      <c r="AP380" s="14">
        <f ca="1"/>
      </c>
      <c r="AQ380" s="14">
        <f ca="1"/>
      </c>
      <c r="AR380" s="14">
        <f ca="1"/>
      </c>
      <c r="AV380" s="14">
        <f ca="1"/>
      </c>
      <c r="AW380" s="14">
        <f ca="1"/>
      </c>
      <c r="AX380" s="14">
        <f ca="1"/>
      </c>
      <c r="AY380" s="14">
        <f ca="1"/>
      </c>
      <c r="AZ380" s="14">
        <f ca="1"/>
      </c>
      <c r="BF380" s="7">
        <f ca="1"/>
      </c>
      <c r="BG380" s="14">
        <f ca="1"/>
      </c>
      <c r="BH380" s="14">
        <f ca="1"/>
      </c>
      <c r="BI380" s="14">
        <f ca="1"/>
      </c>
      <c r="BJ380" s="14">
        <f ca="1"/>
      </c>
      <c r="BK380" s="14">
        <f ca="1"/>
      </c>
    </row>
    <row r="381" spans="28:63" x14ac:dyDescent="0.55000000000000004">
      <c r="AB381">
        <f ca="1"/>
      </c>
      <c r="AC381">
        <f ca="1"/>
      </c>
      <c r="AD381">
        <f ca="1"/>
      </c>
      <c r="AE381">
        <f ca="1"/>
      </c>
      <c r="AF381">
        <f ca="1"/>
      </c>
      <c r="AG381">
        <f ca="1"/>
      </c>
      <c r="AH381">
        <f ca="1"/>
      </c>
      <c r="AL381" s="7">
        <f ca="1"/>
      </c>
      <c r="AM381" s="14">
        <f ca="1"/>
      </c>
      <c r="AN381" s="14">
        <f ca="1"/>
      </c>
      <c r="AO381" s="14">
        <f ca="1"/>
      </c>
      <c r="AP381" s="14">
        <f ca="1"/>
      </c>
      <c r="AQ381" s="14">
        <f ca="1"/>
      </c>
      <c r="AR381" s="14">
        <f ca="1"/>
      </c>
      <c r="AV381" s="14">
        <f ca="1"/>
      </c>
      <c r="AW381" s="14">
        <f ca="1"/>
      </c>
      <c r="AX381" s="14">
        <f ca="1"/>
      </c>
      <c r="AY381" s="14">
        <f ca="1"/>
      </c>
      <c r="AZ381" s="14">
        <f ca="1"/>
      </c>
      <c r="BF381" s="7">
        <f ca="1"/>
      </c>
      <c r="BG381" s="14">
        <f ca="1"/>
      </c>
      <c r="BH381" s="14">
        <f ca="1"/>
      </c>
      <c r="BI381" s="14">
        <f ca="1"/>
      </c>
      <c r="BJ381" s="14">
        <f ca="1"/>
      </c>
      <c r="BK381" s="14">
        <f ca="1"/>
      </c>
    </row>
    <row r="382" spans="28:63" x14ac:dyDescent="0.55000000000000004">
      <c r="AB382">
        <f ca="1"/>
      </c>
      <c r="AC382">
        <f ca="1"/>
      </c>
      <c r="AD382">
        <f ca="1"/>
      </c>
      <c r="AE382">
        <f ca="1"/>
      </c>
      <c r="AF382">
        <f ca="1"/>
      </c>
      <c r="AG382">
        <f ca="1"/>
      </c>
      <c r="AH382">
        <f ca="1"/>
      </c>
      <c r="AL382" s="7">
        <f ca="1"/>
      </c>
      <c r="AM382" s="14">
        <f ca="1"/>
      </c>
      <c r="AN382" s="14">
        <f ca="1"/>
      </c>
      <c r="AO382" s="14">
        <f ca="1"/>
      </c>
      <c r="AP382" s="14">
        <f ca="1"/>
      </c>
      <c r="AQ382" s="14">
        <f ca="1"/>
      </c>
      <c r="AR382" s="14">
        <f ca="1"/>
      </c>
      <c r="AV382" s="14">
        <f ca="1"/>
      </c>
      <c r="AW382" s="14">
        <f ca="1"/>
      </c>
      <c r="AX382" s="14">
        <f ca="1"/>
      </c>
      <c r="AY382" s="14">
        <f ca="1"/>
      </c>
      <c r="AZ382" s="14">
        <f ca="1"/>
      </c>
      <c r="BF382" s="7">
        <f ca="1"/>
      </c>
      <c r="BG382" s="14">
        <f ca="1"/>
      </c>
      <c r="BH382" s="14">
        <f ca="1"/>
      </c>
      <c r="BI382" s="14">
        <f ca="1"/>
      </c>
      <c r="BJ382" s="14">
        <f ca="1"/>
      </c>
      <c r="BK382" s="14">
        <f ca="1"/>
      </c>
    </row>
    <row r="383" spans="28:63" x14ac:dyDescent="0.55000000000000004">
      <c r="AB383">
        <f ca="1"/>
      </c>
      <c r="AC383">
        <f ca="1"/>
      </c>
      <c r="AD383">
        <f ca="1"/>
      </c>
      <c r="AE383">
        <f ca="1"/>
      </c>
      <c r="AF383">
        <f ca="1"/>
      </c>
      <c r="AG383">
        <f ca="1"/>
      </c>
      <c r="AH383">
        <f ca="1"/>
      </c>
      <c r="AL383" s="7">
        <f ca="1"/>
      </c>
      <c r="AM383" s="14">
        <f ca="1"/>
      </c>
      <c r="AN383" s="14">
        <f ca="1"/>
      </c>
      <c r="AO383" s="14">
        <f ca="1"/>
      </c>
      <c r="AP383" s="14">
        <f ca="1"/>
      </c>
      <c r="AQ383" s="14">
        <f ca="1"/>
      </c>
      <c r="AR383" s="14">
        <f ca="1"/>
      </c>
      <c r="AV383" s="14">
        <f ca="1"/>
      </c>
      <c r="AW383" s="14">
        <f ca="1"/>
      </c>
      <c r="AX383" s="14">
        <f ca="1"/>
      </c>
      <c r="AY383" s="14">
        <f ca="1"/>
      </c>
      <c r="AZ383" s="14">
        <f ca="1"/>
      </c>
      <c r="BF383" s="7">
        <f ca="1"/>
      </c>
      <c r="BG383" s="14">
        <f ca="1"/>
      </c>
      <c r="BH383" s="14">
        <f ca="1"/>
      </c>
      <c r="BI383" s="14">
        <f ca="1"/>
      </c>
      <c r="BJ383" s="14">
        <f ca="1"/>
      </c>
      <c r="BK383" s="14">
        <f ca="1"/>
      </c>
    </row>
    <row r="384" spans="28:63" x14ac:dyDescent="0.55000000000000004">
      <c r="AB384">
        <f ca="1"/>
      </c>
      <c r="AC384">
        <f ca="1"/>
      </c>
      <c r="AD384">
        <f ca="1"/>
      </c>
      <c r="AE384">
        <f ca="1"/>
      </c>
      <c r="AF384">
        <f ca="1"/>
      </c>
      <c r="AG384">
        <f ca="1"/>
      </c>
      <c r="AH384">
        <f ca="1"/>
      </c>
      <c r="AL384" s="7">
        <f ca="1"/>
      </c>
      <c r="AM384" s="14">
        <f ca="1"/>
      </c>
      <c r="AN384" s="14">
        <f ca="1"/>
      </c>
      <c r="AO384" s="14">
        <f ca="1"/>
      </c>
      <c r="AP384" s="14">
        <f ca="1"/>
      </c>
      <c r="AQ384" s="14">
        <f ca="1"/>
      </c>
      <c r="AR384" s="14">
        <f ca="1"/>
      </c>
      <c r="AV384" s="14">
        <f ca="1"/>
      </c>
      <c r="AW384" s="14">
        <f ca="1"/>
      </c>
      <c r="AX384" s="14">
        <f ca="1"/>
      </c>
      <c r="AY384" s="14">
        <f ca="1"/>
      </c>
      <c r="AZ384" s="14">
        <f ca="1"/>
      </c>
      <c r="BF384" s="7">
        <f ca="1"/>
      </c>
      <c r="BG384" s="14">
        <f ca="1"/>
      </c>
      <c r="BH384" s="14">
        <f ca="1"/>
      </c>
      <c r="BI384" s="14">
        <f ca="1"/>
      </c>
      <c r="BJ384" s="14">
        <f ca="1"/>
      </c>
      <c r="BK384" s="14">
        <f ca="1"/>
      </c>
    </row>
    <row r="385" spans="28:63" x14ac:dyDescent="0.55000000000000004">
      <c r="AB385">
        <f ca="1"/>
      </c>
      <c r="AC385">
        <f ca="1"/>
      </c>
      <c r="AD385">
        <f ca="1"/>
      </c>
      <c r="AE385">
        <f ca="1"/>
      </c>
      <c r="AF385">
        <f ca="1"/>
      </c>
      <c r="AG385">
        <f ca="1"/>
      </c>
      <c r="AH385">
        <f ca="1"/>
      </c>
      <c r="AL385" s="7">
        <f ca="1"/>
      </c>
      <c r="AM385" s="14">
        <f ca="1"/>
      </c>
      <c r="AN385" s="14">
        <f ca="1"/>
      </c>
      <c r="AO385" s="14">
        <f ca="1"/>
      </c>
      <c r="AP385" s="14">
        <f ca="1"/>
      </c>
      <c r="AQ385" s="14">
        <f ca="1"/>
      </c>
      <c r="AR385" s="14">
        <f ca="1"/>
      </c>
      <c r="AV385" s="14">
        <f ca="1"/>
      </c>
      <c r="AW385" s="14">
        <f ca="1"/>
      </c>
      <c r="AX385" s="14">
        <f ca="1"/>
      </c>
      <c r="AY385" s="14">
        <f ca="1"/>
      </c>
      <c r="AZ385" s="14">
        <f ca="1"/>
      </c>
      <c r="BF385" s="7">
        <f ca="1"/>
      </c>
      <c r="BG385" s="14">
        <f ca="1"/>
      </c>
      <c r="BH385" s="14">
        <f ca="1"/>
      </c>
      <c r="BI385" s="14">
        <f ca="1"/>
      </c>
      <c r="BJ385" s="14">
        <f ca="1"/>
      </c>
      <c r="BK385" s="14">
        <f ca="1"/>
      </c>
    </row>
    <row r="386" spans="28:63" x14ac:dyDescent="0.55000000000000004">
      <c r="AB386">
        <f ca="1"/>
      </c>
      <c r="AC386">
        <f ca="1"/>
      </c>
      <c r="AD386">
        <f ca="1"/>
      </c>
      <c r="AE386">
        <f ca="1"/>
      </c>
      <c r="AF386">
        <f ca="1"/>
      </c>
      <c r="AG386">
        <f ca="1"/>
      </c>
      <c r="AH386">
        <f ca="1"/>
      </c>
      <c r="AL386" s="7">
        <f ca="1"/>
      </c>
      <c r="AM386" s="14">
        <f ca="1"/>
      </c>
      <c r="AN386" s="14">
        <f ca="1"/>
      </c>
      <c r="AO386" s="14">
        <f ca="1"/>
      </c>
      <c r="AP386" s="14">
        <f ca="1"/>
      </c>
      <c r="AQ386" s="14">
        <f ca="1"/>
      </c>
      <c r="AR386" s="14">
        <f ca="1"/>
      </c>
      <c r="AV386" s="14">
        <f ca="1"/>
      </c>
      <c r="AW386" s="14">
        <f ca="1"/>
      </c>
      <c r="AX386" s="14">
        <f ca="1"/>
      </c>
      <c r="AY386" s="14">
        <f ca="1"/>
      </c>
      <c r="AZ386" s="14">
        <f ca="1"/>
      </c>
      <c r="BF386" s="7">
        <f ca="1"/>
      </c>
      <c r="BG386" s="14">
        <f ca="1"/>
      </c>
      <c r="BH386" s="14">
        <f ca="1"/>
      </c>
      <c r="BI386" s="14">
        <f ca="1"/>
      </c>
      <c r="BJ386" s="14">
        <f ca="1"/>
      </c>
      <c r="BK386" s="14">
        <f ca="1"/>
      </c>
    </row>
    <row r="387" spans="28:63" x14ac:dyDescent="0.55000000000000004">
      <c r="AB387">
        <f ca="1"/>
      </c>
      <c r="AC387">
        <f ca="1"/>
      </c>
      <c r="AD387">
        <f ca="1"/>
      </c>
      <c r="AE387">
        <f ca="1"/>
      </c>
      <c r="AF387">
        <f ca="1"/>
      </c>
      <c r="AG387">
        <f ca="1"/>
      </c>
      <c r="AH387">
        <f ca="1"/>
      </c>
      <c r="AL387" s="7">
        <f ca="1"/>
      </c>
      <c r="AM387" s="14">
        <f ca="1"/>
      </c>
      <c r="AN387" s="14">
        <f ca="1"/>
      </c>
      <c r="AO387" s="14">
        <f ca="1"/>
      </c>
      <c r="AP387" s="14">
        <f ca="1"/>
      </c>
      <c r="AQ387" s="14">
        <f ca="1"/>
      </c>
      <c r="AR387" s="14">
        <f ca="1"/>
      </c>
      <c r="AV387" s="14">
        <f ca="1"/>
      </c>
      <c r="AW387" s="14">
        <f ca="1"/>
      </c>
      <c r="AX387" s="14">
        <f ca="1"/>
      </c>
      <c r="AY387" s="14">
        <f ca="1"/>
      </c>
      <c r="AZ387" s="14">
        <f ca="1"/>
      </c>
      <c r="BF387" s="7">
        <f ca="1"/>
      </c>
      <c r="BG387" s="14">
        <f ca="1"/>
      </c>
      <c r="BH387" s="14">
        <f ca="1"/>
      </c>
      <c r="BI387" s="14">
        <f ca="1"/>
      </c>
      <c r="BJ387" s="14">
        <f ca="1"/>
      </c>
      <c r="BK387" s="14">
        <f ca="1"/>
      </c>
    </row>
    <row r="388" spans="28:63" x14ac:dyDescent="0.55000000000000004">
      <c r="AB388">
        <f ca="1"/>
      </c>
      <c r="AC388">
        <f ca="1"/>
      </c>
      <c r="AD388">
        <f ca="1"/>
      </c>
      <c r="AE388">
        <f ca="1"/>
      </c>
      <c r="AF388">
        <f ca="1"/>
      </c>
      <c r="AG388">
        <f ca="1"/>
      </c>
      <c r="AH388">
        <f ca="1"/>
      </c>
      <c r="AL388" s="7">
        <f ca="1"/>
      </c>
      <c r="AM388" s="14">
        <f ca="1"/>
      </c>
      <c r="AN388" s="14">
        <f ca="1"/>
      </c>
      <c r="AO388" s="14">
        <f ca="1"/>
      </c>
      <c r="AP388" s="14">
        <f ca="1"/>
      </c>
      <c r="AQ388" s="14">
        <f ca="1"/>
      </c>
      <c r="AR388" s="14">
        <f ca="1"/>
      </c>
      <c r="AV388" s="14">
        <f ca="1"/>
      </c>
      <c r="AW388" s="14">
        <f ca="1"/>
      </c>
      <c r="AX388" s="14">
        <f ca="1"/>
      </c>
      <c r="AY388" s="14">
        <f ca="1"/>
      </c>
      <c r="AZ388" s="14">
        <f ca="1"/>
      </c>
      <c r="BF388" s="7">
        <f ca="1"/>
      </c>
      <c r="BG388" s="14">
        <f ca="1"/>
      </c>
      <c r="BH388" s="14">
        <f ca="1"/>
      </c>
      <c r="BI388" s="14">
        <f ca="1"/>
      </c>
      <c r="BJ388" s="14">
        <f ca="1"/>
      </c>
      <c r="BK388" s="14">
        <f ca="1"/>
      </c>
    </row>
    <row r="389" spans="28:63" x14ac:dyDescent="0.55000000000000004">
      <c r="AB389">
        <f ca="1"/>
      </c>
      <c r="AC389">
        <f ca="1"/>
      </c>
      <c r="AD389">
        <f ca="1"/>
      </c>
      <c r="AE389">
        <f ca="1"/>
      </c>
      <c r="AF389">
        <f ca="1"/>
      </c>
      <c r="AG389">
        <f ca="1"/>
      </c>
      <c r="AH389">
        <f ca="1"/>
      </c>
      <c r="AL389" s="7">
        <f ca="1"/>
      </c>
      <c r="AM389" s="14">
        <f ca="1"/>
      </c>
      <c r="AN389" s="14">
        <f ca="1"/>
      </c>
      <c r="AO389" s="14">
        <f ca="1"/>
      </c>
      <c r="AP389" s="14">
        <f ca="1"/>
      </c>
      <c r="AQ389" s="14">
        <f ca="1"/>
      </c>
      <c r="AR389" s="14">
        <f ca="1"/>
      </c>
      <c r="AV389" s="14">
        <f ca="1"/>
      </c>
      <c r="AW389" s="14">
        <f ca="1"/>
      </c>
      <c r="AX389" s="14">
        <f ca="1"/>
      </c>
      <c r="AY389" s="14">
        <f ca="1"/>
      </c>
      <c r="AZ389" s="14">
        <f ca="1"/>
      </c>
      <c r="BF389" s="7">
        <f ca="1"/>
      </c>
      <c r="BG389" s="14">
        <f ca="1"/>
      </c>
      <c r="BH389" s="14">
        <f ca="1"/>
      </c>
      <c r="BI389" s="14">
        <f ca="1"/>
      </c>
      <c r="BJ389" s="14">
        <f ca="1"/>
      </c>
      <c r="BK389" s="14">
        <f ca="1"/>
      </c>
    </row>
    <row r="390" spans="28:63" x14ac:dyDescent="0.55000000000000004">
      <c r="AB390">
        <f ca="1"/>
      </c>
      <c r="AC390">
        <f ca="1"/>
      </c>
      <c r="AD390">
        <f ca="1"/>
      </c>
      <c r="AE390">
        <f ca="1"/>
      </c>
      <c r="AF390">
        <f ca="1"/>
      </c>
      <c r="AG390">
        <f ca="1"/>
      </c>
      <c r="AH390">
        <f ca="1"/>
      </c>
      <c r="AL390" s="7">
        <f ca="1"/>
      </c>
      <c r="AM390" s="14">
        <f ca="1"/>
      </c>
      <c r="AN390" s="14">
        <f ca="1"/>
      </c>
      <c r="AO390" s="14">
        <f ca="1"/>
      </c>
      <c r="AP390" s="14">
        <f ca="1"/>
      </c>
      <c r="AQ390" s="14">
        <f ca="1"/>
      </c>
      <c r="AR390" s="14">
        <f ca="1"/>
      </c>
      <c r="AV390" s="14">
        <f ca="1"/>
      </c>
      <c r="AW390" s="14">
        <f ca="1"/>
      </c>
      <c r="AX390" s="14">
        <f ca="1"/>
      </c>
      <c r="AY390" s="14">
        <f ca="1"/>
      </c>
      <c r="AZ390" s="14">
        <f ca="1"/>
      </c>
      <c r="BF390" s="7">
        <f ca="1"/>
      </c>
      <c r="BG390" s="14">
        <f ca="1"/>
      </c>
      <c r="BH390" s="14">
        <f ca="1"/>
      </c>
      <c r="BI390" s="14">
        <f ca="1"/>
      </c>
      <c r="BJ390" s="14">
        <f ca="1"/>
      </c>
      <c r="BK390" s="14">
        <f ca="1"/>
      </c>
    </row>
    <row r="391" spans="28:63" x14ac:dyDescent="0.55000000000000004">
      <c r="AB391">
        <f ca="1"/>
      </c>
      <c r="AC391">
        <f ca="1"/>
      </c>
      <c r="AD391">
        <f ca="1"/>
      </c>
      <c r="AE391">
        <f ca="1"/>
      </c>
      <c r="AF391">
        <f ca="1"/>
      </c>
      <c r="AG391">
        <f ca="1"/>
      </c>
      <c r="AH391">
        <f ca="1"/>
      </c>
      <c r="AL391" s="7">
        <f ca="1"/>
      </c>
      <c r="AM391" s="14">
        <f ca="1"/>
      </c>
      <c r="AN391" s="14">
        <f ca="1"/>
      </c>
      <c r="AO391" s="14">
        <f ca="1"/>
      </c>
      <c r="AP391" s="14">
        <f ca="1"/>
      </c>
      <c r="AQ391" s="14">
        <f ca="1"/>
      </c>
      <c r="AR391" s="14">
        <f ca="1"/>
      </c>
      <c r="AV391" s="14">
        <f ca="1"/>
      </c>
      <c r="AW391" s="14">
        <f ca="1"/>
      </c>
      <c r="AX391" s="14">
        <f ca="1"/>
      </c>
      <c r="AY391" s="14">
        <f ca="1"/>
      </c>
      <c r="AZ391" s="14">
        <f ca="1"/>
      </c>
      <c r="BF391" s="7">
        <f ca="1"/>
      </c>
      <c r="BG391" s="14">
        <f ca="1"/>
      </c>
      <c r="BH391" s="14">
        <f ca="1"/>
      </c>
      <c r="BI391" s="14">
        <f ca="1"/>
      </c>
      <c r="BJ391" s="14">
        <f ca="1"/>
      </c>
      <c r="BK391" s="14">
        <f ca="1"/>
      </c>
    </row>
    <row r="392" spans="28:63" x14ac:dyDescent="0.55000000000000004">
      <c r="AB392">
        <f ca="1"/>
      </c>
      <c r="AC392">
        <f ca="1"/>
      </c>
      <c r="AD392">
        <f ca="1"/>
      </c>
      <c r="AE392">
        <f ca="1"/>
      </c>
      <c r="AF392">
        <f ca="1"/>
      </c>
      <c r="AG392">
        <f ca="1"/>
      </c>
      <c r="AH392">
        <f ca="1"/>
      </c>
      <c r="AL392" s="7">
        <f ca="1"/>
      </c>
      <c r="AM392" s="14">
        <f ca="1"/>
      </c>
      <c r="AN392" s="14">
        <f ca="1"/>
      </c>
      <c r="AO392" s="14">
        <f ca="1"/>
      </c>
      <c r="AP392" s="14">
        <f ca="1"/>
      </c>
      <c r="AQ392" s="14">
        <f ca="1"/>
      </c>
      <c r="AR392" s="14">
        <f ca="1"/>
      </c>
      <c r="AV392" s="14">
        <f ca="1"/>
      </c>
      <c r="AW392" s="14">
        <f ca="1"/>
      </c>
      <c r="AX392" s="14">
        <f ca="1"/>
      </c>
      <c r="AY392" s="14">
        <f ca="1"/>
      </c>
      <c r="AZ392" s="14">
        <f ca="1"/>
      </c>
      <c r="BF392" s="7">
        <f ca="1"/>
      </c>
      <c r="BG392" s="14">
        <f ca="1"/>
      </c>
      <c r="BH392" s="14">
        <f ca="1"/>
      </c>
      <c r="BI392" s="14">
        <f ca="1"/>
      </c>
      <c r="BJ392" s="14">
        <f ca="1"/>
      </c>
      <c r="BK392" s="14">
        <f ca="1"/>
      </c>
    </row>
    <row r="393" spans="28:63" x14ac:dyDescent="0.55000000000000004">
      <c r="AB393">
        <f ca="1"/>
      </c>
      <c r="AC393">
        <f ca="1"/>
      </c>
      <c r="AD393">
        <f ca="1"/>
      </c>
      <c r="AE393">
        <f ca="1"/>
      </c>
      <c r="AF393">
        <f ca="1"/>
      </c>
      <c r="AG393">
        <f ca="1"/>
      </c>
      <c r="AH393">
        <f ca="1"/>
      </c>
      <c r="AL393" s="7">
        <f ca="1"/>
      </c>
      <c r="AM393" s="14">
        <f ca="1"/>
      </c>
      <c r="AN393" s="14">
        <f ca="1"/>
      </c>
      <c r="AO393" s="14">
        <f ca="1"/>
      </c>
      <c r="AP393" s="14">
        <f ca="1"/>
      </c>
      <c r="AQ393" s="14">
        <f ca="1"/>
      </c>
      <c r="AR393" s="14">
        <f ca="1"/>
      </c>
      <c r="AV393" s="14">
        <f ca="1"/>
      </c>
      <c r="AW393" s="14">
        <f ca="1"/>
      </c>
      <c r="AX393" s="14">
        <f ca="1"/>
      </c>
      <c r="AY393" s="14">
        <f ca="1"/>
      </c>
      <c r="AZ393" s="14">
        <f ca="1"/>
      </c>
      <c r="BF393" s="7">
        <f ca="1"/>
      </c>
      <c r="BG393" s="14">
        <f ca="1"/>
      </c>
      <c r="BH393" s="14">
        <f ca="1"/>
      </c>
      <c r="BI393" s="14">
        <f ca="1"/>
      </c>
      <c r="BJ393" s="14">
        <f ca="1"/>
      </c>
      <c r="BK393" s="14">
        <f ca="1"/>
      </c>
    </row>
    <row r="394" spans="28:63" x14ac:dyDescent="0.55000000000000004">
      <c r="AB394">
        <f ca="1"/>
      </c>
      <c r="AC394">
        <f ca="1"/>
      </c>
      <c r="AD394">
        <f ca="1"/>
      </c>
      <c r="AE394">
        <f ca="1"/>
      </c>
      <c r="AF394">
        <f ca="1"/>
      </c>
      <c r="AG394">
        <f ca="1"/>
      </c>
      <c r="AH394">
        <f ca="1"/>
      </c>
      <c r="AL394" s="7">
        <f ca="1"/>
      </c>
      <c r="AM394" s="14">
        <f ca="1"/>
      </c>
      <c r="AN394" s="14">
        <f ca="1"/>
      </c>
      <c r="AO394" s="14">
        <f ca="1"/>
      </c>
      <c r="AP394" s="14">
        <f ca="1"/>
      </c>
      <c r="AQ394" s="14">
        <f ca="1"/>
      </c>
      <c r="AR394" s="14">
        <f ca="1"/>
      </c>
      <c r="AV394" s="14">
        <f ca="1"/>
      </c>
      <c r="AW394" s="14">
        <f ca="1"/>
      </c>
      <c r="AX394" s="14">
        <f ca="1"/>
      </c>
      <c r="AY394" s="14">
        <f ca="1"/>
      </c>
      <c r="AZ394" s="14">
        <f ca="1"/>
      </c>
      <c r="BF394" s="7">
        <f ca="1"/>
      </c>
      <c r="BG394" s="14">
        <f ca="1"/>
      </c>
      <c r="BH394" s="14">
        <f ca="1"/>
      </c>
      <c r="BI394" s="14">
        <f ca="1"/>
      </c>
      <c r="BJ394" s="14">
        <f ca="1"/>
      </c>
      <c r="BK394" s="14">
        <f ca="1"/>
      </c>
    </row>
    <row r="395" spans="28:63" x14ac:dyDescent="0.55000000000000004">
      <c r="AB395">
        <f ca="1"/>
      </c>
      <c r="AC395">
        <f ca="1"/>
      </c>
      <c r="AD395">
        <f ca="1"/>
      </c>
      <c r="AE395">
        <f ca="1"/>
      </c>
      <c r="AF395">
        <f ca="1"/>
      </c>
      <c r="AG395">
        <f ca="1"/>
      </c>
      <c r="AH395">
        <f ca="1"/>
      </c>
      <c r="AL395" s="7">
        <f ca="1"/>
      </c>
      <c r="AM395" s="14">
        <f ca="1"/>
      </c>
      <c r="AN395" s="14">
        <f ca="1"/>
      </c>
      <c r="AO395" s="14">
        <f ca="1"/>
      </c>
      <c r="AP395" s="14">
        <f ca="1"/>
      </c>
      <c r="AQ395" s="14">
        <f ca="1"/>
      </c>
      <c r="AR395" s="14">
        <f ca="1"/>
      </c>
      <c r="AV395" s="14">
        <f ca="1"/>
      </c>
      <c r="AW395" s="14">
        <f ca="1"/>
      </c>
      <c r="AX395" s="14">
        <f ca="1"/>
      </c>
      <c r="AY395" s="14">
        <f ca="1"/>
      </c>
      <c r="AZ395" s="14">
        <f ca="1"/>
      </c>
      <c r="BF395" s="7">
        <f ca="1"/>
      </c>
      <c r="BG395" s="14">
        <f ca="1"/>
      </c>
      <c r="BH395" s="14">
        <f ca="1"/>
      </c>
      <c r="BI395" s="14">
        <f ca="1"/>
      </c>
      <c r="BJ395" s="14">
        <f ca="1"/>
      </c>
      <c r="BK395" s="14">
        <f ca="1"/>
      </c>
    </row>
    <row r="396" spans="28:63" x14ac:dyDescent="0.55000000000000004">
      <c r="AB396">
        <f ca="1"/>
      </c>
      <c r="AC396">
        <f ca="1"/>
      </c>
      <c r="AD396">
        <f ca="1"/>
      </c>
      <c r="AE396">
        <f ca="1"/>
      </c>
      <c r="AF396">
        <f ca="1"/>
      </c>
      <c r="AG396">
        <f ca="1"/>
      </c>
      <c r="AH396">
        <f ca="1"/>
      </c>
      <c r="AL396" s="7">
        <f ca="1"/>
      </c>
      <c r="AM396" s="14">
        <f ca="1"/>
      </c>
      <c r="AN396" s="14">
        <f ca="1"/>
      </c>
      <c r="AO396" s="14">
        <f ca="1"/>
      </c>
      <c r="AP396" s="14">
        <f ca="1"/>
      </c>
      <c r="AQ396" s="14">
        <f ca="1"/>
      </c>
      <c r="AR396" s="14">
        <f ca="1"/>
      </c>
      <c r="AV396" s="14">
        <f ca="1"/>
      </c>
      <c r="AW396" s="14">
        <f ca="1"/>
      </c>
      <c r="AX396" s="14">
        <f ca="1"/>
      </c>
      <c r="AY396" s="14">
        <f ca="1"/>
      </c>
      <c r="AZ396" s="14">
        <f ca="1"/>
      </c>
      <c r="BF396" s="7">
        <f ca="1"/>
      </c>
      <c r="BG396" s="14">
        <f ca="1"/>
      </c>
      <c r="BH396" s="14">
        <f ca="1"/>
      </c>
      <c r="BI396" s="14">
        <f ca="1"/>
      </c>
      <c r="BJ396" s="14">
        <f ca="1"/>
      </c>
      <c r="BK396" s="14">
        <f ca="1"/>
      </c>
    </row>
    <row r="397" spans="28:63" x14ac:dyDescent="0.55000000000000004">
      <c r="AB397">
        <f ca="1"/>
      </c>
      <c r="AC397">
        <f ca="1"/>
      </c>
      <c r="AD397">
        <f ca="1"/>
      </c>
      <c r="AE397">
        <f ca="1"/>
      </c>
      <c r="AF397">
        <f ca="1"/>
      </c>
      <c r="AG397">
        <f ca="1"/>
      </c>
      <c r="AH397">
        <f ca="1"/>
      </c>
      <c r="AL397" s="7">
        <f ca="1"/>
      </c>
      <c r="AM397" s="14">
        <f ca="1"/>
      </c>
      <c r="AN397" s="14">
        <f ca="1"/>
      </c>
      <c r="AO397" s="14">
        <f ca="1"/>
      </c>
      <c r="AP397" s="14">
        <f ca="1"/>
      </c>
      <c r="AQ397" s="14">
        <f ca="1"/>
      </c>
      <c r="AR397" s="14">
        <f ca="1"/>
      </c>
      <c r="AV397" s="14">
        <f ca="1"/>
      </c>
      <c r="AW397" s="14">
        <f ca="1"/>
      </c>
      <c r="AX397" s="14">
        <f ca="1"/>
      </c>
      <c r="AY397" s="14">
        <f ca="1"/>
      </c>
      <c r="AZ397" s="14">
        <f ca="1"/>
      </c>
      <c r="BF397" s="7">
        <f ca="1"/>
      </c>
      <c r="BG397" s="14">
        <f ca="1"/>
      </c>
      <c r="BH397" s="14">
        <f ca="1"/>
      </c>
      <c r="BI397" s="14">
        <f ca="1"/>
      </c>
      <c r="BJ397" s="14">
        <f ca="1"/>
      </c>
      <c r="BK397" s="14">
        <f ca="1"/>
      </c>
    </row>
    <row r="398" spans="28:63" x14ac:dyDescent="0.55000000000000004">
      <c r="AB398">
        <f ca="1"/>
      </c>
      <c r="AC398">
        <f ca="1"/>
      </c>
      <c r="AD398">
        <f ca="1"/>
      </c>
      <c r="AE398">
        <f ca="1"/>
      </c>
      <c r="AF398">
        <f ca="1"/>
      </c>
      <c r="AG398">
        <f ca="1"/>
      </c>
      <c r="AH398">
        <f ca="1"/>
      </c>
      <c r="AL398" s="7">
        <f ca="1"/>
      </c>
      <c r="AM398" s="14">
        <f ca="1"/>
      </c>
      <c r="AN398" s="14">
        <f ca="1"/>
      </c>
      <c r="AO398" s="14">
        <f ca="1"/>
      </c>
      <c r="AP398" s="14">
        <f ca="1"/>
      </c>
      <c r="AQ398" s="14">
        <f ca="1"/>
      </c>
      <c r="AR398" s="14">
        <f ca="1"/>
      </c>
      <c r="AV398" s="14">
        <f ca="1"/>
      </c>
      <c r="AW398" s="14">
        <f ca="1"/>
      </c>
      <c r="AX398" s="14">
        <f ca="1"/>
      </c>
      <c r="AY398" s="14">
        <f ca="1"/>
      </c>
      <c r="AZ398" s="14">
        <f ca="1"/>
      </c>
      <c r="BF398" s="7">
        <f ca="1"/>
      </c>
      <c r="BG398" s="14">
        <f ca="1"/>
      </c>
      <c r="BH398" s="14">
        <f ca="1"/>
      </c>
      <c r="BI398" s="14">
        <f ca="1"/>
      </c>
      <c r="BJ398" s="14">
        <f ca="1"/>
      </c>
      <c r="BK398" s="14">
        <f ca="1"/>
      </c>
    </row>
    <row r="399" spans="28:63" x14ac:dyDescent="0.55000000000000004">
      <c r="AB399">
        <f ca="1"/>
      </c>
      <c r="AC399">
        <f ca="1"/>
      </c>
      <c r="AD399">
        <f ca="1"/>
      </c>
      <c r="AE399">
        <f ca="1"/>
      </c>
      <c r="AF399">
        <f ca="1"/>
      </c>
      <c r="AG399">
        <f ca="1"/>
      </c>
      <c r="AH399">
        <f ca="1"/>
      </c>
      <c r="AL399" s="7">
        <f ca="1"/>
      </c>
      <c r="AM399" s="14">
        <f ca="1"/>
      </c>
      <c r="AN399" s="14">
        <f ca="1"/>
      </c>
      <c r="AO399" s="14">
        <f ca="1"/>
      </c>
      <c r="AP399" s="14">
        <f ca="1"/>
      </c>
      <c r="AQ399" s="14">
        <f ca="1"/>
      </c>
      <c r="AR399" s="14">
        <f ca="1"/>
      </c>
      <c r="AV399" s="14">
        <f ca="1"/>
      </c>
      <c r="AW399" s="14">
        <f ca="1"/>
      </c>
      <c r="AX399" s="14">
        <f ca="1"/>
      </c>
      <c r="AY399" s="14">
        <f ca="1"/>
      </c>
      <c r="AZ399" s="14">
        <f ca="1"/>
      </c>
      <c r="BF399" s="7">
        <f ca="1"/>
      </c>
      <c r="BG399" s="14">
        <f ca="1"/>
      </c>
      <c r="BH399" s="14">
        <f ca="1"/>
      </c>
      <c r="BI399" s="14">
        <f ca="1"/>
      </c>
      <c r="BJ399" s="14">
        <f ca="1"/>
      </c>
      <c r="BK399" s="14">
        <f ca="1"/>
      </c>
    </row>
    <row r="400" spans="28:63" x14ac:dyDescent="0.55000000000000004">
      <c r="AB400">
        <f ca="1"/>
      </c>
      <c r="AC400">
        <f ca="1"/>
      </c>
      <c r="AD400">
        <f ca="1"/>
      </c>
      <c r="AE400">
        <f ca="1"/>
      </c>
      <c r="AF400">
        <f ca="1"/>
      </c>
      <c r="AG400">
        <f ca="1"/>
      </c>
      <c r="AH400">
        <f ca="1"/>
      </c>
      <c r="AL400" s="7">
        <f ca="1"/>
      </c>
      <c r="AM400" s="14">
        <f ca="1"/>
      </c>
      <c r="AN400" s="14">
        <f ca="1"/>
      </c>
      <c r="AO400" s="14">
        <f ca="1"/>
      </c>
      <c r="AP400" s="14">
        <f ca="1"/>
      </c>
      <c r="AQ400" s="14">
        <f ca="1"/>
      </c>
      <c r="AR400" s="14">
        <f ca="1"/>
      </c>
      <c r="AV400" s="14">
        <f ca="1"/>
      </c>
      <c r="AW400" s="14">
        <f ca="1"/>
      </c>
      <c r="AX400" s="14">
        <f ca="1"/>
      </c>
      <c r="AY400" s="14">
        <f ca="1"/>
      </c>
      <c r="AZ400" s="14">
        <f ca="1"/>
      </c>
      <c r="BF400" s="7">
        <f ca="1"/>
      </c>
      <c r="BG400" s="14">
        <f ca="1"/>
      </c>
      <c r="BH400" s="14">
        <f ca="1"/>
      </c>
      <c r="BI400" s="14">
        <f ca="1"/>
      </c>
      <c r="BJ400" s="14">
        <f ca="1"/>
      </c>
      <c r="BK400" s="14">
        <f ca="1"/>
      </c>
    </row>
    <row r="401" spans="28:63" x14ac:dyDescent="0.55000000000000004">
      <c r="AB401">
        <f ca="1"/>
      </c>
      <c r="AC401">
        <f ca="1"/>
      </c>
      <c r="AD401">
        <f ca="1"/>
      </c>
      <c r="AE401">
        <f ca="1"/>
      </c>
      <c r="AF401">
        <f ca="1"/>
      </c>
      <c r="AG401">
        <f ca="1"/>
      </c>
      <c r="AH401">
        <f ca="1"/>
      </c>
      <c r="AL401" s="7">
        <f ca="1"/>
      </c>
      <c r="AM401" s="14">
        <f ca="1"/>
      </c>
      <c r="AN401" s="14">
        <f ca="1"/>
      </c>
      <c r="AO401" s="14">
        <f ca="1"/>
      </c>
      <c r="AP401" s="14">
        <f ca="1"/>
      </c>
      <c r="AQ401" s="14">
        <f ca="1"/>
      </c>
      <c r="AR401" s="14">
        <f ca="1"/>
      </c>
      <c r="AV401" s="14">
        <f ca="1"/>
      </c>
      <c r="AW401" s="14">
        <f ca="1"/>
      </c>
      <c r="AX401" s="14">
        <f ca="1"/>
      </c>
      <c r="AY401" s="14">
        <f ca="1"/>
      </c>
      <c r="AZ401" s="14">
        <f ca="1"/>
      </c>
      <c r="BF401" s="7">
        <f ca="1"/>
      </c>
      <c r="BG401" s="14">
        <f ca="1"/>
      </c>
      <c r="BH401" s="14">
        <f ca="1"/>
      </c>
      <c r="BI401" s="14">
        <f ca="1"/>
      </c>
      <c r="BJ401" s="14">
        <f ca="1"/>
      </c>
      <c r="BK401" s="14">
        <f ca="1"/>
      </c>
    </row>
    <row r="402" spans="28:63" x14ac:dyDescent="0.55000000000000004">
      <c r="AB402">
        <f ca="1"/>
      </c>
      <c r="AC402">
        <f ca="1"/>
      </c>
      <c r="AD402">
        <f ca="1"/>
      </c>
      <c r="AE402">
        <f ca="1"/>
      </c>
      <c r="AF402">
        <f ca="1"/>
      </c>
      <c r="AG402">
        <f ca="1"/>
      </c>
      <c r="AH402">
        <f ca="1"/>
      </c>
      <c r="AL402" s="7">
        <f ca="1"/>
      </c>
      <c r="AM402" s="14">
        <f ca="1"/>
      </c>
      <c r="AN402" s="14">
        <f ca="1"/>
      </c>
      <c r="AO402" s="14">
        <f ca="1"/>
      </c>
      <c r="AP402" s="14">
        <f ca="1"/>
      </c>
      <c r="AQ402" s="14">
        <f ca="1"/>
      </c>
      <c r="AR402" s="14">
        <f ca="1"/>
      </c>
      <c r="AV402" s="14">
        <f ca="1"/>
      </c>
      <c r="AW402" s="14">
        <f ca="1"/>
      </c>
      <c r="AX402" s="14">
        <f ca="1"/>
      </c>
      <c r="AY402" s="14">
        <f ca="1"/>
      </c>
      <c r="AZ402" s="14">
        <f ca="1"/>
      </c>
      <c r="BF402" s="7">
        <f ca="1"/>
      </c>
      <c r="BG402" s="14">
        <f ca="1"/>
      </c>
      <c r="BH402" s="14">
        <f ca="1"/>
      </c>
      <c r="BI402" s="14">
        <f ca="1"/>
      </c>
      <c r="BJ402" s="14">
        <f ca="1"/>
      </c>
      <c r="BK402" s="14">
        <f ca="1"/>
      </c>
    </row>
    <row r="403" spans="28:63" x14ac:dyDescent="0.55000000000000004">
      <c r="AB403">
        <f ca="1"/>
      </c>
      <c r="AC403">
        <f ca="1"/>
      </c>
      <c r="AD403">
        <f ca="1"/>
      </c>
      <c r="AE403">
        <f ca="1"/>
      </c>
      <c r="AF403">
        <f ca="1"/>
      </c>
      <c r="AG403">
        <f ca="1"/>
      </c>
      <c r="AH403">
        <f ca="1"/>
      </c>
      <c r="AL403" s="7">
        <f ca="1"/>
      </c>
      <c r="AM403" s="14">
        <f ca="1"/>
      </c>
      <c r="AN403" s="14">
        <f ca="1"/>
      </c>
      <c r="AO403" s="14">
        <f ca="1"/>
      </c>
      <c r="AP403" s="14">
        <f ca="1"/>
      </c>
      <c r="AQ403" s="14">
        <f ca="1"/>
      </c>
      <c r="AR403" s="14">
        <f ca="1"/>
      </c>
      <c r="AV403" s="14">
        <f ca="1"/>
      </c>
      <c r="AW403" s="14">
        <f ca="1"/>
      </c>
      <c r="AX403" s="14">
        <f ca="1"/>
      </c>
      <c r="AY403" s="14">
        <f ca="1"/>
      </c>
      <c r="AZ403" s="14">
        <f ca="1"/>
      </c>
      <c r="BF403" s="7">
        <f ca="1"/>
      </c>
      <c r="BG403" s="14">
        <f ca="1"/>
      </c>
      <c r="BH403" s="14">
        <f ca="1"/>
      </c>
      <c r="BI403" s="14">
        <f ca="1"/>
      </c>
      <c r="BJ403" s="14">
        <f ca="1"/>
      </c>
      <c r="BK403" s="14">
        <f ca="1"/>
      </c>
    </row>
    <row r="404" spans="28:63" x14ac:dyDescent="0.55000000000000004">
      <c r="AB404">
        <f ca="1"/>
      </c>
      <c r="AC404">
        <f ca="1"/>
      </c>
      <c r="AD404">
        <f ca="1"/>
      </c>
      <c r="AE404">
        <f ca="1"/>
      </c>
      <c r="AF404">
        <f ca="1"/>
      </c>
      <c r="AG404">
        <f ca="1"/>
      </c>
      <c r="AH404">
        <f ca="1"/>
      </c>
      <c r="AL404" s="7">
        <f ca="1"/>
      </c>
      <c r="AM404" s="14">
        <f ca="1"/>
      </c>
      <c r="AN404" s="14">
        <f ca="1"/>
      </c>
      <c r="AO404" s="14">
        <f ca="1"/>
      </c>
      <c r="AP404" s="14">
        <f ca="1"/>
      </c>
      <c r="AQ404" s="14">
        <f ca="1"/>
      </c>
      <c r="AR404" s="14">
        <f ca="1"/>
      </c>
      <c r="AV404" s="14">
        <f ca="1"/>
      </c>
      <c r="AW404" s="14">
        <f ca="1"/>
      </c>
      <c r="AX404" s="14">
        <f ca="1"/>
      </c>
      <c r="AY404" s="14">
        <f ca="1"/>
      </c>
      <c r="AZ404" s="14">
        <f ca="1"/>
      </c>
      <c r="BF404" s="7">
        <f ca="1"/>
      </c>
      <c r="BG404" s="14">
        <f ca="1"/>
      </c>
      <c r="BH404" s="14">
        <f ca="1"/>
      </c>
      <c r="BI404" s="14">
        <f ca="1"/>
      </c>
      <c r="BJ404" s="14">
        <f ca="1"/>
      </c>
      <c r="BK404" s="14">
        <f ca="1"/>
      </c>
    </row>
    <row r="405" spans="28:63" x14ac:dyDescent="0.55000000000000004">
      <c r="AB405">
        <f ca="1"/>
      </c>
      <c r="AC405">
        <f ca="1"/>
      </c>
      <c r="AD405">
        <f ca="1"/>
      </c>
      <c r="AE405">
        <f ca="1"/>
      </c>
      <c r="AF405">
        <f ca="1"/>
      </c>
      <c r="AG405">
        <f ca="1"/>
      </c>
      <c r="AH405">
        <f ca="1"/>
      </c>
      <c r="AL405" s="7">
        <f ca="1"/>
      </c>
      <c r="AM405" s="14">
        <f ca="1"/>
      </c>
      <c r="AN405" s="14">
        <f ca="1"/>
      </c>
      <c r="AO405" s="14">
        <f ca="1"/>
      </c>
      <c r="AP405" s="14">
        <f ca="1"/>
      </c>
      <c r="AQ405" s="14">
        <f ca="1"/>
      </c>
      <c r="AR405" s="14">
        <f ca="1"/>
      </c>
      <c r="AV405" s="14">
        <f ca="1"/>
      </c>
      <c r="AW405" s="14">
        <f ca="1"/>
      </c>
      <c r="AX405" s="14">
        <f ca="1"/>
      </c>
      <c r="AY405" s="14">
        <f ca="1"/>
      </c>
      <c r="AZ405" s="14">
        <f ca="1"/>
      </c>
      <c r="BF405" s="7">
        <f ca="1"/>
      </c>
      <c r="BG405" s="14">
        <f ca="1"/>
      </c>
      <c r="BH405" s="14">
        <f ca="1"/>
      </c>
      <c r="BI405" s="14">
        <f ca="1"/>
      </c>
      <c r="BJ405" s="14">
        <f ca="1"/>
      </c>
      <c r="BK405" s="14">
        <f ca="1"/>
      </c>
    </row>
    <row r="406" spans="28:63" x14ac:dyDescent="0.55000000000000004">
      <c r="AB406">
        <f ca="1"/>
      </c>
      <c r="AC406">
        <f ca="1"/>
      </c>
      <c r="AD406">
        <f ca="1"/>
      </c>
      <c r="AE406">
        <f ca="1"/>
      </c>
      <c r="AF406">
        <f ca="1"/>
      </c>
      <c r="AG406">
        <f ca="1"/>
      </c>
      <c r="AH406">
        <f ca="1"/>
      </c>
      <c r="AL406" s="7">
        <f ca="1"/>
      </c>
      <c r="AM406" s="14">
        <f ca="1"/>
      </c>
      <c r="AN406" s="14">
        <f ca="1"/>
      </c>
      <c r="AO406" s="14">
        <f ca="1"/>
      </c>
      <c r="AP406" s="14">
        <f ca="1"/>
      </c>
      <c r="AQ406" s="14">
        <f ca="1"/>
      </c>
      <c r="AR406" s="14">
        <f ca="1"/>
      </c>
      <c r="AV406" s="14">
        <f ca="1"/>
      </c>
      <c r="AW406" s="14">
        <f ca="1"/>
      </c>
      <c r="AX406" s="14">
        <f ca="1"/>
      </c>
      <c r="AY406" s="14">
        <f ca="1"/>
      </c>
      <c r="AZ406" s="14">
        <f ca="1"/>
      </c>
      <c r="BF406" s="7">
        <f ca="1"/>
      </c>
      <c r="BG406" s="14">
        <f ca="1"/>
      </c>
      <c r="BH406" s="14">
        <f ca="1"/>
      </c>
      <c r="BI406" s="14">
        <f ca="1"/>
      </c>
      <c r="BJ406" s="14">
        <f ca="1"/>
      </c>
      <c r="BK406" s="14">
        <f ca="1"/>
      </c>
    </row>
    <row r="407" spans="28:63" x14ac:dyDescent="0.55000000000000004">
      <c r="AB407">
        <f ca="1"/>
      </c>
      <c r="AC407">
        <f ca="1"/>
      </c>
      <c r="AD407">
        <f ca="1"/>
      </c>
      <c r="AE407">
        <f ca="1"/>
      </c>
      <c r="AF407">
        <f ca="1"/>
      </c>
      <c r="AG407">
        <f ca="1"/>
      </c>
      <c r="AH407">
        <f ca="1"/>
      </c>
      <c r="AL407" s="7">
        <f ca="1"/>
      </c>
      <c r="AM407" s="14">
        <f ca="1"/>
      </c>
      <c r="AN407" s="14">
        <f ca="1"/>
      </c>
      <c r="AO407" s="14">
        <f ca="1"/>
      </c>
      <c r="AP407" s="14">
        <f ca="1"/>
      </c>
      <c r="AQ407" s="14">
        <f ca="1"/>
      </c>
      <c r="AR407" s="14">
        <f ca="1"/>
      </c>
      <c r="AV407" s="14">
        <f ca="1"/>
      </c>
      <c r="AW407" s="14">
        <f ca="1"/>
      </c>
      <c r="AX407" s="14">
        <f ca="1"/>
      </c>
      <c r="AY407" s="14">
        <f ca="1"/>
      </c>
      <c r="AZ407" s="14">
        <f ca="1"/>
      </c>
      <c r="BF407" s="7">
        <f ca="1"/>
      </c>
      <c r="BG407" s="14">
        <f ca="1"/>
      </c>
      <c r="BH407" s="14">
        <f ca="1"/>
      </c>
      <c r="BI407" s="14">
        <f ca="1"/>
      </c>
      <c r="BJ407" s="14">
        <f ca="1"/>
      </c>
      <c r="BK407" s="14">
        <f ca="1"/>
      </c>
    </row>
    <row r="408" spans="28:63" x14ac:dyDescent="0.55000000000000004">
      <c r="AB408">
        <f ca="1"/>
      </c>
      <c r="AC408">
        <f ca="1"/>
      </c>
      <c r="AD408">
        <f ca="1"/>
      </c>
      <c r="AE408">
        <f ca="1"/>
      </c>
      <c r="AF408">
        <f ca="1"/>
      </c>
      <c r="AG408">
        <f ca="1"/>
      </c>
      <c r="AH408">
        <f ca="1"/>
      </c>
      <c r="AL408" s="7">
        <f ca="1"/>
      </c>
      <c r="AM408" s="14">
        <f ca="1"/>
      </c>
      <c r="AN408" s="14">
        <f ca="1"/>
      </c>
      <c r="AO408" s="14">
        <f ca="1"/>
      </c>
      <c r="AP408" s="14">
        <f ca="1"/>
      </c>
      <c r="AQ408" s="14">
        <f ca="1"/>
      </c>
      <c r="AR408" s="14">
        <f ca="1"/>
      </c>
      <c r="AV408" s="14">
        <f ca="1"/>
      </c>
      <c r="AW408" s="14">
        <f ca="1"/>
      </c>
      <c r="AX408" s="14">
        <f ca="1"/>
      </c>
      <c r="AY408" s="14">
        <f ca="1"/>
      </c>
      <c r="AZ408" s="14">
        <f ca="1"/>
      </c>
      <c r="BF408" s="7">
        <f ca="1"/>
      </c>
      <c r="BG408" s="14">
        <f ca="1"/>
      </c>
      <c r="BH408" s="14">
        <f ca="1"/>
      </c>
      <c r="BI408" s="14">
        <f ca="1"/>
      </c>
      <c r="BJ408" s="14">
        <f ca="1"/>
      </c>
      <c r="BK408" s="14">
        <f ca="1"/>
      </c>
    </row>
    <row r="409" spans="28:63" x14ac:dyDescent="0.55000000000000004">
      <c r="AB409">
        <f ca="1"/>
      </c>
      <c r="AC409">
        <f ca="1"/>
      </c>
      <c r="AD409">
        <f ca="1"/>
      </c>
      <c r="AE409">
        <f ca="1"/>
      </c>
      <c r="AF409">
        <f ca="1"/>
      </c>
      <c r="AG409">
        <f ca="1"/>
      </c>
      <c r="AH409">
        <f ca="1"/>
      </c>
      <c r="AL409" s="7">
        <f ca="1"/>
      </c>
      <c r="AM409" s="14">
        <f ca="1"/>
      </c>
      <c r="AN409" s="14">
        <f ca="1"/>
      </c>
      <c r="AO409" s="14">
        <f ca="1"/>
      </c>
      <c r="AP409" s="14">
        <f ca="1"/>
      </c>
      <c r="AQ409" s="14">
        <f ca="1"/>
      </c>
      <c r="AR409" s="14">
        <f ca="1"/>
      </c>
      <c r="AV409" s="14">
        <f ca="1"/>
      </c>
      <c r="AW409" s="14">
        <f ca="1"/>
      </c>
      <c r="AX409" s="14">
        <f ca="1"/>
      </c>
      <c r="AY409" s="14">
        <f ca="1"/>
      </c>
      <c r="AZ409" s="14">
        <f ca="1"/>
      </c>
      <c r="BF409" s="7">
        <f ca="1"/>
      </c>
      <c r="BG409" s="14">
        <f ca="1"/>
      </c>
      <c r="BH409" s="14">
        <f ca="1"/>
      </c>
      <c r="BI409" s="14">
        <f ca="1"/>
      </c>
      <c r="BJ409" s="14">
        <f ca="1"/>
      </c>
      <c r="BK409" s="14">
        <f ca="1"/>
      </c>
    </row>
    <row r="410" spans="28:63" x14ac:dyDescent="0.55000000000000004">
      <c r="AB410">
        <f ca="1"/>
      </c>
      <c r="AC410">
        <f ca="1"/>
      </c>
      <c r="AD410">
        <f ca="1"/>
      </c>
      <c r="AE410">
        <f ca="1"/>
      </c>
      <c r="AF410">
        <f ca="1"/>
      </c>
      <c r="AG410">
        <f ca="1"/>
      </c>
      <c r="AH410">
        <f ca="1"/>
      </c>
      <c r="AL410" s="7">
        <f ca="1"/>
      </c>
      <c r="AM410" s="14">
        <f ca="1"/>
      </c>
      <c r="AN410" s="14">
        <f ca="1"/>
      </c>
      <c r="AO410" s="14">
        <f ca="1"/>
      </c>
      <c r="AP410" s="14">
        <f ca="1"/>
      </c>
      <c r="AQ410" s="14">
        <f ca="1"/>
      </c>
      <c r="AR410" s="14">
        <f ca="1"/>
      </c>
      <c r="AV410" s="14">
        <f ca="1"/>
      </c>
      <c r="AW410" s="14">
        <f ca="1"/>
      </c>
      <c r="AX410" s="14">
        <f ca="1"/>
      </c>
      <c r="AY410" s="14">
        <f ca="1"/>
      </c>
      <c r="AZ410" s="14">
        <f ca="1"/>
      </c>
      <c r="BF410" s="7">
        <f ca="1"/>
      </c>
      <c r="BG410" s="14">
        <f ca="1"/>
      </c>
      <c r="BH410" s="14">
        <f ca="1"/>
      </c>
      <c r="BI410" s="14">
        <f ca="1"/>
      </c>
      <c r="BJ410" s="14">
        <f ca="1"/>
      </c>
      <c r="BK410" s="14">
        <f ca="1"/>
      </c>
    </row>
    <row r="411" spans="28:63" x14ac:dyDescent="0.55000000000000004">
      <c r="AB411">
        <f ca="1"/>
      </c>
      <c r="AC411">
        <f ca="1"/>
      </c>
      <c r="AD411">
        <f ca="1"/>
      </c>
      <c r="AE411">
        <f ca="1"/>
      </c>
      <c r="AF411">
        <f ca="1"/>
      </c>
      <c r="AG411">
        <f ca="1"/>
      </c>
      <c r="AH411">
        <f ca="1"/>
      </c>
      <c r="AL411" s="7">
        <f ca="1"/>
      </c>
      <c r="AM411" s="14">
        <f ca="1"/>
      </c>
      <c r="AN411" s="14">
        <f ca="1"/>
      </c>
      <c r="AO411" s="14">
        <f ca="1"/>
      </c>
      <c r="AP411" s="14">
        <f ca="1"/>
      </c>
      <c r="AQ411" s="14">
        <f ca="1"/>
      </c>
      <c r="AR411" s="14">
        <f ca="1"/>
      </c>
      <c r="AV411" s="14">
        <f ca="1"/>
      </c>
      <c r="AW411" s="14">
        <f ca="1"/>
      </c>
      <c r="AX411" s="14">
        <f ca="1"/>
      </c>
      <c r="AY411" s="14">
        <f ca="1"/>
      </c>
      <c r="AZ411" s="14">
        <f ca="1"/>
      </c>
      <c r="BF411" s="7">
        <f ca="1"/>
      </c>
      <c r="BG411" s="14">
        <f ca="1"/>
      </c>
      <c r="BH411" s="14">
        <f ca="1"/>
      </c>
      <c r="BI411" s="14">
        <f ca="1"/>
      </c>
      <c r="BJ411" s="14">
        <f ca="1"/>
      </c>
      <c r="BK411" s="14">
        <f ca="1"/>
      </c>
    </row>
    <row r="412" spans="28:63" x14ac:dyDescent="0.55000000000000004">
      <c r="AB412">
        <f ca="1"/>
      </c>
      <c r="AC412">
        <f ca="1"/>
      </c>
      <c r="AD412">
        <f ca="1"/>
      </c>
      <c r="AE412">
        <f ca="1"/>
      </c>
      <c r="AF412">
        <f ca="1"/>
      </c>
      <c r="AG412">
        <f ca="1"/>
      </c>
      <c r="AH412">
        <f ca="1"/>
      </c>
      <c r="AL412" s="7">
        <f ca="1"/>
      </c>
      <c r="AM412" s="14">
        <f ca="1"/>
      </c>
      <c r="AN412" s="14">
        <f ca="1"/>
      </c>
      <c r="AO412" s="14">
        <f ca="1"/>
      </c>
      <c r="AP412" s="14">
        <f ca="1"/>
      </c>
      <c r="AQ412" s="14">
        <f ca="1"/>
      </c>
      <c r="AR412" s="14">
        <f ca="1"/>
      </c>
      <c r="AV412" s="14">
        <f ca="1"/>
      </c>
      <c r="AW412" s="14">
        <f ca="1"/>
      </c>
      <c r="AX412" s="14">
        <f ca="1"/>
      </c>
      <c r="AY412" s="14">
        <f ca="1"/>
      </c>
      <c r="AZ412" s="14">
        <f ca="1"/>
      </c>
      <c r="BF412" s="7">
        <f ca="1"/>
      </c>
      <c r="BG412" s="14">
        <f ca="1"/>
      </c>
      <c r="BH412" s="14">
        <f ca="1"/>
      </c>
      <c r="BI412" s="14">
        <f ca="1"/>
      </c>
      <c r="BJ412" s="14">
        <f ca="1"/>
      </c>
      <c r="BK412" s="14">
        <f ca="1"/>
      </c>
    </row>
    <row r="413" spans="28:63" x14ac:dyDescent="0.55000000000000004">
      <c r="AB413">
        <f ca="1"/>
      </c>
      <c r="AC413">
        <f ca="1"/>
      </c>
      <c r="AD413">
        <f ca="1"/>
      </c>
      <c r="AE413">
        <f ca="1"/>
      </c>
      <c r="AF413">
        <f ca="1"/>
      </c>
      <c r="AG413">
        <f ca="1"/>
      </c>
      <c r="AH413">
        <f ca="1"/>
      </c>
      <c r="AL413" s="7">
        <f ca="1"/>
      </c>
      <c r="AM413" s="14">
        <f ca="1"/>
      </c>
      <c r="AN413" s="14">
        <f ca="1"/>
      </c>
      <c r="AO413" s="14">
        <f ca="1"/>
      </c>
      <c r="AP413" s="14">
        <f ca="1"/>
      </c>
      <c r="AQ413" s="14">
        <f ca="1"/>
      </c>
      <c r="AR413" s="14">
        <f ca="1"/>
      </c>
      <c r="AV413" s="14">
        <f ca="1"/>
      </c>
      <c r="AW413" s="14">
        <f ca="1"/>
      </c>
      <c r="AX413" s="14">
        <f ca="1"/>
      </c>
      <c r="AY413" s="14">
        <f ca="1"/>
      </c>
      <c r="AZ413" s="14">
        <f ca="1"/>
      </c>
      <c r="BF413" s="7">
        <f ca="1"/>
      </c>
      <c r="BG413" s="14">
        <f ca="1"/>
      </c>
      <c r="BH413" s="14">
        <f ca="1"/>
      </c>
      <c r="BI413" s="14">
        <f ca="1"/>
      </c>
      <c r="BJ413" s="14">
        <f ca="1"/>
      </c>
      <c r="BK413" s="14">
        <f ca="1"/>
      </c>
    </row>
    <row r="414" spans="28:63" x14ac:dyDescent="0.55000000000000004">
      <c r="AB414">
        <f ca="1"/>
      </c>
      <c r="AC414">
        <f ca="1"/>
      </c>
      <c r="AD414">
        <f ca="1"/>
      </c>
      <c r="AE414">
        <f ca="1"/>
      </c>
      <c r="AF414">
        <f ca="1"/>
      </c>
      <c r="AG414">
        <f ca="1"/>
      </c>
      <c r="AH414">
        <f ca="1"/>
      </c>
      <c r="AL414" s="7">
        <f ca="1"/>
      </c>
      <c r="AM414" s="14">
        <f ca="1"/>
      </c>
      <c r="AN414" s="14">
        <f ca="1"/>
      </c>
      <c r="AO414" s="14">
        <f ca="1"/>
      </c>
      <c r="AP414" s="14">
        <f ca="1"/>
      </c>
      <c r="AQ414" s="14">
        <f ca="1"/>
      </c>
      <c r="AR414" s="14">
        <f ca="1"/>
      </c>
      <c r="AV414" s="14">
        <f ca="1"/>
      </c>
      <c r="AW414" s="14">
        <f ca="1"/>
      </c>
      <c r="AX414" s="14">
        <f ca="1"/>
      </c>
      <c r="AY414" s="14">
        <f ca="1"/>
      </c>
      <c r="AZ414" s="14">
        <f ca="1"/>
      </c>
      <c r="BF414" s="7">
        <f ca="1"/>
      </c>
      <c r="BG414" s="14">
        <f ca="1"/>
      </c>
      <c r="BH414" s="14">
        <f ca="1"/>
      </c>
      <c r="BI414" s="14">
        <f ca="1"/>
      </c>
      <c r="BJ414" s="14">
        <f ca="1"/>
      </c>
      <c r="BK414" s="14">
        <f ca="1"/>
      </c>
    </row>
    <row r="415" spans="28:63" x14ac:dyDescent="0.55000000000000004">
      <c r="AB415">
        <f ca="1"/>
      </c>
      <c r="AC415">
        <f ca="1"/>
      </c>
      <c r="AD415">
        <f ca="1"/>
      </c>
      <c r="AE415">
        <f ca="1"/>
      </c>
      <c r="AF415">
        <f ca="1"/>
      </c>
      <c r="AG415">
        <f ca="1"/>
      </c>
      <c r="AH415">
        <f ca="1"/>
      </c>
      <c r="AL415" s="7">
        <f ca="1"/>
      </c>
      <c r="AM415" s="14">
        <f ca="1"/>
      </c>
      <c r="AN415" s="14">
        <f ca="1"/>
      </c>
      <c r="AO415" s="14">
        <f ca="1"/>
      </c>
      <c r="AP415" s="14">
        <f ca="1"/>
      </c>
      <c r="AQ415" s="14">
        <f ca="1"/>
      </c>
      <c r="AR415" s="14">
        <f ca="1"/>
      </c>
      <c r="AV415" s="14">
        <f ca="1"/>
      </c>
      <c r="AW415" s="14">
        <f ca="1"/>
      </c>
      <c r="AX415" s="14">
        <f ca="1"/>
      </c>
      <c r="AY415" s="14">
        <f ca="1"/>
      </c>
      <c r="AZ415" s="14">
        <f ca="1"/>
      </c>
      <c r="BF415" s="7">
        <f ca="1"/>
      </c>
      <c r="BG415" s="14">
        <f ca="1"/>
      </c>
      <c r="BH415" s="14">
        <f ca="1"/>
      </c>
      <c r="BI415" s="14">
        <f ca="1"/>
      </c>
      <c r="BJ415" s="14">
        <f ca="1"/>
      </c>
      <c r="BK415" s="14">
        <f ca="1"/>
      </c>
    </row>
    <row r="416" spans="28:63" x14ac:dyDescent="0.55000000000000004">
      <c r="AB416">
        <f ca="1"/>
      </c>
      <c r="AC416">
        <f ca="1"/>
      </c>
      <c r="AD416">
        <f ca="1"/>
      </c>
      <c r="AE416">
        <f ca="1"/>
      </c>
      <c r="AF416">
        <f ca="1"/>
      </c>
      <c r="AG416">
        <f ca="1"/>
      </c>
      <c r="AH416">
        <f ca="1"/>
      </c>
      <c r="AL416" s="7">
        <f ca="1"/>
      </c>
      <c r="AM416" s="14">
        <f ca="1"/>
      </c>
      <c r="AN416" s="14">
        <f ca="1"/>
      </c>
      <c r="AO416" s="14">
        <f ca="1"/>
      </c>
      <c r="AP416" s="14">
        <f ca="1"/>
      </c>
      <c r="AQ416" s="14">
        <f ca="1"/>
      </c>
      <c r="AR416" s="14">
        <f ca="1"/>
      </c>
      <c r="AV416" s="14">
        <f ca="1"/>
      </c>
      <c r="AW416" s="14">
        <f ca="1"/>
      </c>
      <c r="AX416" s="14">
        <f ca="1"/>
      </c>
      <c r="AY416" s="14">
        <f ca="1"/>
      </c>
      <c r="AZ416" s="14">
        <f ca="1"/>
      </c>
      <c r="BF416" s="7">
        <f ca="1"/>
      </c>
      <c r="BG416" s="14">
        <f ca="1"/>
      </c>
      <c r="BH416" s="14">
        <f ca="1"/>
      </c>
      <c r="BI416" s="14">
        <f ca="1"/>
      </c>
      <c r="BJ416" s="14">
        <f ca="1"/>
      </c>
      <c r="BK416" s="14">
        <f ca="1"/>
      </c>
    </row>
    <row r="417" spans="28:63" x14ac:dyDescent="0.55000000000000004">
      <c r="AB417">
        <f ca="1"/>
      </c>
      <c r="AC417">
        <f ca="1"/>
      </c>
      <c r="AD417">
        <f ca="1"/>
      </c>
      <c r="AE417">
        <f ca="1"/>
      </c>
      <c r="AF417">
        <f ca="1"/>
      </c>
      <c r="AG417">
        <f ca="1"/>
      </c>
      <c r="AH417">
        <f ca="1"/>
      </c>
      <c r="AL417" s="7">
        <f ca="1"/>
      </c>
      <c r="AM417" s="14">
        <f ca="1"/>
      </c>
      <c r="AN417" s="14">
        <f ca="1"/>
      </c>
      <c r="AO417" s="14">
        <f ca="1"/>
      </c>
      <c r="AP417" s="14">
        <f ca="1"/>
      </c>
      <c r="AQ417" s="14">
        <f ca="1"/>
      </c>
      <c r="AR417" s="14">
        <f ca="1"/>
      </c>
      <c r="AV417" s="14">
        <f ca="1"/>
      </c>
      <c r="AW417" s="14">
        <f ca="1"/>
      </c>
      <c r="AX417" s="14">
        <f ca="1"/>
      </c>
      <c r="AY417" s="14">
        <f ca="1"/>
      </c>
      <c r="AZ417" s="14">
        <f ca="1"/>
      </c>
      <c r="BF417" s="7">
        <f ca="1"/>
      </c>
      <c r="BG417" s="14">
        <f ca="1"/>
      </c>
      <c r="BH417" s="14">
        <f ca="1"/>
      </c>
      <c r="BI417" s="14">
        <f ca="1"/>
      </c>
      <c r="BJ417" s="14">
        <f ca="1"/>
      </c>
      <c r="BK417" s="14">
        <f ca="1"/>
      </c>
    </row>
    <row r="418" spans="28:63" x14ac:dyDescent="0.55000000000000004">
      <c r="AB418">
        <f ca="1"/>
      </c>
      <c r="AC418">
        <f ca="1"/>
      </c>
      <c r="AD418">
        <f ca="1"/>
      </c>
      <c r="AE418">
        <f ca="1"/>
      </c>
      <c r="AF418">
        <f ca="1"/>
      </c>
      <c r="AG418">
        <f ca="1"/>
      </c>
      <c r="AH418">
        <f ca="1"/>
      </c>
      <c r="AL418" s="7">
        <f ca="1"/>
      </c>
      <c r="AM418" s="14">
        <f ca="1"/>
      </c>
      <c r="AN418" s="14">
        <f ca="1"/>
      </c>
      <c r="AO418" s="14">
        <f ca="1"/>
      </c>
      <c r="AP418" s="14">
        <f ca="1"/>
      </c>
      <c r="AQ418" s="14">
        <f ca="1"/>
      </c>
      <c r="AR418" s="14">
        <f ca="1"/>
      </c>
      <c r="AV418" s="14">
        <f ca="1"/>
      </c>
      <c r="AW418" s="14">
        <f ca="1"/>
      </c>
      <c r="AX418" s="14">
        <f ca="1"/>
      </c>
      <c r="AY418" s="14">
        <f ca="1"/>
      </c>
      <c r="AZ418" s="14">
        <f ca="1"/>
      </c>
      <c r="BF418" s="7">
        <f ca="1"/>
      </c>
      <c r="BG418" s="14">
        <f ca="1"/>
      </c>
      <c r="BH418" s="14">
        <f ca="1"/>
      </c>
      <c r="BI418" s="14">
        <f ca="1"/>
      </c>
      <c r="BJ418" s="14">
        <f ca="1"/>
      </c>
      <c r="BK418" s="14">
        <f ca="1"/>
      </c>
    </row>
    <row r="419" spans="28:63" x14ac:dyDescent="0.55000000000000004">
      <c r="AB419">
        <f ca="1"/>
      </c>
      <c r="AC419">
        <f ca="1"/>
      </c>
      <c r="AD419">
        <f ca="1"/>
      </c>
      <c r="AE419">
        <f ca="1"/>
      </c>
      <c r="AF419">
        <f ca="1"/>
      </c>
      <c r="AG419">
        <f ca="1"/>
      </c>
      <c r="AH419">
        <f ca="1"/>
      </c>
      <c r="AL419" s="7">
        <f ca="1"/>
      </c>
      <c r="AM419" s="14">
        <f ca="1"/>
      </c>
      <c r="AN419" s="14">
        <f ca="1"/>
      </c>
      <c r="AO419" s="14">
        <f ca="1"/>
      </c>
      <c r="AP419" s="14">
        <f ca="1"/>
      </c>
      <c r="AQ419" s="14">
        <f ca="1"/>
      </c>
      <c r="AR419" s="14">
        <f ca="1"/>
      </c>
      <c r="AV419" s="14">
        <f ca="1"/>
      </c>
      <c r="AW419" s="14">
        <f ca="1"/>
      </c>
      <c r="AX419" s="14">
        <f ca="1"/>
      </c>
      <c r="AY419" s="14">
        <f ca="1"/>
      </c>
      <c r="AZ419" s="14">
        <f ca="1"/>
      </c>
      <c r="BF419" s="7">
        <f ca="1"/>
      </c>
      <c r="BG419" s="14">
        <f ca="1"/>
      </c>
      <c r="BH419" s="14">
        <f ca="1"/>
      </c>
      <c r="BI419" s="14">
        <f ca="1"/>
      </c>
      <c r="BJ419" s="14">
        <f ca="1"/>
      </c>
      <c r="BK419" s="14">
        <f ca="1"/>
      </c>
    </row>
    <row r="420" spans="28:63" x14ac:dyDescent="0.55000000000000004">
      <c r="AB420">
        <f ca="1"/>
      </c>
      <c r="AC420">
        <f ca="1"/>
      </c>
      <c r="AD420">
        <f ca="1"/>
      </c>
      <c r="AE420">
        <f ca="1"/>
      </c>
      <c r="AF420">
        <f ca="1"/>
      </c>
      <c r="AG420">
        <f ca="1"/>
      </c>
      <c r="AH420">
        <f ca="1"/>
      </c>
      <c r="AL420" s="7">
        <f ca="1"/>
      </c>
      <c r="AM420" s="14">
        <f ca="1"/>
      </c>
      <c r="AN420" s="14">
        <f ca="1"/>
      </c>
      <c r="AO420" s="14">
        <f ca="1"/>
      </c>
      <c r="AP420" s="14">
        <f ca="1"/>
      </c>
      <c r="AQ420" s="14">
        <f ca="1"/>
      </c>
      <c r="AR420" s="14">
        <f ca="1"/>
      </c>
      <c r="AV420" s="14">
        <f ca="1"/>
      </c>
      <c r="AW420" s="14">
        <f ca="1"/>
      </c>
      <c r="AX420" s="14">
        <f ca="1"/>
      </c>
      <c r="AY420" s="14">
        <f ca="1"/>
      </c>
      <c r="AZ420" s="14">
        <f ca="1"/>
      </c>
      <c r="BF420" s="7">
        <f ca="1"/>
      </c>
      <c r="BG420" s="14">
        <f ca="1"/>
      </c>
      <c r="BH420" s="14">
        <f ca="1"/>
      </c>
      <c r="BI420" s="14">
        <f ca="1"/>
      </c>
      <c r="BJ420" s="14">
        <f ca="1"/>
      </c>
      <c r="BK420" s="14">
        <f ca="1"/>
      </c>
    </row>
    <row r="421" spans="28:63" x14ac:dyDescent="0.55000000000000004">
      <c r="AB421">
        <f ca="1"/>
      </c>
      <c r="AC421">
        <f ca="1"/>
      </c>
      <c r="AD421">
        <f ca="1"/>
      </c>
      <c r="AE421">
        <f ca="1"/>
      </c>
      <c r="AF421">
        <f ca="1"/>
      </c>
      <c r="AG421">
        <f ca="1"/>
      </c>
      <c r="AH421">
        <f ca="1"/>
      </c>
      <c r="AL421" s="7">
        <f ca="1"/>
      </c>
      <c r="AM421" s="14">
        <f ca="1"/>
      </c>
      <c r="AN421" s="14">
        <f ca="1"/>
      </c>
      <c r="AO421" s="14">
        <f ca="1"/>
      </c>
      <c r="AP421" s="14">
        <f ca="1"/>
      </c>
      <c r="AQ421" s="14">
        <f ca="1"/>
      </c>
      <c r="AR421" s="14">
        <f ca="1"/>
      </c>
      <c r="AV421" s="14">
        <f ca="1"/>
      </c>
      <c r="AW421" s="14">
        <f ca="1"/>
      </c>
      <c r="AX421" s="14">
        <f ca="1"/>
      </c>
      <c r="AY421" s="14">
        <f ca="1"/>
      </c>
      <c r="AZ421" s="14">
        <f ca="1"/>
      </c>
      <c r="BF421" s="7">
        <f ca="1"/>
      </c>
      <c r="BG421" s="14">
        <f ca="1"/>
      </c>
      <c r="BH421" s="14">
        <f ca="1"/>
      </c>
      <c r="BI421" s="14">
        <f ca="1"/>
      </c>
      <c r="BJ421" s="14">
        <f ca="1"/>
      </c>
      <c r="BK421" s="14">
        <f ca="1"/>
      </c>
    </row>
    <row r="422" spans="28:63" x14ac:dyDescent="0.55000000000000004">
      <c r="AB422">
        <f ca="1"/>
      </c>
      <c r="AC422">
        <f ca="1"/>
      </c>
      <c r="AD422">
        <f ca="1"/>
      </c>
      <c r="AE422">
        <f ca="1"/>
      </c>
      <c r="AF422">
        <f ca="1"/>
      </c>
      <c r="AG422">
        <f ca="1"/>
      </c>
      <c r="AH422">
        <f ca="1"/>
      </c>
      <c r="AL422" s="7">
        <f ca="1"/>
      </c>
      <c r="AM422" s="14">
        <f ca="1"/>
      </c>
      <c r="AN422" s="14">
        <f ca="1"/>
      </c>
      <c r="AO422" s="14">
        <f ca="1"/>
      </c>
      <c r="AP422" s="14">
        <f ca="1"/>
      </c>
      <c r="AQ422" s="14">
        <f ca="1"/>
      </c>
      <c r="AR422" s="14">
        <f ca="1"/>
      </c>
      <c r="AV422" s="14">
        <f ca="1"/>
      </c>
      <c r="AW422" s="14">
        <f ca="1"/>
      </c>
      <c r="AX422" s="14">
        <f ca="1"/>
      </c>
      <c r="AY422" s="14">
        <f ca="1"/>
      </c>
      <c r="AZ422" s="14">
        <f ca="1"/>
      </c>
      <c r="BF422" s="7">
        <f ca="1"/>
      </c>
      <c r="BG422" s="14">
        <f ca="1"/>
      </c>
      <c r="BH422" s="14">
        <f ca="1"/>
      </c>
      <c r="BI422" s="14">
        <f ca="1"/>
      </c>
      <c r="BJ422" s="14">
        <f ca="1"/>
      </c>
      <c r="BK422" s="14">
        <f ca="1"/>
      </c>
    </row>
    <row r="423" spans="28:63" x14ac:dyDescent="0.55000000000000004">
      <c r="AB423">
        <f ca="1"/>
      </c>
      <c r="AC423">
        <f ca="1"/>
      </c>
      <c r="AD423">
        <f ca="1"/>
      </c>
      <c r="AE423">
        <f ca="1"/>
      </c>
      <c r="AF423">
        <f ca="1"/>
      </c>
      <c r="AG423">
        <f ca="1"/>
      </c>
      <c r="AH423">
        <f ca="1"/>
      </c>
      <c r="AL423" s="7">
        <f ca="1"/>
      </c>
      <c r="AM423" s="14">
        <f ca="1"/>
      </c>
      <c r="AN423" s="14">
        <f ca="1"/>
      </c>
      <c r="AO423" s="14">
        <f ca="1"/>
      </c>
      <c r="AP423" s="14">
        <f ca="1"/>
      </c>
      <c r="AQ423" s="14">
        <f ca="1"/>
      </c>
      <c r="AR423" s="14">
        <f ca="1"/>
      </c>
      <c r="AV423" s="14">
        <f ca="1"/>
      </c>
      <c r="AW423" s="14">
        <f ca="1"/>
      </c>
      <c r="AX423" s="14">
        <f ca="1"/>
      </c>
      <c r="AY423" s="14">
        <f ca="1"/>
      </c>
      <c r="AZ423" s="14">
        <f ca="1"/>
      </c>
      <c r="BF423" s="7">
        <f ca="1"/>
      </c>
      <c r="BG423" s="14">
        <f ca="1"/>
      </c>
      <c r="BH423" s="14">
        <f ca="1"/>
      </c>
      <c r="BI423" s="14">
        <f ca="1"/>
      </c>
      <c r="BJ423" s="14">
        <f ca="1"/>
      </c>
      <c r="BK423" s="14">
        <f ca="1"/>
      </c>
    </row>
    <row r="424" spans="28:63" x14ac:dyDescent="0.55000000000000004">
      <c r="AB424">
        <f ca="1"/>
      </c>
      <c r="AC424">
        <f ca="1"/>
      </c>
      <c r="AD424">
        <f ca="1"/>
      </c>
      <c r="AE424">
        <f ca="1"/>
      </c>
      <c r="AF424">
        <f ca="1"/>
      </c>
      <c r="AG424">
        <f ca="1"/>
      </c>
      <c r="AH424">
        <f ca="1"/>
      </c>
      <c r="AL424" s="7">
        <f ca="1"/>
      </c>
      <c r="AM424" s="14">
        <f ca="1"/>
      </c>
      <c r="AN424" s="14">
        <f ca="1"/>
      </c>
      <c r="AO424" s="14">
        <f ca="1"/>
      </c>
      <c r="AP424" s="14">
        <f ca="1"/>
      </c>
      <c r="AQ424" s="14">
        <f ca="1"/>
      </c>
      <c r="AR424" s="14">
        <f ca="1"/>
      </c>
      <c r="AV424" s="14">
        <f ca="1"/>
      </c>
      <c r="AW424" s="14">
        <f ca="1"/>
      </c>
      <c r="AX424" s="14">
        <f ca="1"/>
      </c>
      <c r="AY424" s="14">
        <f ca="1"/>
      </c>
      <c r="AZ424" s="14">
        <f ca="1"/>
      </c>
      <c r="BF424" s="7">
        <f ca="1"/>
      </c>
      <c r="BG424" s="14">
        <f ca="1"/>
      </c>
      <c r="BH424" s="14">
        <f ca="1"/>
      </c>
      <c r="BI424" s="14">
        <f ca="1"/>
      </c>
      <c r="BJ424" s="14">
        <f ca="1"/>
      </c>
      <c r="BK424" s="14">
        <f ca="1"/>
      </c>
    </row>
    <row r="425" spans="28:63" x14ac:dyDescent="0.55000000000000004">
      <c r="AB425">
        <f ca="1"/>
      </c>
      <c r="AC425">
        <f ca="1"/>
      </c>
      <c r="AD425">
        <f ca="1"/>
      </c>
      <c r="AE425">
        <f ca="1"/>
      </c>
      <c r="AF425">
        <f ca="1"/>
      </c>
      <c r="AG425">
        <f ca="1"/>
      </c>
      <c r="AH425">
        <f ca="1"/>
      </c>
      <c r="AL425" s="7">
        <f ca="1"/>
      </c>
      <c r="AM425" s="14">
        <f ca="1"/>
      </c>
      <c r="AN425" s="14">
        <f ca="1"/>
      </c>
      <c r="AO425" s="14">
        <f ca="1"/>
      </c>
      <c r="AP425" s="14">
        <f ca="1"/>
      </c>
      <c r="AQ425" s="14">
        <f ca="1"/>
      </c>
      <c r="AR425" s="14">
        <f ca="1"/>
      </c>
      <c r="AV425" s="14">
        <f ca="1"/>
      </c>
      <c r="AW425" s="14">
        <f ca="1"/>
      </c>
      <c r="AX425" s="14">
        <f ca="1"/>
      </c>
      <c r="AY425" s="14">
        <f ca="1"/>
      </c>
      <c r="AZ425" s="14">
        <f ca="1"/>
      </c>
      <c r="BF425" s="7">
        <f ca="1"/>
      </c>
      <c r="BG425" s="14">
        <f ca="1"/>
      </c>
      <c r="BH425" s="14">
        <f ca="1"/>
      </c>
      <c r="BI425" s="14">
        <f ca="1"/>
      </c>
      <c r="BJ425" s="14">
        <f ca="1"/>
      </c>
      <c r="BK425" s="14">
        <f ca="1"/>
      </c>
    </row>
    <row r="426" spans="28:63" x14ac:dyDescent="0.55000000000000004">
      <c r="AB426">
        <f ca="1"/>
      </c>
      <c r="AC426">
        <f ca="1"/>
      </c>
      <c r="AD426">
        <f ca="1"/>
      </c>
      <c r="AE426">
        <f ca="1"/>
      </c>
      <c r="AF426">
        <f ca="1"/>
      </c>
      <c r="AG426">
        <f ca="1"/>
      </c>
      <c r="AH426">
        <f ca="1"/>
      </c>
      <c r="AL426" s="7">
        <f ca="1"/>
      </c>
      <c r="AM426" s="14">
        <f ca="1"/>
      </c>
      <c r="AN426" s="14">
        <f ca="1"/>
      </c>
      <c r="AO426" s="14">
        <f ca="1"/>
      </c>
      <c r="AP426" s="14">
        <f ca="1"/>
      </c>
      <c r="AQ426" s="14">
        <f ca="1"/>
      </c>
      <c r="AR426" s="14">
        <f ca="1"/>
      </c>
      <c r="AV426" s="14">
        <f ca="1"/>
      </c>
      <c r="AW426" s="14">
        <f ca="1"/>
      </c>
      <c r="AX426" s="14">
        <f ca="1"/>
      </c>
      <c r="AY426" s="14">
        <f ca="1"/>
      </c>
      <c r="AZ426" s="14">
        <f ca="1"/>
      </c>
      <c r="BF426" s="7">
        <f ca="1"/>
      </c>
      <c r="BG426" s="14">
        <f ca="1"/>
      </c>
      <c r="BH426" s="14">
        <f ca="1"/>
      </c>
      <c r="BI426" s="14">
        <f ca="1"/>
      </c>
      <c r="BJ426" s="14">
        <f ca="1"/>
      </c>
      <c r="BK426" s="14">
        <f ca="1"/>
      </c>
    </row>
    <row r="427" spans="28:63" x14ac:dyDescent="0.55000000000000004">
      <c r="AB427">
        <f ca="1"/>
      </c>
      <c r="AC427">
        <f ca="1"/>
      </c>
      <c r="AD427">
        <f ca="1"/>
      </c>
      <c r="AE427">
        <f ca="1"/>
      </c>
      <c r="AF427">
        <f ca="1"/>
      </c>
      <c r="AG427">
        <f ca="1"/>
      </c>
      <c r="AH427">
        <f ca="1"/>
      </c>
      <c r="AL427" s="7">
        <f ca="1"/>
      </c>
      <c r="AM427" s="14">
        <f ca="1"/>
      </c>
      <c r="AN427" s="14">
        <f ca="1"/>
      </c>
      <c r="AO427" s="14">
        <f ca="1"/>
      </c>
      <c r="AP427" s="14">
        <f ca="1"/>
      </c>
      <c r="AQ427" s="14">
        <f ca="1"/>
      </c>
      <c r="AR427" s="14">
        <f ca="1"/>
      </c>
      <c r="AV427" s="14">
        <f ca="1"/>
      </c>
      <c r="AW427" s="14">
        <f ca="1"/>
      </c>
      <c r="AX427" s="14">
        <f ca="1"/>
      </c>
      <c r="AY427" s="14">
        <f ca="1"/>
      </c>
      <c r="AZ427" s="14">
        <f ca="1"/>
      </c>
      <c r="BF427" s="7">
        <f ca="1"/>
      </c>
      <c r="BG427" s="14">
        <f ca="1"/>
      </c>
      <c r="BH427" s="14">
        <f ca="1"/>
      </c>
      <c r="BI427" s="14">
        <f ca="1"/>
      </c>
      <c r="BJ427" s="14">
        <f ca="1"/>
      </c>
      <c r="BK427" s="14">
        <f ca="1"/>
      </c>
    </row>
    <row r="428" spans="28:63" x14ac:dyDescent="0.55000000000000004">
      <c r="AB428">
        <f ca="1"/>
      </c>
      <c r="AC428">
        <f ca="1"/>
      </c>
      <c r="AD428">
        <f ca="1"/>
      </c>
      <c r="AE428">
        <f ca="1"/>
      </c>
      <c r="AF428">
        <f ca="1"/>
      </c>
      <c r="AG428">
        <f ca="1"/>
      </c>
      <c r="AH428">
        <f ca="1"/>
      </c>
      <c r="AL428" s="7">
        <f ca="1"/>
      </c>
      <c r="AM428" s="14">
        <f ca="1"/>
      </c>
      <c r="AN428" s="14">
        <f ca="1"/>
      </c>
      <c r="AO428" s="14">
        <f ca="1"/>
      </c>
      <c r="AP428" s="14">
        <f ca="1"/>
      </c>
      <c r="AQ428" s="14">
        <f ca="1"/>
      </c>
      <c r="AR428" s="14">
        <f ca="1"/>
      </c>
      <c r="AV428" s="14">
        <f ca="1"/>
      </c>
      <c r="AW428" s="14">
        <f ca="1"/>
      </c>
      <c r="AX428" s="14">
        <f ca="1"/>
      </c>
      <c r="AY428" s="14">
        <f ca="1"/>
      </c>
      <c r="AZ428" s="14">
        <f ca="1"/>
      </c>
      <c r="BF428" s="7">
        <f ca="1"/>
      </c>
      <c r="BG428" s="14">
        <f ca="1"/>
      </c>
      <c r="BH428" s="14">
        <f ca="1"/>
      </c>
      <c r="BI428" s="14">
        <f ca="1"/>
      </c>
      <c r="BJ428" s="14">
        <f ca="1"/>
      </c>
      <c r="BK428" s="14">
        <f ca="1"/>
      </c>
    </row>
    <row r="429" spans="28:63" x14ac:dyDescent="0.55000000000000004">
      <c r="AB429">
        <f ca="1"/>
      </c>
      <c r="AC429">
        <f ca="1"/>
      </c>
      <c r="AD429">
        <f ca="1"/>
      </c>
      <c r="AE429">
        <f ca="1"/>
      </c>
      <c r="AF429">
        <f ca="1"/>
      </c>
      <c r="AG429">
        <f ca="1"/>
      </c>
      <c r="AH429">
        <f ca="1"/>
      </c>
      <c r="AL429" s="7">
        <f ca="1"/>
      </c>
      <c r="AM429" s="14">
        <f ca="1"/>
      </c>
      <c r="AN429" s="14">
        <f ca="1"/>
      </c>
      <c r="AO429" s="14">
        <f ca="1"/>
      </c>
      <c r="AP429" s="14">
        <f ca="1"/>
      </c>
      <c r="AQ429" s="14">
        <f ca="1"/>
      </c>
      <c r="AR429" s="14">
        <f ca="1"/>
      </c>
      <c r="AV429" s="14">
        <f ca="1"/>
      </c>
      <c r="AW429" s="14">
        <f ca="1"/>
      </c>
      <c r="AX429" s="14">
        <f ca="1"/>
      </c>
      <c r="AY429" s="14">
        <f ca="1"/>
      </c>
      <c r="AZ429" s="14">
        <f ca="1"/>
      </c>
      <c r="BF429" s="7">
        <f ca="1"/>
      </c>
      <c r="BG429" s="14">
        <f ca="1"/>
      </c>
      <c r="BH429" s="14">
        <f ca="1"/>
      </c>
      <c r="BI429" s="14">
        <f ca="1"/>
      </c>
      <c r="BJ429" s="14">
        <f ca="1"/>
      </c>
      <c r="BK429" s="14">
        <f ca="1"/>
      </c>
    </row>
    <row r="430" spans="28:63" x14ac:dyDescent="0.55000000000000004">
      <c r="AB430">
        <f ca="1"/>
      </c>
      <c r="AC430">
        <f ca="1"/>
      </c>
      <c r="AD430">
        <f ca="1"/>
      </c>
      <c r="AE430">
        <f ca="1"/>
      </c>
      <c r="AF430">
        <f ca="1"/>
      </c>
      <c r="AG430">
        <f ca="1"/>
      </c>
      <c r="AH430">
        <f ca="1"/>
      </c>
      <c r="AL430" s="7">
        <f ca="1"/>
      </c>
      <c r="AM430" s="14">
        <f ca="1"/>
      </c>
      <c r="AN430" s="14">
        <f ca="1"/>
      </c>
      <c r="AO430" s="14">
        <f ca="1"/>
      </c>
      <c r="AP430" s="14">
        <f ca="1"/>
      </c>
      <c r="AQ430" s="14">
        <f ca="1"/>
      </c>
      <c r="AR430" s="14">
        <f ca="1"/>
      </c>
      <c r="AV430" s="14">
        <f ca="1"/>
      </c>
      <c r="AW430" s="14">
        <f ca="1"/>
      </c>
      <c r="AX430" s="14">
        <f ca="1"/>
      </c>
      <c r="AY430" s="14">
        <f ca="1"/>
      </c>
      <c r="AZ430" s="14">
        <f ca="1"/>
      </c>
      <c r="BF430" s="7">
        <f ca="1"/>
      </c>
      <c r="BG430" s="14">
        <f ca="1"/>
      </c>
      <c r="BH430" s="14">
        <f ca="1"/>
      </c>
      <c r="BI430" s="14">
        <f ca="1"/>
      </c>
      <c r="BJ430" s="14">
        <f ca="1"/>
      </c>
      <c r="BK430" s="14">
        <f ca="1"/>
      </c>
    </row>
    <row r="431" spans="28:63" x14ac:dyDescent="0.55000000000000004">
      <c r="AB431">
        <f ca="1"/>
      </c>
      <c r="AC431">
        <f ca="1"/>
      </c>
      <c r="AD431">
        <f ca="1"/>
      </c>
      <c r="AE431">
        <f ca="1"/>
      </c>
      <c r="AF431">
        <f ca="1"/>
      </c>
      <c r="AG431">
        <f ca="1"/>
      </c>
      <c r="AH431">
        <f ca="1"/>
      </c>
      <c r="AL431" s="7">
        <f ca="1"/>
      </c>
      <c r="AM431" s="14">
        <f ca="1"/>
      </c>
      <c r="AN431" s="14">
        <f ca="1"/>
      </c>
      <c r="AO431" s="14">
        <f ca="1"/>
      </c>
      <c r="AP431" s="14">
        <f ca="1"/>
      </c>
      <c r="AQ431" s="14">
        <f ca="1"/>
      </c>
      <c r="AR431" s="14">
        <f ca="1"/>
      </c>
      <c r="AV431" s="14">
        <f ca="1"/>
      </c>
      <c r="AW431" s="14">
        <f ca="1"/>
      </c>
      <c r="AX431" s="14">
        <f ca="1"/>
      </c>
      <c r="AY431" s="14">
        <f ca="1"/>
      </c>
      <c r="AZ431" s="14">
        <f ca="1"/>
      </c>
      <c r="BF431" s="7">
        <f ca="1"/>
      </c>
      <c r="BG431" s="14">
        <f ca="1"/>
      </c>
      <c r="BH431" s="14">
        <f ca="1"/>
      </c>
      <c r="BI431" s="14">
        <f ca="1"/>
      </c>
      <c r="BJ431" s="14">
        <f ca="1"/>
      </c>
      <c r="BK431" s="14">
        <f ca="1"/>
      </c>
    </row>
    <row r="432" spans="28:63" x14ac:dyDescent="0.55000000000000004">
      <c r="AB432">
        <f ca="1"/>
      </c>
      <c r="AC432">
        <f ca="1"/>
      </c>
      <c r="AD432">
        <f ca="1"/>
      </c>
      <c r="AE432">
        <f ca="1"/>
      </c>
      <c r="AF432">
        <f ca="1"/>
      </c>
      <c r="AG432">
        <f ca="1"/>
      </c>
      <c r="AH432">
        <f ca="1"/>
      </c>
      <c r="AL432" s="7">
        <f ca="1"/>
      </c>
      <c r="AM432" s="14">
        <f ca="1"/>
      </c>
      <c r="AN432" s="14">
        <f ca="1"/>
      </c>
      <c r="AO432" s="14">
        <f ca="1"/>
      </c>
      <c r="AP432" s="14">
        <f ca="1"/>
      </c>
      <c r="AQ432" s="14">
        <f ca="1"/>
      </c>
      <c r="AR432" s="14">
        <f ca="1"/>
      </c>
      <c r="AV432" s="14">
        <f ca="1"/>
      </c>
      <c r="AW432" s="14">
        <f ca="1"/>
      </c>
      <c r="AX432" s="14">
        <f ca="1"/>
      </c>
      <c r="AY432" s="14">
        <f ca="1"/>
      </c>
      <c r="AZ432" s="14">
        <f ca="1"/>
      </c>
      <c r="BF432" s="7">
        <f ca="1"/>
      </c>
      <c r="BG432" s="14">
        <f ca="1"/>
      </c>
      <c r="BH432" s="14">
        <f ca="1"/>
      </c>
      <c r="BI432" s="14">
        <f ca="1"/>
      </c>
      <c r="BJ432" s="14">
        <f ca="1"/>
      </c>
      <c r="BK432" s="14">
        <f ca="1"/>
      </c>
    </row>
    <row r="433" spans="28:63" x14ac:dyDescent="0.55000000000000004">
      <c r="AB433">
        <f ca="1"/>
      </c>
      <c r="AC433">
        <f ca="1"/>
      </c>
      <c r="AD433">
        <f ca="1"/>
      </c>
      <c r="AE433">
        <f ca="1"/>
      </c>
      <c r="AF433">
        <f ca="1"/>
      </c>
      <c r="AG433">
        <f ca="1"/>
      </c>
      <c r="AH433">
        <f ca="1"/>
      </c>
      <c r="AL433" s="7">
        <f ca="1"/>
      </c>
      <c r="AM433" s="14">
        <f ca="1"/>
      </c>
      <c r="AN433" s="14">
        <f ca="1"/>
      </c>
      <c r="AO433" s="14">
        <f ca="1"/>
      </c>
      <c r="AP433" s="14">
        <f ca="1"/>
      </c>
      <c r="AQ433" s="14">
        <f ca="1"/>
      </c>
      <c r="AR433" s="14">
        <f ca="1"/>
      </c>
      <c r="AV433" s="14">
        <f ca="1"/>
      </c>
      <c r="AW433" s="14">
        <f ca="1"/>
      </c>
      <c r="AX433" s="14">
        <f ca="1"/>
      </c>
      <c r="AY433" s="14">
        <f ca="1"/>
      </c>
      <c r="AZ433" s="14">
        <f ca="1"/>
      </c>
      <c r="BF433" s="7">
        <f ca="1"/>
      </c>
      <c r="BG433" s="14">
        <f ca="1"/>
      </c>
      <c r="BH433" s="14">
        <f ca="1"/>
      </c>
      <c r="BI433" s="14">
        <f ca="1"/>
      </c>
      <c r="BJ433" s="14">
        <f ca="1"/>
      </c>
      <c r="BK433" s="14">
        <f ca="1"/>
      </c>
    </row>
    <row r="434" spans="28:63" x14ac:dyDescent="0.55000000000000004">
      <c r="AB434">
        <f ca="1"/>
      </c>
      <c r="AC434">
        <f ca="1"/>
      </c>
      <c r="AD434">
        <f ca="1"/>
      </c>
      <c r="AE434">
        <f ca="1"/>
      </c>
      <c r="AF434">
        <f ca="1"/>
      </c>
      <c r="AG434">
        <f ca="1"/>
      </c>
      <c r="AH434">
        <f ca="1"/>
      </c>
      <c r="AL434" s="7">
        <f ca="1"/>
      </c>
      <c r="AM434" s="14">
        <f ca="1"/>
      </c>
      <c r="AN434" s="14">
        <f ca="1"/>
      </c>
      <c r="AO434" s="14">
        <f ca="1"/>
      </c>
      <c r="AP434" s="14">
        <f ca="1"/>
      </c>
      <c r="AQ434" s="14">
        <f ca="1"/>
      </c>
      <c r="AR434" s="14">
        <f ca="1"/>
      </c>
      <c r="AV434" s="14">
        <f ca="1"/>
      </c>
      <c r="AW434" s="14">
        <f ca="1"/>
      </c>
      <c r="AX434" s="14">
        <f ca="1"/>
      </c>
      <c r="AY434" s="14">
        <f ca="1"/>
      </c>
      <c r="AZ434" s="14">
        <f ca="1"/>
      </c>
      <c r="BF434" s="7">
        <f ca="1"/>
      </c>
      <c r="BG434" s="14">
        <f ca="1"/>
      </c>
      <c r="BH434" s="14">
        <f ca="1"/>
      </c>
      <c r="BI434" s="14">
        <f ca="1"/>
      </c>
      <c r="BJ434" s="14">
        <f ca="1"/>
      </c>
      <c r="BK434" s="14">
        <f ca="1"/>
      </c>
    </row>
    <row r="435" spans="28:63" x14ac:dyDescent="0.55000000000000004">
      <c r="AB435">
        <f ca="1"/>
      </c>
      <c r="AC435">
        <f ca="1"/>
      </c>
      <c r="AD435">
        <f ca="1"/>
      </c>
      <c r="AE435">
        <f ca="1"/>
      </c>
      <c r="AF435">
        <f ca="1"/>
      </c>
      <c r="AG435">
        <f ca="1"/>
      </c>
      <c r="AH435">
        <f ca="1"/>
      </c>
      <c r="AL435" s="7">
        <f ca="1"/>
      </c>
      <c r="AM435" s="14">
        <f ca="1"/>
      </c>
      <c r="AN435" s="14">
        <f ca="1"/>
      </c>
      <c r="AO435" s="14">
        <f ca="1"/>
      </c>
      <c r="AP435" s="14">
        <f ca="1"/>
      </c>
      <c r="AQ435" s="14">
        <f ca="1"/>
      </c>
      <c r="AR435" s="14">
        <f ca="1"/>
      </c>
      <c r="AV435" s="14">
        <f ca="1"/>
      </c>
      <c r="AW435" s="14">
        <f ca="1"/>
      </c>
      <c r="AX435" s="14">
        <f ca="1"/>
      </c>
      <c r="AY435" s="14">
        <f ca="1"/>
      </c>
      <c r="AZ435" s="14">
        <f ca="1"/>
      </c>
      <c r="BF435" s="7">
        <f ca="1"/>
      </c>
      <c r="BG435" s="14">
        <f ca="1"/>
      </c>
      <c r="BH435" s="14">
        <f ca="1"/>
      </c>
      <c r="BI435" s="14">
        <f ca="1"/>
      </c>
      <c r="BJ435" s="14">
        <f ca="1"/>
      </c>
      <c r="BK435" s="14">
        <f ca="1"/>
      </c>
    </row>
    <row r="436" spans="28:63" x14ac:dyDescent="0.55000000000000004">
      <c r="AB436">
        <f ca="1"/>
      </c>
      <c r="AC436">
        <f ca="1"/>
      </c>
      <c r="AD436">
        <f ca="1"/>
      </c>
      <c r="AE436">
        <f ca="1"/>
      </c>
      <c r="AF436">
        <f ca="1"/>
      </c>
      <c r="AG436">
        <f ca="1"/>
      </c>
      <c r="AH436">
        <f ca="1"/>
      </c>
      <c r="AL436" s="7">
        <f ca="1"/>
      </c>
      <c r="AM436" s="14">
        <f ca="1"/>
      </c>
      <c r="AN436" s="14">
        <f ca="1"/>
      </c>
      <c r="AO436" s="14">
        <f ca="1"/>
      </c>
      <c r="AP436" s="14">
        <f ca="1"/>
      </c>
      <c r="AQ436" s="14">
        <f ca="1"/>
      </c>
      <c r="AR436" s="14">
        <f ca="1"/>
      </c>
      <c r="AV436" s="14">
        <f ca="1"/>
      </c>
      <c r="AW436" s="14">
        <f ca="1"/>
      </c>
      <c r="AX436" s="14">
        <f ca="1"/>
      </c>
      <c r="AY436" s="14">
        <f ca="1"/>
      </c>
      <c r="AZ436" s="14">
        <f ca="1"/>
      </c>
      <c r="BF436" s="7">
        <f ca="1"/>
      </c>
      <c r="BG436" s="14">
        <f ca="1"/>
      </c>
      <c r="BH436" s="14">
        <f ca="1"/>
      </c>
      <c r="BI436" s="14">
        <f ca="1"/>
      </c>
      <c r="BJ436" s="14">
        <f ca="1"/>
      </c>
      <c r="BK436" s="14">
        <f ca="1"/>
      </c>
    </row>
    <row r="437" spans="28:63" x14ac:dyDescent="0.55000000000000004">
      <c r="AB437">
        <f ca="1"/>
      </c>
      <c r="AC437">
        <f ca="1"/>
      </c>
      <c r="AD437">
        <f ca="1"/>
      </c>
      <c r="AE437">
        <f ca="1"/>
      </c>
      <c r="AF437">
        <f ca="1"/>
      </c>
      <c r="AG437">
        <f ca="1"/>
      </c>
      <c r="AH437">
        <f ca="1"/>
      </c>
      <c r="AL437" s="7">
        <f ca="1"/>
      </c>
      <c r="AM437" s="14">
        <f ca="1"/>
      </c>
      <c r="AN437" s="14">
        <f ca="1"/>
      </c>
      <c r="AO437" s="14">
        <f ca="1"/>
      </c>
      <c r="AP437" s="14">
        <f ca="1"/>
      </c>
      <c r="AQ437" s="14">
        <f ca="1"/>
      </c>
      <c r="AR437" s="14">
        <f ca="1"/>
      </c>
      <c r="AV437" s="14">
        <f ca="1"/>
      </c>
      <c r="AW437" s="14">
        <f ca="1"/>
      </c>
      <c r="AX437" s="14">
        <f ca="1"/>
      </c>
      <c r="AY437" s="14">
        <f ca="1"/>
      </c>
      <c r="AZ437" s="14">
        <f ca="1"/>
      </c>
      <c r="BF437" s="7">
        <f ca="1"/>
      </c>
      <c r="BG437" s="14">
        <f ca="1"/>
      </c>
      <c r="BH437" s="14">
        <f ca="1"/>
      </c>
      <c r="BI437" s="14">
        <f ca="1"/>
      </c>
      <c r="BJ437" s="14">
        <f ca="1"/>
      </c>
      <c r="BK437" s="14">
        <f ca="1"/>
      </c>
    </row>
    <row r="438" spans="28:63" x14ac:dyDescent="0.55000000000000004">
      <c r="AB438">
        <f ca="1"/>
      </c>
      <c r="AC438">
        <f ca="1"/>
      </c>
      <c r="AD438">
        <f ca="1"/>
      </c>
      <c r="AE438">
        <f ca="1"/>
      </c>
      <c r="AF438">
        <f ca="1"/>
      </c>
      <c r="AG438">
        <f ca="1"/>
      </c>
      <c r="AH438">
        <f ca="1"/>
      </c>
      <c r="AL438" s="7">
        <f ca="1"/>
      </c>
      <c r="AM438" s="14">
        <f ca="1"/>
      </c>
      <c r="AN438" s="14">
        <f ca="1"/>
      </c>
      <c r="AO438" s="14">
        <f ca="1"/>
      </c>
      <c r="AP438" s="14">
        <f ca="1"/>
      </c>
      <c r="AQ438" s="14">
        <f ca="1"/>
      </c>
      <c r="AR438" s="14">
        <f ca="1"/>
      </c>
      <c r="AV438" s="14">
        <f ca="1"/>
      </c>
      <c r="AW438" s="14">
        <f ca="1"/>
      </c>
      <c r="AX438" s="14">
        <f ca="1"/>
      </c>
      <c r="AY438" s="14">
        <f ca="1"/>
      </c>
      <c r="AZ438" s="14">
        <f ca="1"/>
      </c>
      <c r="BF438" s="7">
        <f ca="1"/>
      </c>
      <c r="BG438" s="14">
        <f ca="1"/>
      </c>
      <c r="BH438" s="14">
        <f ca="1"/>
      </c>
      <c r="BI438" s="14">
        <f ca="1"/>
      </c>
      <c r="BJ438" s="14">
        <f ca="1"/>
      </c>
      <c r="BK438" s="14">
        <f ca="1"/>
      </c>
    </row>
    <row r="439" spans="28:63" x14ac:dyDescent="0.55000000000000004">
      <c r="AB439">
        <f ca="1"/>
      </c>
      <c r="AC439">
        <f ca="1"/>
      </c>
      <c r="AD439">
        <f ca="1"/>
      </c>
      <c r="AE439">
        <f ca="1"/>
      </c>
      <c r="AF439">
        <f ca="1"/>
      </c>
      <c r="AG439">
        <f ca="1"/>
      </c>
      <c r="AH439">
        <f ca="1"/>
      </c>
      <c r="AL439" s="7">
        <f ca="1"/>
      </c>
      <c r="AM439" s="14">
        <f ca="1"/>
      </c>
      <c r="AN439" s="14">
        <f ca="1"/>
      </c>
      <c r="AO439" s="14">
        <f ca="1"/>
      </c>
      <c r="AP439" s="14">
        <f ca="1"/>
      </c>
      <c r="AQ439" s="14">
        <f ca="1"/>
      </c>
      <c r="AR439" s="14">
        <f ca="1"/>
      </c>
      <c r="AV439" s="14">
        <f ca="1"/>
      </c>
      <c r="AW439" s="14">
        <f ca="1"/>
      </c>
      <c r="AX439" s="14">
        <f ca="1"/>
      </c>
      <c r="AY439" s="14">
        <f ca="1"/>
      </c>
      <c r="AZ439" s="14">
        <f ca="1"/>
      </c>
      <c r="BF439" s="7">
        <f ca="1"/>
      </c>
      <c r="BG439" s="14">
        <f ca="1"/>
      </c>
      <c r="BH439" s="14">
        <f ca="1"/>
      </c>
      <c r="BI439" s="14">
        <f ca="1"/>
      </c>
      <c r="BJ439" s="14">
        <f ca="1"/>
      </c>
      <c r="BK439" s="14">
        <f ca="1"/>
      </c>
    </row>
    <row r="440" spans="28:63" x14ac:dyDescent="0.55000000000000004">
      <c r="AB440">
        <f ca="1"/>
      </c>
      <c r="AC440">
        <f ca="1"/>
      </c>
      <c r="AD440">
        <f ca="1"/>
      </c>
      <c r="AE440">
        <f ca="1"/>
      </c>
      <c r="AF440">
        <f ca="1"/>
      </c>
      <c r="AG440">
        <f ca="1"/>
      </c>
      <c r="AH440">
        <f ca="1"/>
      </c>
      <c r="AL440" s="7">
        <f ca="1"/>
      </c>
      <c r="AM440" s="14">
        <f ca="1"/>
      </c>
      <c r="AN440" s="14">
        <f ca="1"/>
      </c>
      <c r="AO440" s="14">
        <f ca="1"/>
      </c>
      <c r="AP440" s="14">
        <f ca="1"/>
      </c>
      <c r="AQ440" s="14">
        <f ca="1"/>
      </c>
      <c r="AR440" s="14">
        <f ca="1"/>
      </c>
      <c r="AV440" s="14">
        <f ca="1"/>
      </c>
      <c r="AW440" s="14">
        <f ca="1"/>
      </c>
      <c r="AX440" s="14">
        <f ca="1"/>
      </c>
      <c r="AY440" s="14">
        <f ca="1"/>
      </c>
      <c r="AZ440" s="14">
        <f ca="1"/>
      </c>
      <c r="BF440" s="7">
        <f ca="1"/>
      </c>
      <c r="BG440" s="14">
        <f ca="1"/>
      </c>
      <c r="BH440" s="14">
        <f ca="1"/>
      </c>
      <c r="BI440" s="14">
        <f ca="1"/>
      </c>
      <c r="BJ440" s="14">
        <f ca="1"/>
      </c>
      <c r="BK440" s="14">
        <f ca="1"/>
      </c>
    </row>
    <row r="441" spans="28:63" x14ac:dyDescent="0.55000000000000004">
      <c r="AB441">
        <f ca="1"/>
      </c>
      <c r="AC441">
        <f ca="1"/>
      </c>
      <c r="AD441">
        <f ca="1"/>
      </c>
      <c r="AE441">
        <f ca="1"/>
      </c>
      <c r="AF441">
        <f ca="1"/>
      </c>
      <c r="AG441">
        <f ca="1"/>
      </c>
      <c r="AH441">
        <f ca="1"/>
      </c>
      <c r="AL441" s="7">
        <f ca="1"/>
      </c>
      <c r="AM441" s="14">
        <f ca="1"/>
      </c>
      <c r="AN441" s="14">
        <f ca="1"/>
      </c>
      <c r="AO441" s="14">
        <f ca="1"/>
      </c>
      <c r="AP441" s="14">
        <f ca="1"/>
      </c>
      <c r="AQ441" s="14">
        <f ca="1"/>
      </c>
      <c r="AR441" s="14">
        <f ca="1"/>
      </c>
      <c r="AV441" s="14">
        <f ca="1"/>
      </c>
      <c r="AW441" s="14">
        <f ca="1"/>
      </c>
      <c r="AX441" s="14">
        <f ca="1"/>
      </c>
      <c r="AY441" s="14">
        <f ca="1"/>
      </c>
      <c r="AZ441" s="14">
        <f ca="1"/>
      </c>
      <c r="BF441" s="7">
        <f ca="1"/>
      </c>
      <c r="BG441" s="14">
        <f ca="1"/>
      </c>
      <c r="BH441" s="14">
        <f ca="1"/>
      </c>
      <c r="BI441" s="14">
        <f ca="1"/>
      </c>
      <c r="BJ441" s="14">
        <f ca="1"/>
      </c>
      <c r="BK441" s="14">
        <f ca="1"/>
      </c>
    </row>
    <row r="442" spans="28:63" x14ac:dyDescent="0.55000000000000004">
      <c r="AB442">
        <f ca="1"/>
      </c>
      <c r="AC442">
        <f ca="1"/>
      </c>
      <c r="AD442">
        <f ca="1"/>
      </c>
      <c r="AE442">
        <f ca="1"/>
      </c>
      <c r="AF442">
        <f ca="1"/>
      </c>
      <c r="AG442">
        <f ca="1"/>
      </c>
      <c r="AH442">
        <f ca="1"/>
      </c>
      <c r="AL442" s="7">
        <f ca="1"/>
      </c>
      <c r="AM442" s="14">
        <f ca="1"/>
      </c>
      <c r="AN442" s="14">
        <f ca="1"/>
      </c>
      <c r="AO442" s="14">
        <f ca="1"/>
      </c>
      <c r="AP442" s="14">
        <f ca="1"/>
      </c>
      <c r="AQ442" s="14">
        <f ca="1"/>
      </c>
      <c r="AR442" s="14">
        <f ca="1"/>
      </c>
      <c r="AV442" s="14">
        <f ca="1"/>
      </c>
      <c r="AW442" s="14">
        <f ca="1"/>
      </c>
      <c r="AX442" s="14">
        <f ca="1"/>
      </c>
      <c r="AY442" s="14">
        <f ca="1"/>
      </c>
      <c r="AZ442" s="14">
        <f ca="1"/>
      </c>
      <c r="BF442" s="7">
        <f ca="1"/>
      </c>
      <c r="BG442" s="14">
        <f ca="1"/>
      </c>
      <c r="BH442" s="14">
        <f ca="1"/>
      </c>
      <c r="BI442" s="14">
        <f ca="1"/>
      </c>
      <c r="BJ442" s="14">
        <f ca="1"/>
      </c>
      <c r="BK442" s="14">
        <f ca="1"/>
      </c>
    </row>
    <row r="443" spans="28:63" x14ac:dyDescent="0.55000000000000004">
      <c r="AB443">
        <f ca="1"/>
      </c>
      <c r="AC443">
        <f ca="1"/>
      </c>
      <c r="AD443">
        <f ca="1"/>
      </c>
      <c r="AE443">
        <f ca="1"/>
      </c>
      <c r="AF443">
        <f ca="1"/>
      </c>
      <c r="AG443">
        <f ca="1"/>
      </c>
      <c r="AH443">
        <f ca="1"/>
      </c>
      <c r="AL443" s="7">
        <f ca="1"/>
      </c>
      <c r="AM443" s="14">
        <f ca="1"/>
      </c>
      <c r="AN443" s="14">
        <f ca="1"/>
      </c>
      <c r="AO443" s="14">
        <f ca="1"/>
      </c>
      <c r="AP443" s="14">
        <f ca="1"/>
      </c>
      <c r="AQ443" s="14">
        <f ca="1"/>
      </c>
      <c r="AR443" s="14">
        <f ca="1"/>
      </c>
      <c r="AV443" s="14">
        <f ca="1"/>
      </c>
      <c r="AW443" s="14">
        <f ca="1"/>
      </c>
      <c r="AX443" s="14">
        <f ca="1"/>
      </c>
      <c r="AY443" s="14">
        <f ca="1"/>
      </c>
      <c r="AZ443" s="14">
        <f ca="1"/>
      </c>
      <c r="BF443" s="7">
        <f ca="1"/>
      </c>
      <c r="BG443" s="14">
        <f ca="1"/>
      </c>
      <c r="BH443" s="14">
        <f ca="1"/>
      </c>
      <c r="BI443" s="14">
        <f ca="1"/>
      </c>
      <c r="BJ443" s="14">
        <f ca="1"/>
      </c>
      <c r="BK443" s="14">
        <f ca="1"/>
      </c>
    </row>
    <row r="444" spans="28:63" x14ac:dyDescent="0.55000000000000004">
      <c r="AB444">
        <f ca="1"/>
      </c>
      <c r="AC444">
        <f ca="1"/>
      </c>
      <c r="AD444">
        <f ca="1"/>
      </c>
      <c r="AE444">
        <f ca="1"/>
      </c>
      <c r="AF444">
        <f ca="1"/>
      </c>
      <c r="AG444">
        <f ca="1"/>
      </c>
      <c r="AH444">
        <f ca="1"/>
      </c>
      <c r="AL444" s="7">
        <f ca="1"/>
      </c>
      <c r="AM444" s="14">
        <f ca="1"/>
      </c>
      <c r="AN444" s="14">
        <f ca="1"/>
      </c>
      <c r="AO444" s="14">
        <f ca="1"/>
      </c>
      <c r="AP444" s="14">
        <f ca="1"/>
      </c>
      <c r="AQ444" s="14">
        <f ca="1"/>
      </c>
      <c r="AR444" s="14">
        <f ca="1"/>
      </c>
      <c r="AV444" s="14">
        <f ca="1"/>
      </c>
      <c r="AW444" s="14">
        <f ca="1"/>
      </c>
      <c r="AX444" s="14">
        <f ca="1"/>
      </c>
      <c r="AY444" s="14">
        <f ca="1"/>
      </c>
      <c r="AZ444" s="14">
        <f ca="1"/>
      </c>
      <c r="BF444" s="7">
        <f ca="1"/>
      </c>
      <c r="BG444" s="14">
        <f ca="1"/>
      </c>
      <c r="BH444" s="14">
        <f ca="1"/>
      </c>
      <c r="BI444" s="14">
        <f ca="1"/>
      </c>
      <c r="BJ444" s="14">
        <f ca="1"/>
      </c>
      <c r="BK444" s="14">
        <f ca="1"/>
      </c>
    </row>
    <row r="445" spans="28:63" x14ac:dyDescent="0.55000000000000004">
      <c r="AB445">
        <f ca="1"/>
      </c>
      <c r="AC445">
        <f ca="1"/>
      </c>
      <c r="AD445">
        <f ca="1"/>
      </c>
      <c r="AE445">
        <f ca="1"/>
      </c>
      <c r="AF445">
        <f ca="1"/>
      </c>
      <c r="AG445">
        <f ca="1"/>
      </c>
      <c r="AH445">
        <f ca="1"/>
      </c>
      <c r="AL445" s="7">
        <f ca="1"/>
      </c>
      <c r="AM445" s="14">
        <f ca="1"/>
      </c>
      <c r="AN445" s="14">
        <f ca="1"/>
      </c>
      <c r="AO445" s="14">
        <f ca="1"/>
      </c>
      <c r="AP445" s="14">
        <f ca="1"/>
      </c>
      <c r="AQ445" s="14">
        <f ca="1"/>
      </c>
      <c r="AR445" s="14">
        <f ca="1"/>
      </c>
      <c r="AV445" s="14">
        <f ca="1"/>
      </c>
      <c r="AW445" s="14">
        <f ca="1"/>
      </c>
      <c r="AX445" s="14">
        <f ca="1"/>
      </c>
      <c r="AY445" s="14">
        <f ca="1"/>
      </c>
      <c r="AZ445" s="14">
        <f ca="1"/>
      </c>
      <c r="BF445" s="7">
        <f ca="1"/>
      </c>
      <c r="BG445" s="14">
        <f ca="1"/>
      </c>
      <c r="BH445" s="14">
        <f ca="1"/>
      </c>
      <c r="BI445" s="14">
        <f ca="1"/>
      </c>
      <c r="BJ445" s="14">
        <f ca="1"/>
      </c>
      <c r="BK445" s="14">
        <f ca="1"/>
      </c>
    </row>
    <row r="446" spans="28:63" x14ac:dyDescent="0.55000000000000004">
      <c r="AB446">
        <f ca="1"/>
      </c>
      <c r="AC446">
        <f ca="1"/>
      </c>
      <c r="AD446">
        <f ca="1"/>
      </c>
      <c r="AE446">
        <f ca="1"/>
      </c>
      <c r="AF446">
        <f ca="1"/>
      </c>
      <c r="AG446">
        <f ca="1"/>
      </c>
      <c r="AH446">
        <f ca="1"/>
      </c>
      <c r="AL446" s="7">
        <f ca="1"/>
      </c>
      <c r="AM446" s="14">
        <f ca="1"/>
      </c>
      <c r="AN446" s="14">
        <f ca="1"/>
      </c>
      <c r="AO446" s="14">
        <f ca="1"/>
      </c>
      <c r="AP446" s="14">
        <f ca="1"/>
      </c>
      <c r="AQ446" s="14">
        <f ca="1"/>
      </c>
      <c r="AR446" s="14">
        <f ca="1"/>
      </c>
      <c r="AV446" s="14">
        <f ca="1"/>
      </c>
      <c r="AW446" s="14">
        <f ca="1"/>
      </c>
      <c r="AX446" s="14">
        <f ca="1"/>
      </c>
      <c r="AY446" s="14">
        <f ca="1"/>
      </c>
      <c r="AZ446" s="14">
        <f ca="1"/>
      </c>
      <c r="BF446" s="7">
        <f ca="1"/>
      </c>
      <c r="BG446" s="14">
        <f ca="1"/>
      </c>
      <c r="BH446" s="14">
        <f ca="1"/>
      </c>
      <c r="BI446" s="14">
        <f ca="1"/>
      </c>
      <c r="BJ446" s="14">
        <f ca="1"/>
      </c>
      <c r="BK446" s="14">
        <f ca="1"/>
      </c>
    </row>
    <row r="447" spans="28:63" x14ac:dyDescent="0.55000000000000004">
      <c r="AB447">
        <f ca="1"/>
      </c>
      <c r="AC447">
        <f ca="1"/>
      </c>
      <c r="AD447">
        <f ca="1"/>
      </c>
      <c r="AE447">
        <f ca="1"/>
      </c>
      <c r="AF447">
        <f ca="1"/>
      </c>
      <c r="AG447">
        <f ca="1"/>
      </c>
      <c r="AH447">
        <f ca="1"/>
      </c>
      <c r="AL447" s="7">
        <f ca="1"/>
      </c>
      <c r="AM447" s="14">
        <f ca="1"/>
      </c>
      <c r="AN447" s="14">
        <f ca="1"/>
      </c>
      <c r="AO447" s="14">
        <f ca="1"/>
      </c>
      <c r="AP447" s="14">
        <f ca="1"/>
      </c>
      <c r="AQ447" s="14">
        <f ca="1"/>
      </c>
      <c r="AR447" s="14">
        <f ca="1"/>
      </c>
      <c r="AV447" s="14">
        <f ca="1"/>
      </c>
      <c r="AW447" s="14">
        <f ca="1"/>
      </c>
      <c r="AX447" s="14">
        <f ca="1"/>
      </c>
      <c r="AY447" s="14">
        <f ca="1"/>
      </c>
      <c r="AZ447" s="14">
        <f ca="1"/>
      </c>
      <c r="BF447" s="7">
        <f ca="1"/>
      </c>
      <c r="BG447" s="14">
        <f ca="1"/>
      </c>
      <c r="BH447" s="14">
        <f ca="1"/>
      </c>
      <c r="BI447" s="14">
        <f ca="1"/>
      </c>
      <c r="BJ447" s="14">
        <f ca="1"/>
      </c>
      <c r="BK447" s="14">
        <f ca="1"/>
      </c>
    </row>
    <row r="448" spans="28:63" x14ac:dyDescent="0.55000000000000004">
      <c r="AB448">
        <f ca="1"/>
      </c>
      <c r="AC448">
        <f ca="1"/>
      </c>
      <c r="AD448">
        <f ca="1"/>
      </c>
      <c r="AE448">
        <f ca="1"/>
      </c>
      <c r="AF448">
        <f ca="1"/>
      </c>
      <c r="AG448">
        <f ca="1"/>
      </c>
      <c r="AH448">
        <f ca="1"/>
      </c>
      <c r="AL448" s="7">
        <f ca="1"/>
      </c>
      <c r="AM448" s="14">
        <f ca="1"/>
      </c>
      <c r="AN448" s="14">
        <f ca="1"/>
      </c>
      <c r="AO448" s="14">
        <f ca="1"/>
      </c>
      <c r="AP448" s="14">
        <f ca="1"/>
      </c>
      <c r="AQ448" s="14">
        <f ca="1"/>
      </c>
      <c r="AR448" s="14">
        <f ca="1"/>
      </c>
      <c r="AV448" s="14">
        <f ca="1"/>
      </c>
      <c r="AW448" s="14">
        <f ca="1"/>
      </c>
      <c r="AX448" s="14">
        <f ca="1"/>
      </c>
      <c r="AY448" s="14">
        <f ca="1"/>
      </c>
      <c r="AZ448" s="14">
        <f ca="1"/>
      </c>
      <c r="BF448" s="7">
        <f ca="1"/>
      </c>
      <c r="BG448" s="14">
        <f ca="1"/>
      </c>
      <c r="BH448" s="14">
        <f ca="1"/>
      </c>
      <c r="BI448" s="14">
        <f ca="1"/>
      </c>
      <c r="BJ448" s="14">
        <f ca="1"/>
      </c>
      <c r="BK448" s="14">
        <f ca="1"/>
      </c>
    </row>
    <row r="449" spans="28:63" x14ac:dyDescent="0.55000000000000004">
      <c r="AB449">
        <f ca="1"/>
      </c>
      <c r="AC449">
        <f ca="1"/>
      </c>
      <c r="AD449">
        <f ca="1"/>
      </c>
      <c r="AE449">
        <f ca="1"/>
      </c>
      <c r="AF449">
        <f ca="1"/>
      </c>
      <c r="AG449">
        <f ca="1"/>
      </c>
      <c r="AH449">
        <f ca="1"/>
      </c>
      <c r="AL449" s="7">
        <f ca="1"/>
      </c>
      <c r="AM449" s="14">
        <f ca="1"/>
      </c>
      <c r="AN449" s="14">
        <f ca="1"/>
      </c>
      <c r="AO449" s="14">
        <f ca="1"/>
      </c>
      <c r="AP449" s="14">
        <f ca="1"/>
      </c>
      <c r="AQ449" s="14">
        <f ca="1"/>
      </c>
      <c r="AR449" s="14">
        <f ca="1"/>
      </c>
      <c r="AV449" s="14">
        <f ca="1"/>
      </c>
      <c r="AW449" s="14">
        <f ca="1"/>
      </c>
      <c r="AX449" s="14">
        <f ca="1"/>
      </c>
      <c r="AY449" s="14">
        <f ca="1"/>
      </c>
      <c r="AZ449" s="14">
        <f ca="1"/>
      </c>
      <c r="BF449" s="7">
        <f ca="1"/>
      </c>
      <c r="BG449" s="14">
        <f ca="1"/>
      </c>
      <c r="BH449" s="14">
        <f ca="1"/>
      </c>
      <c r="BI449" s="14">
        <f ca="1"/>
      </c>
      <c r="BJ449" s="14">
        <f ca="1"/>
      </c>
      <c r="BK449" s="14">
        <f ca="1"/>
      </c>
    </row>
    <row r="450" spans="28:63" x14ac:dyDescent="0.55000000000000004">
      <c r="AB450">
        <f ca="1"/>
      </c>
      <c r="AC450">
        <f ca="1"/>
      </c>
      <c r="AD450">
        <f ca="1"/>
      </c>
      <c r="AE450">
        <f ca="1"/>
      </c>
      <c r="AF450">
        <f ca="1"/>
      </c>
      <c r="AG450">
        <f ca="1"/>
      </c>
      <c r="AH450">
        <f ca="1"/>
      </c>
      <c r="AL450" s="7">
        <f ca="1"/>
      </c>
      <c r="AM450" s="14">
        <f ca="1"/>
      </c>
      <c r="AN450" s="14">
        <f ca="1"/>
      </c>
      <c r="AO450" s="14">
        <f ca="1"/>
      </c>
      <c r="AP450" s="14">
        <f ca="1"/>
      </c>
      <c r="AQ450" s="14">
        <f ca="1"/>
      </c>
      <c r="AR450" s="14">
        <f ca="1"/>
      </c>
      <c r="AV450" s="14">
        <f ca="1"/>
      </c>
      <c r="AW450" s="14">
        <f ca="1"/>
      </c>
      <c r="AX450" s="14">
        <f ca="1"/>
      </c>
      <c r="AY450" s="14">
        <f ca="1"/>
      </c>
      <c r="AZ450" s="14">
        <f ca="1"/>
      </c>
      <c r="BF450" s="7">
        <f ca="1"/>
      </c>
      <c r="BG450" s="14">
        <f ca="1"/>
      </c>
      <c r="BH450" s="14">
        <f ca="1"/>
      </c>
      <c r="BI450" s="14">
        <f ca="1"/>
      </c>
      <c r="BJ450" s="14">
        <f ca="1"/>
      </c>
      <c r="BK450" s="14">
        <f ca="1"/>
      </c>
    </row>
    <row r="451" spans="28:63" x14ac:dyDescent="0.55000000000000004">
      <c r="AB451">
        <f ca="1"/>
      </c>
      <c r="AC451">
        <f ca="1"/>
      </c>
      <c r="AD451">
        <f ca="1"/>
      </c>
      <c r="AE451">
        <f ca="1"/>
      </c>
      <c r="AF451">
        <f ca="1"/>
      </c>
      <c r="AG451">
        <f ca="1"/>
      </c>
      <c r="AH451">
        <f ca="1"/>
      </c>
      <c r="AL451" s="7">
        <f ca="1"/>
      </c>
      <c r="AM451" s="14">
        <f ca="1"/>
      </c>
      <c r="AN451" s="14">
        <f ca="1"/>
      </c>
      <c r="AO451" s="14">
        <f ca="1"/>
      </c>
      <c r="AP451" s="14">
        <f ca="1"/>
      </c>
      <c r="AQ451" s="14">
        <f ca="1"/>
      </c>
      <c r="AR451" s="14">
        <f ca="1"/>
      </c>
      <c r="AV451" s="14">
        <f ca="1"/>
      </c>
      <c r="AW451" s="14">
        <f ca="1"/>
      </c>
      <c r="AX451" s="14">
        <f ca="1"/>
      </c>
      <c r="AY451" s="14">
        <f ca="1"/>
      </c>
      <c r="AZ451" s="14">
        <f ca="1"/>
      </c>
      <c r="BF451" s="7">
        <f ca="1"/>
      </c>
      <c r="BG451" s="14">
        <f ca="1"/>
      </c>
      <c r="BH451" s="14">
        <f ca="1"/>
      </c>
      <c r="BI451" s="14">
        <f ca="1"/>
      </c>
      <c r="BJ451" s="14">
        <f ca="1"/>
      </c>
      <c r="BK451" s="14">
        <f ca="1"/>
      </c>
    </row>
    <row r="452" spans="28:63" x14ac:dyDescent="0.55000000000000004">
      <c r="AB452">
        <f ca="1"/>
      </c>
      <c r="AC452">
        <f ca="1"/>
      </c>
      <c r="AD452">
        <f ca="1"/>
      </c>
      <c r="AE452">
        <f ca="1"/>
      </c>
      <c r="AF452">
        <f ca="1"/>
      </c>
      <c r="AG452">
        <f ca="1"/>
      </c>
      <c r="AH452">
        <f ca="1"/>
      </c>
      <c r="AL452" s="7">
        <f ca="1"/>
      </c>
      <c r="AM452" s="14">
        <f ca="1"/>
      </c>
      <c r="AN452" s="14">
        <f ca="1"/>
      </c>
      <c r="AO452" s="14">
        <f ca="1"/>
      </c>
      <c r="AP452" s="14">
        <f ca="1"/>
      </c>
      <c r="AQ452" s="14">
        <f ca="1"/>
      </c>
      <c r="AR452" s="14">
        <f ca="1"/>
      </c>
      <c r="AV452" s="14">
        <f ca="1"/>
      </c>
      <c r="AW452" s="14">
        <f ca="1"/>
      </c>
      <c r="AX452" s="14">
        <f ca="1"/>
      </c>
      <c r="AY452" s="14">
        <f ca="1"/>
      </c>
      <c r="AZ452" s="14">
        <f ca="1"/>
      </c>
      <c r="BF452" s="7">
        <f ca="1"/>
      </c>
      <c r="BG452" s="14">
        <f ca="1"/>
      </c>
      <c r="BH452" s="14">
        <f ca="1"/>
      </c>
      <c r="BI452" s="14">
        <f ca="1"/>
      </c>
      <c r="BJ452" s="14">
        <f ca="1"/>
      </c>
      <c r="BK452" s="14">
        <f ca="1"/>
      </c>
    </row>
    <row r="453" spans="28:63" x14ac:dyDescent="0.55000000000000004">
      <c r="AB453">
        <f ca="1"/>
      </c>
      <c r="AC453">
        <f ca="1"/>
      </c>
      <c r="AD453">
        <f ca="1"/>
      </c>
      <c r="AE453">
        <f ca="1"/>
      </c>
      <c r="AF453">
        <f ca="1"/>
      </c>
      <c r="AG453">
        <f ca="1"/>
      </c>
      <c r="AH453">
        <f ca="1"/>
      </c>
      <c r="AL453" s="7">
        <f ca="1"/>
      </c>
      <c r="AM453" s="14">
        <f ca="1"/>
      </c>
      <c r="AN453" s="14">
        <f ca="1"/>
      </c>
      <c r="AO453" s="14">
        <f ca="1"/>
      </c>
      <c r="AP453" s="14">
        <f ca="1"/>
      </c>
      <c r="AQ453" s="14">
        <f ca="1"/>
      </c>
      <c r="AR453" s="14">
        <f ca="1"/>
      </c>
      <c r="AV453" s="14">
        <f ca="1"/>
      </c>
      <c r="AW453" s="14">
        <f ca="1"/>
      </c>
      <c r="AX453" s="14">
        <f ca="1"/>
      </c>
      <c r="AY453" s="14">
        <f ca="1"/>
      </c>
      <c r="AZ453" s="14">
        <f ca="1"/>
      </c>
      <c r="BF453" s="7">
        <f ca="1"/>
      </c>
      <c r="BG453" s="14">
        <f ca="1"/>
      </c>
      <c r="BH453" s="14">
        <f ca="1"/>
      </c>
      <c r="BI453" s="14">
        <f ca="1"/>
      </c>
      <c r="BJ453" s="14">
        <f ca="1"/>
      </c>
      <c r="BK453" s="14">
        <f ca="1"/>
      </c>
    </row>
    <row r="454" spans="28:63" x14ac:dyDescent="0.55000000000000004">
      <c r="AB454">
        <f ca="1"/>
      </c>
      <c r="AC454">
        <f ca="1"/>
      </c>
      <c r="AD454">
        <f ca="1"/>
      </c>
      <c r="AE454">
        <f ca="1"/>
      </c>
      <c r="AF454">
        <f ca="1"/>
      </c>
      <c r="AG454">
        <f ca="1"/>
      </c>
      <c r="AH454">
        <f ca="1"/>
      </c>
      <c r="AL454" s="7">
        <f ca="1"/>
      </c>
      <c r="AM454" s="14">
        <f ca="1"/>
      </c>
      <c r="AN454" s="14">
        <f ca="1"/>
      </c>
      <c r="AO454" s="14">
        <f ca="1"/>
      </c>
      <c r="AP454" s="14">
        <f ca="1"/>
      </c>
      <c r="AQ454" s="14">
        <f ca="1"/>
      </c>
      <c r="AR454" s="14">
        <f ca="1"/>
      </c>
      <c r="AV454" s="14">
        <f ca="1"/>
      </c>
      <c r="AW454" s="14">
        <f ca="1"/>
      </c>
      <c r="AX454" s="14">
        <f ca="1"/>
      </c>
      <c r="AY454" s="14">
        <f ca="1"/>
      </c>
      <c r="AZ454" s="14">
        <f ca="1"/>
      </c>
      <c r="BF454" s="7">
        <f ca="1"/>
      </c>
      <c r="BG454" s="14">
        <f ca="1"/>
      </c>
      <c r="BH454" s="14">
        <f ca="1"/>
      </c>
      <c r="BI454" s="14">
        <f ca="1"/>
      </c>
      <c r="BJ454" s="14">
        <f ca="1"/>
      </c>
      <c r="BK454" s="14">
        <f ca="1"/>
      </c>
    </row>
    <row r="455" spans="28:63" x14ac:dyDescent="0.55000000000000004">
      <c r="AB455">
        <f ca="1"/>
      </c>
      <c r="AC455">
        <f ca="1"/>
      </c>
      <c r="AD455">
        <f ca="1"/>
      </c>
      <c r="AE455">
        <f ca="1"/>
      </c>
      <c r="AF455">
        <f ca="1"/>
      </c>
      <c r="AG455">
        <f ca="1"/>
      </c>
      <c r="AH455">
        <f ca="1"/>
      </c>
      <c r="AL455" s="7">
        <f ca="1"/>
      </c>
      <c r="AM455" s="14">
        <f ca="1"/>
      </c>
      <c r="AN455" s="14">
        <f ca="1"/>
      </c>
      <c r="AO455" s="14">
        <f ca="1"/>
      </c>
      <c r="AP455" s="14">
        <f ca="1"/>
      </c>
      <c r="AQ455" s="14">
        <f ca="1"/>
      </c>
      <c r="AR455" s="14">
        <f ca="1"/>
      </c>
      <c r="AV455" s="14">
        <f ca="1"/>
      </c>
      <c r="AW455" s="14">
        <f ca="1"/>
      </c>
      <c r="AX455" s="14">
        <f ca="1"/>
      </c>
      <c r="AY455" s="14">
        <f ca="1"/>
      </c>
      <c r="AZ455" s="14">
        <f ca="1"/>
      </c>
      <c r="BF455" s="7">
        <f ca="1"/>
      </c>
      <c r="BG455" s="14">
        <f ca="1"/>
      </c>
      <c r="BH455" s="14">
        <f ca="1"/>
      </c>
      <c r="BI455" s="14">
        <f ca="1"/>
      </c>
      <c r="BJ455" s="14">
        <f ca="1"/>
      </c>
      <c r="BK455" s="14">
        <f ca="1"/>
      </c>
    </row>
    <row r="456" spans="28:63" x14ac:dyDescent="0.55000000000000004">
      <c r="AB456">
        <f ca="1"/>
      </c>
      <c r="AC456">
        <f ca="1"/>
      </c>
      <c r="AD456">
        <f ca="1"/>
      </c>
      <c r="AE456">
        <f ca="1"/>
      </c>
      <c r="AF456">
        <f ca="1"/>
      </c>
      <c r="AG456">
        <f ca="1"/>
      </c>
      <c r="AH456">
        <f ca="1"/>
      </c>
      <c r="AL456" s="7">
        <f ca="1"/>
      </c>
      <c r="AM456" s="14">
        <f ca="1"/>
      </c>
      <c r="AN456" s="14">
        <f ca="1"/>
      </c>
      <c r="AO456" s="14">
        <f ca="1"/>
      </c>
      <c r="AP456" s="14">
        <f ca="1"/>
      </c>
      <c r="AQ456" s="14">
        <f ca="1"/>
      </c>
      <c r="AR456" s="14">
        <f ca="1"/>
      </c>
      <c r="AV456" s="14">
        <f ca="1"/>
      </c>
      <c r="AW456" s="14">
        <f ca="1"/>
      </c>
      <c r="AX456" s="14">
        <f ca="1"/>
      </c>
      <c r="AY456" s="14">
        <f ca="1"/>
      </c>
      <c r="AZ456" s="14">
        <f ca="1"/>
      </c>
      <c r="BF456" s="7">
        <f ca="1"/>
      </c>
      <c r="BG456" s="14">
        <f ca="1"/>
      </c>
      <c r="BH456" s="14">
        <f ca="1"/>
      </c>
      <c r="BI456" s="14">
        <f ca="1"/>
      </c>
      <c r="BJ456" s="14">
        <f ca="1"/>
      </c>
      <c r="BK456" s="14">
        <f ca="1"/>
      </c>
    </row>
    <row r="457" spans="28:63" x14ac:dyDescent="0.55000000000000004">
      <c r="AB457">
        <f ca="1"/>
      </c>
      <c r="AC457">
        <f ca="1"/>
      </c>
      <c r="AD457">
        <f ca="1"/>
      </c>
      <c r="AE457">
        <f ca="1"/>
      </c>
      <c r="AF457">
        <f ca="1"/>
      </c>
      <c r="AG457">
        <f ca="1"/>
      </c>
      <c r="AH457">
        <f ca="1"/>
      </c>
      <c r="AL457" s="7">
        <f ca="1"/>
      </c>
      <c r="AM457" s="14">
        <f ca="1"/>
      </c>
      <c r="AN457" s="14">
        <f ca="1"/>
      </c>
      <c r="AO457" s="14">
        <f ca="1"/>
      </c>
      <c r="AP457" s="14">
        <f ca="1"/>
      </c>
      <c r="AQ457" s="14">
        <f ca="1"/>
      </c>
      <c r="AR457" s="14">
        <f ca="1"/>
      </c>
      <c r="AV457" s="14">
        <f ca="1"/>
      </c>
      <c r="AW457" s="14">
        <f ca="1"/>
      </c>
      <c r="AX457" s="14">
        <f ca="1"/>
      </c>
      <c r="AY457" s="14">
        <f ca="1"/>
      </c>
      <c r="AZ457" s="14">
        <f ca="1"/>
      </c>
      <c r="BF457" s="7">
        <f ca="1"/>
      </c>
      <c r="BG457" s="14">
        <f ca="1"/>
      </c>
      <c r="BH457" s="14">
        <f ca="1"/>
      </c>
      <c r="BI457" s="14">
        <f ca="1"/>
      </c>
      <c r="BJ457" s="14">
        <f ca="1"/>
      </c>
      <c r="BK457" s="14">
        <f ca="1"/>
      </c>
    </row>
    <row r="458" spans="28:63" x14ac:dyDescent="0.55000000000000004">
      <c r="AB458">
        <f ca="1"/>
      </c>
      <c r="AC458">
        <f ca="1"/>
      </c>
      <c r="AD458">
        <f ca="1"/>
      </c>
      <c r="AE458">
        <f ca="1"/>
      </c>
      <c r="AF458">
        <f ca="1"/>
      </c>
      <c r="AG458">
        <f ca="1"/>
      </c>
      <c r="AH458">
        <f ca="1"/>
      </c>
      <c r="AL458" s="7">
        <f ca="1"/>
      </c>
      <c r="AM458" s="14">
        <f ca="1"/>
      </c>
      <c r="AN458" s="14">
        <f ca="1"/>
      </c>
      <c r="AO458" s="14">
        <f ca="1"/>
      </c>
      <c r="AP458" s="14">
        <f ca="1"/>
      </c>
      <c r="AQ458" s="14">
        <f ca="1"/>
      </c>
      <c r="AR458" s="14">
        <f ca="1"/>
      </c>
      <c r="AV458" s="14">
        <f ca="1"/>
      </c>
      <c r="AW458" s="14">
        <f ca="1"/>
      </c>
      <c r="AX458" s="14">
        <f ca="1"/>
      </c>
      <c r="AY458" s="14">
        <f ca="1"/>
      </c>
      <c r="AZ458" s="14">
        <f ca="1"/>
      </c>
      <c r="BF458" s="7">
        <f ca="1"/>
      </c>
      <c r="BG458" s="14">
        <f ca="1"/>
      </c>
      <c r="BH458" s="14">
        <f ca="1"/>
      </c>
      <c r="BI458" s="14">
        <f ca="1"/>
      </c>
      <c r="BJ458" s="14">
        <f ca="1"/>
      </c>
      <c r="BK458" s="14">
        <f ca="1"/>
      </c>
    </row>
    <row r="459" spans="28:63" x14ac:dyDescent="0.55000000000000004">
      <c r="AB459">
        <f ca="1"/>
      </c>
      <c r="AC459">
        <f ca="1"/>
      </c>
      <c r="AD459">
        <f ca="1"/>
      </c>
      <c r="AE459">
        <f ca="1"/>
      </c>
      <c r="AF459">
        <f ca="1"/>
      </c>
      <c r="AG459">
        <f ca="1"/>
      </c>
      <c r="AH459">
        <f ca="1"/>
      </c>
      <c r="AL459" s="7">
        <f ca="1"/>
      </c>
      <c r="AM459" s="14">
        <f ca="1"/>
      </c>
      <c r="AN459" s="14">
        <f ca="1"/>
      </c>
      <c r="AO459" s="14">
        <f ca="1"/>
      </c>
      <c r="AP459" s="14">
        <f ca="1"/>
      </c>
      <c r="AQ459" s="14">
        <f ca="1"/>
      </c>
      <c r="AR459" s="14">
        <f ca="1"/>
      </c>
      <c r="AV459" s="14">
        <f ca="1"/>
      </c>
      <c r="AW459" s="14">
        <f ca="1"/>
      </c>
      <c r="AX459" s="14">
        <f ca="1"/>
      </c>
      <c r="AY459" s="14">
        <f ca="1"/>
      </c>
      <c r="AZ459" s="14">
        <f ca="1"/>
      </c>
      <c r="BF459" s="7">
        <f ca="1"/>
      </c>
      <c r="BG459" s="14">
        <f ca="1"/>
      </c>
      <c r="BH459" s="14">
        <f ca="1"/>
      </c>
      <c r="BI459" s="14">
        <f ca="1"/>
      </c>
      <c r="BJ459" s="14">
        <f ca="1"/>
      </c>
      <c r="BK459" s="14">
        <f ca="1"/>
      </c>
    </row>
    <row r="460" spans="28:63" x14ac:dyDescent="0.55000000000000004">
      <c r="AB460">
        <f ca="1"/>
      </c>
      <c r="AC460">
        <f ca="1"/>
      </c>
      <c r="AD460">
        <f ca="1"/>
      </c>
      <c r="AE460">
        <f ca="1"/>
      </c>
      <c r="AF460">
        <f ca="1"/>
      </c>
      <c r="AG460">
        <f ca="1"/>
      </c>
      <c r="AH460">
        <f ca="1"/>
      </c>
      <c r="AL460" s="7">
        <f ca="1"/>
      </c>
      <c r="AM460" s="14">
        <f ca="1"/>
      </c>
      <c r="AN460" s="14">
        <f ca="1"/>
      </c>
      <c r="AO460" s="14">
        <f ca="1"/>
      </c>
      <c r="AP460" s="14">
        <f ca="1"/>
      </c>
      <c r="AQ460" s="14">
        <f ca="1"/>
      </c>
      <c r="AR460" s="14">
        <f ca="1"/>
      </c>
      <c r="AV460" s="14">
        <f ca="1"/>
      </c>
      <c r="AW460" s="14">
        <f ca="1"/>
      </c>
      <c r="AX460" s="14">
        <f ca="1"/>
      </c>
      <c r="AY460" s="14">
        <f ca="1"/>
      </c>
      <c r="AZ460" s="14">
        <f ca="1"/>
      </c>
      <c r="BF460" s="7">
        <f ca="1"/>
      </c>
      <c r="BG460" s="14">
        <f ca="1"/>
      </c>
      <c r="BH460" s="14">
        <f ca="1"/>
      </c>
      <c r="BI460" s="14">
        <f ca="1"/>
      </c>
      <c r="BJ460" s="14">
        <f ca="1"/>
      </c>
      <c r="BK460" s="14">
        <f ca="1"/>
      </c>
    </row>
    <row r="461" spans="28:63" x14ac:dyDescent="0.55000000000000004">
      <c r="AB461">
        <f ca="1"/>
      </c>
      <c r="AC461">
        <f ca="1"/>
      </c>
      <c r="AD461">
        <f ca="1"/>
      </c>
      <c r="AE461">
        <f ca="1"/>
      </c>
      <c r="AF461">
        <f ca="1"/>
      </c>
      <c r="AG461">
        <f ca="1"/>
      </c>
      <c r="AH461">
        <f ca="1"/>
      </c>
      <c r="AL461" s="7">
        <f ca="1"/>
      </c>
      <c r="AM461" s="14">
        <f ca="1"/>
      </c>
      <c r="AN461" s="14">
        <f ca="1"/>
      </c>
      <c r="AO461" s="14">
        <f ca="1"/>
      </c>
      <c r="AP461" s="14">
        <f ca="1"/>
      </c>
      <c r="AQ461" s="14">
        <f ca="1"/>
      </c>
      <c r="AR461" s="14">
        <f ca="1"/>
      </c>
      <c r="AV461" s="14">
        <f ca="1"/>
      </c>
      <c r="AW461" s="14">
        <f ca="1"/>
      </c>
      <c r="AX461" s="14">
        <f ca="1"/>
      </c>
      <c r="AY461" s="14">
        <f ca="1"/>
      </c>
      <c r="AZ461" s="14">
        <f ca="1"/>
      </c>
      <c r="BF461" s="7">
        <f ca="1"/>
      </c>
      <c r="BG461" s="14">
        <f ca="1"/>
      </c>
      <c r="BH461" s="14">
        <f ca="1"/>
      </c>
      <c r="BI461" s="14">
        <f ca="1"/>
      </c>
      <c r="BJ461" s="14">
        <f ca="1"/>
      </c>
      <c r="BK461" s="14">
        <f ca="1"/>
      </c>
    </row>
    <row r="462" spans="28:63" x14ac:dyDescent="0.55000000000000004">
      <c r="AB462">
        <f ca="1"/>
      </c>
      <c r="AC462">
        <f ca="1"/>
      </c>
      <c r="AD462">
        <f ca="1"/>
      </c>
      <c r="AE462">
        <f ca="1"/>
      </c>
      <c r="AF462">
        <f ca="1"/>
      </c>
      <c r="AG462">
        <f ca="1"/>
      </c>
      <c r="AH462">
        <f ca="1"/>
      </c>
      <c r="AL462" s="7">
        <f ca="1"/>
      </c>
      <c r="AM462" s="14">
        <f ca="1"/>
      </c>
      <c r="AN462" s="14">
        <f ca="1"/>
      </c>
      <c r="AO462" s="14">
        <f ca="1"/>
      </c>
      <c r="AP462" s="14">
        <f ca="1"/>
      </c>
      <c r="AQ462" s="14">
        <f ca="1"/>
      </c>
      <c r="AR462" s="14">
        <f ca="1"/>
      </c>
      <c r="AV462" s="14">
        <f ca="1"/>
      </c>
      <c r="AW462" s="14">
        <f ca="1"/>
      </c>
      <c r="AX462" s="14">
        <f ca="1"/>
      </c>
      <c r="AY462" s="14">
        <f ca="1"/>
      </c>
      <c r="AZ462" s="14">
        <f ca="1"/>
      </c>
      <c r="BF462" s="7">
        <f ca="1"/>
      </c>
      <c r="BG462" s="14">
        <f ca="1"/>
      </c>
      <c r="BH462" s="14">
        <f ca="1"/>
      </c>
      <c r="BI462" s="14">
        <f ca="1"/>
      </c>
      <c r="BJ462" s="14">
        <f ca="1"/>
      </c>
      <c r="BK462" s="14">
        <f ca="1"/>
      </c>
    </row>
    <row r="463" spans="28:63" x14ac:dyDescent="0.55000000000000004">
      <c r="AB463">
        <f ca="1"/>
      </c>
      <c r="AC463">
        <f ca="1"/>
      </c>
      <c r="AD463">
        <f ca="1"/>
      </c>
      <c r="AE463">
        <f ca="1"/>
      </c>
      <c r="AF463">
        <f ca="1"/>
      </c>
      <c r="AG463">
        <f ca="1"/>
      </c>
      <c r="AH463">
        <f ca="1"/>
      </c>
      <c r="AL463" s="7">
        <f ca="1"/>
      </c>
      <c r="AM463" s="14">
        <f ca="1"/>
      </c>
      <c r="AN463" s="14">
        <f ca="1"/>
      </c>
      <c r="AO463" s="14">
        <f ca="1"/>
      </c>
      <c r="AP463" s="14">
        <f ca="1"/>
      </c>
      <c r="AQ463" s="14">
        <f ca="1"/>
      </c>
      <c r="AR463" s="14">
        <f ca="1"/>
      </c>
      <c r="AV463" s="14">
        <f ca="1"/>
      </c>
      <c r="AW463" s="14">
        <f ca="1"/>
      </c>
      <c r="AX463" s="14">
        <f ca="1"/>
      </c>
      <c r="AY463" s="14">
        <f ca="1"/>
      </c>
      <c r="AZ463" s="14">
        <f ca="1"/>
      </c>
      <c r="BF463" s="7">
        <f ca="1"/>
      </c>
      <c r="BG463" s="14">
        <f ca="1"/>
      </c>
      <c r="BH463" s="14">
        <f ca="1"/>
      </c>
      <c r="BI463" s="14">
        <f ca="1"/>
      </c>
      <c r="BJ463" s="14">
        <f ca="1"/>
      </c>
      <c r="BK463" s="14">
        <f ca="1"/>
      </c>
    </row>
    <row r="464" spans="28:63" x14ac:dyDescent="0.55000000000000004">
      <c r="AB464">
        <f ca="1"/>
      </c>
      <c r="AC464">
        <f ca="1"/>
      </c>
      <c r="AD464">
        <f ca="1"/>
      </c>
      <c r="AE464">
        <f ca="1"/>
      </c>
      <c r="AF464">
        <f ca="1"/>
      </c>
      <c r="AG464">
        <f ca="1"/>
      </c>
      <c r="AH464">
        <f ca="1"/>
      </c>
      <c r="AL464" s="7">
        <f ca="1"/>
      </c>
      <c r="AM464" s="14">
        <f ca="1"/>
      </c>
      <c r="AN464" s="14">
        <f ca="1"/>
      </c>
      <c r="AO464" s="14">
        <f ca="1"/>
      </c>
      <c r="AP464" s="14">
        <f ca="1"/>
      </c>
      <c r="AQ464" s="14">
        <f ca="1"/>
      </c>
      <c r="AR464" s="14">
        <f ca="1"/>
      </c>
      <c r="AV464" s="14">
        <f ca="1"/>
      </c>
      <c r="AW464" s="14">
        <f ca="1"/>
      </c>
      <c r="AX464" s="14">
        <f ca="1"/>
      </c>
      <c r="AY464" s="14">
        <f ca="1"/>
      </c>
      <c r="AZ464" s="14">
        <f ca="1"/>
      </c>
      <c r="BF464" s="7">
        <f ca="1"/>
      </c>
      <c r="BG464" s="14">
        <f ca="1"/>
      </c>
      <c r="BH464" s="14">
        <f ca="1"/>
      </c>
      <c r="BI464" s="14">
        <f ca="1"/>
      </c>
      <c r="BJ464" s="14">
        <f ca="1"/>
      </c>
      <c r="BK464" s="14">
        <f ca="1"/>
      </c>
    </row>
    <row r="465" spans="28:63" x14ac:dyDescent="0.55000000000000004">
      <c r="AB465">
        <f ca="1"/>
      </c>
      <c r="AC465">
        <f ca="1"/>
      </c>
      <c r="AD465">
        <f ca="1"/>
      </c>
      <c r="AE465">
        <f ca="1"/>
      </c>
      <c r="AF465">
        <f ca="1"/>
      </c>
      <c r="AG465">
        <f ca="1"/>
      </c>
      <c r="AH465">
        <f ca="1"/>
      </c>
      <c r="AL465" s="7">
        <f ca="1"/>
      </c>
      <c r="AM465" s="14">
        <f ca="1"/>
      </c>
      <c r="AN465" s="14">
        <f ca="1"/>
      </c>
      <c r="AO465" s="14">
        <f ca="1"/>
      </c>
      <c r="AP465" s="14">
        <f ca="1"/>
      </c>
      <c r="AQ465" s="14">
        <f ca="1"/>
      </c>
      <c r="AR465" s="14">
        <f ca="1"/>
      </c>
      <c r="AV465" s="14">
        <f ca="1"/>
      </c>
      <c r="AW465" s="14">
        <f ca="1"/>
      </c>
      <c r="AX465" s="14">
        <f ca="1"/>
      </c>
      <c r="AY465" s="14">
        <f ca="1"/>
      </c>
      <c r="AZ465" s="14">
        <f ca="1"/>
      </c>
      <c r="BF465" s="7">
        <f ca="1"/>
      </c>
      <c r="BG465" s="14">
        <f ca="1"/>
      </c>
      <c r="BH465" s="14">
        <f ca="1"/>
      </c>
      <c r="BI465" s="14">
        <f ca="1"/>
      </c>
      <c r="BJ465" s="14">
        <f ca="1"/>
      </c>
      <c r="BK465" s="14">
        <f ca="1"/>
      </c>
    </row>
    <row r="466" spans="28:63" x14ac:dyDescent="0.55000000000000004">
      <c r="AB466">
        <f ca="1"/>
      </c>
      <c r="AC466">
        <f ca="1"/>
      </c>
      <c r="AD466">
        <f ca="1"/>
      </c>
      <c r="AE466">
        <f ca="1"/>
      </c>
      <c r="AF466">
        <f ca="1"/>
      </c>
      <c r="AG466">
        <f ca="1"/>
      </c>
      <c r="AH466">
        <f ca="1"/>
      </c>
      <c r="AL466" s="7">
        <f ca="1"/>
      </c>
      <c r="AM466" s="14">
        <f ca="1"/>
      </c>
      <c r="AN466" s="14">
        <f ca="1"/>
      </c>
      <c r="AO466" s="14">
        <f ca="1"/>
      </c>
      <c r="AP466" s="14">
        <f ca="1"/>
      </c>
      <c r="AQ466" s="14">
        <f ca="1"/>
      </c>
      <c r="AR466" s="14">
        <f ca="1"/>
      </c>
      <c r="AV466" s="14">
        <f ca="1"/>
      </c>
      <c r="AW466" s="14">
        <f ca="1"/>
      </c>
      <c r="AX466" s="14">
        <f ca="1"/>
      </c>
      <c r="AY466" s="14">
        <f ca="1"/>
      </c>
      <c r="AZ466" s="14">
        <f ca="1"/>
      </c>
      <c r="BF466" s="7">
        <f ca="1"/>
      </c>
      <c r="BG466" s="14">
        <f ca="1"/>
      </c>
      <c r="BH466" s="14">
        <f ca="1"/>
      </c>
      <c r="BI466" s="14">
        <f ca="1"/>
      </c>
      <c r="BJ466" s="14">
        <f ca="1"/>
      </c>
      <c r="BK466" s="14">
        <f ca="1"/>
      </c>
    </row>
    <row r="467" spans="28:63" x14ac:dyDescent="0.55000000000000004">
      <c r="AB467">
        <f ca="1"/>
      </c>
      <c r="AC467">
        <f ca="1"/>
      </c>
      <c r="AD467">
        <f ca="1"/>
      </c>
      <c r="AE467">
        <f ca="1"/>
      </c>
      <c r="AF467">
        <f ca="1"/>
      </c>
      <c r="AG467">
        <f ca="1"/>
      </c>
      <c r="AH467">
        <f ca="1"/>
      </c>
      <c r="AL467" s="7">
        <f ca="1"/>
      </c>
      <c r="AM467" s="14">
        <f ca="1"/>
      </c>
      <c r="AN467" s="14">
        <f ca="1"/>
      </c>
      <c r="AO467" s="14">
        <f ca="1"/>
      </c>
      <c r="AP467" s="14">
        <f ca="1"/>
      </c>
      <c r="AQ467" s="14">
        <f ca="1"/>
      </c>
      <c r="AR467" s="14">
        <f ca="1"/>
      </c>
      <c r="AV467" s="14">
        <f ca="1"/>
      </c>
      <c r="AW467" s="14">
        <f ca="1"/>
      </c>
      <c r="AX467" s="14">
        <f ca="1"/>
      </c>
      <c r="AY467" s="14">
        <f ca="1"/>
      </c>
      <c r="AZ467" s="14">
        <f ca="1"/>
      </c>
      <c r="BF467" s="7">
        <f ca="1"/>
      </c>
      <c r="BG467" s="14">
        <f ca="1"/>
      </c>
      <c r="BH467" s="14">
        <f ca="1"/>
      </c>
      <c r="BI467" s="14">
        <f ca="1"/>
      </c>
      <c r="BJ467" s="14">
        <f ca="1"/>
      </c>
      <c r="BK467" s="14">
        <f ca="1"/>
      </c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sheetPr codeName="Sheet2"/>
  <dimension ref="A1:X47"/>
  <sheetViews>
    <sheetView workbookViewId="0"/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58</v>
      </c>
      <c r="B1" s="33" t="s">
        <v>53</v>
      </c>
      <c r="C1" s="32" t="s">
        <v>59</v>
      </c>
      <c r="D1" s="34" cm="1">
        <f t="array" aca="1" ref="D1" ca="1">LiveInfo("swap",_xlfn.ANCHORARRAY($K$3))</f>
      </c>
      <c r="E1" s="35" t="s">
        <v>111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112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116</v>
      </c>
      <c r="L2" s="36"/>
      <c r="M2" s="36"/>
      <c r="N2" s="36"/>
      <c r="O2" s="36"/>
      <c r="P2" s="36" t="s">
        <v>117</v>
      </c>
      <c r="Q2" s="36"/>
      <c r="R2" s="36"/>
      <c r="S2" s="36"/>
      <c r="T2" s="36"/>
      <c r="V2" t="s">
        <v>118</v>
      </c>
    </row>
    <row r="3" spans="1:23" ht="20" customHeight="1" x14ac:dyDescent="0.55000000000000004">
      <c r="A3" s="36" t="s">
        <v>113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119</v>
      </c>
      <c r="W3" t="s">
        <v>120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114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119</v>
      </c>
      <c r="B7" s="41" t="s">
        <v>128</v>
      </c>
      <c r="C7" s="41" t="s">
        <v>129</v>
      </c>
      <c r="D7" s="41" t="s">
        <v>130</v>
      </c>
      <c r="E7" s="41" t="s">
        <v>131</v>
      </c>
      <c r="F7" s="41" t="s">
        <v>132</v>
      </c>
      <c r="G7" s="41" t="s">
        <v>133</v>
      </c>
      <c r="H7" s="41" t="s">
        <v>134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109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t="shared" ref="D8:D17" ca="1" si="0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t="shared" ref="G8:G17" ca="1" si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t="shared" ca="1" si="0"/>
      </c>
      <c r="E9" s="39" cm="1">
        <f t="array" aca="1" ref="E9" ca="1">_xlfn.XLOOKUP($A9,INDEX(_xlfn.ANCHORARRAY($P$3),,2),INDEX(_xlfn.ANCHORARRAY($P$3),,3),"")</f>
      </c>
      <c r="F9" s="39"/>
      <c r="G9" s="42">
        <f t="shared" ca="1" si="1"/>
      </c>
      <c r="H9" s="42">
        <f t="shared" ref="H9:H17" ca="1" si="2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t="shared" ca="1" si="0"/>
      </c>
      <c r="E10" s="39" cm="1">
        <f t="array" aca="1" ref="E10" ca="1">_xlfn.XLOOKUP($A10,INDEX(_xlfn.ANCHORARRAY($P$3),,2),INDEX(_xlfn.ANCHORARRAY($P$3),,3),"")</f>
      </c>
      <c r="F10" s="39"/>
      <c r="G10" s="42">
        <f t="shared" ca="1" si="1"/>
      </c>
      <c r="H10" s="42">
        <f t="shared" ca="1" si="2"/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t="shared" ca="1" si="0"/>
      </c>
      <c r="E11" s="39" cm="1">
        <f t="array" aca="1" ref="E11" ca="1">_xlfn.XLOOKUP($A11,INDEX(_xlfn.ANCHORARRAY($P$3),,2),INDEX(_xlfn.ANCHORARRAY($P$3),,3),"")</f>
      </c>
      <c r="F11" s="39"/>
      <c r="G11" s="42">
        <f t="shared" ca="1" si="1"/>
      </c>
      <c r="H11" s="42">
        <f t="shared" ca="1" si="2"/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t="shared" ca="1" si="0"/>
      </c>
      <c r="E12" s="39" cm="1">
        <f t="array" aca="1" ref="E12" ca="1">_xlfn.XLOOKUP($A12,INDEX(_xlfn.ANCHORARRAY($P$3),,2),INDEX(_xlfn.ANCHORARRAY($P$3),,3),"")</f>
      </c>
      <c r="F12" s="39"/>
      <c r="G12" s="42">
        <f t="shared" ca="1" si="1"/>
      </c>
      <c r="H12" s="42">
        <f t="shared" ca="1" si="2"/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t="shared" ca="1" si="0"/>
      </c>
      <c r="E13" s="39" cm="1">
        <f t="array" aca="1" ref="E13" ca="1">_xlfn.XLOOKUP($A13,INDEX(_xlfn.ANCHORARRAY($P$3),,2),INDEX(_xlfn.ANCHORARRAY($P$3),,3),"")</f>
      </c>
      <c r="F13" s="39"/>
      <c r="G13" s="42">
        <f t="shared" ca="1" si="1"/>
      </c>
      <c r="H13" s="42">
        <f t="shared" ca="1" si="2"/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t="shared" ca="1" si="0"/>
      </c>
      <c r="E14" s="39" cm="1">
        <f t="array" aca="1" ref="E14" ca="1">_xlfn.XLOOKUP($A14,INDEX(_xlfn.ANCHORARRAY($P$3),,2),INDEX(_xlfn.ANCHORARRAY($P$3),,3),"")</f>
      </c>
      <c r="F14" s="39"/>
      <c r="G14" s="42">
        <f t="shared" ca="1" si="1"/>
      </c>
      <c r="H14" s="42">
        <f t="shared" ca="1" si="2"/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t="shared" ca="1" si="0"/>
      </c>
      <c r="E15" s="39" cm="1">
        <f t="array" aca="1" ref="E15" ca="1">_xlfn.XLOOKUP($A15,INDEX(_xlfn.ANCHORARRAY($P$3),,2),INDEX(_xlfn.ANCHORARRAY($P$3),,3),"")</f>
      </c>
      <c r="F15" s="39"/>
      <c r="G15" s="42">
        <f t="shared" ca="1" si="1"/>
      </c>
      <c r="H15" s="42">
        <f t="shared" ca="1" si="2"/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t="shared" ca="1" si="0"/>
      </c>
      <c r="E16" s="39" cm="1">
        <f t="array" aca="1" ref="E16" ca="1">_xlfn.XLOOKUP($A16,INDEX(_xlfn.ANCHORARRAY($P$3),,2),INDEX(_xlfn.ANCHORARRAY($P$3),,3),"")</f>
      </c>
      <c r="F16" s="39"/>
      <c r="G16" s="42">
        <f t="shared" ca="1" si="1"/>
      </c>
      <c r="H16" s="42">
        <f t="shared" ca="1" si="2"/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110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t="shared" ca="1" si="0"/>
      </c>
      <c r="E17" s="39" cm="1">
        <f t="array" aca="1" ref="E17" ca="1">_xlfn.XLOOKUP($A17,INDEX(_xlfn.ANCHORARRAY($P$3),,2),INDEX(_xlfn.ANCHORARRAY($P$3),,3),"")</f>
      </c>
      <c r="F17" s="39"/>
      <c r="G17" s="42">
        <f t="shared" ca="1" si="1"/>
      </c>
      <c r="H17" s="42">
        <f t="shared" ca="1" si="2"/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41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115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135</v>
      </c>
      <c r="B21" s="41" t="s">
        <v>136</v>
      </c>
      <c r="C21" s="41" t="s">
        <v>137</v>
      </c>
      <c r="D21" s="41" t="s">
        <v>138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t="shared" ref="D22:D34" ca="1" si="3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t="shared" ca="1" si="3"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t="shared" ca="1" si="3"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t="shared" ca="1" si="3"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t="shared" ca="1" si="3"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t="shared" ca="1" si="3"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t="shared" ca="1" si="3"/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t="shared" ca="1" si="3"/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t="shared" ca="1" si="3"/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t="shared" ca="1" si="3"/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t="shared" ca="1" si="3"/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t="shared" ca="1" si="3"/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41</v>
      </c>
      <c r="B34" s="39" cm="1">
        <f t="array" aca="1" ref="B34" ca="1">_xlfn.XLOOKUP($A34,INDEX(_xlfn.ANCHORARRAY($P$3),,2),INDEX(_xlfn.ANCHORARRAY($P$3),,3),"")</f>
      </c>
      <c r="C34" s="39"/>
      <c r="D34" s="42">
        <f t="shared" ca="1" si="3"/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121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122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109</v>
      </c>
      <c r="W38" s="43">
        <v>0</v>
      </c>
    </row>
    <row r="39" spans="1:23" ht="20" customHeight="1" x14ac:dyDescent="0.55000000000000004">
      <c r="A39" s="36" t="s">
        <v>123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124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125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126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127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110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16</vt:i4>
      </vt:variant>
    </vt:vector>
  </HeadingPairs>
  <TitlesOfParts>
    <vt:vector size="21" baseType="lpstr">
      <vt:lpstr>PCA</vt:lpstr>
      <vt:lpstr>PCAGrid</vt:lpstr>
      <vt:lpstr>VolPCA</vt:lpstr>
      <vt:lpstr>VolHV</vt:lpstr>
      <vt:lpstr>BOJ</vt:lpstr>
      <vt:lpstr>PCA_BaseDate</vt:lpstr>
      <vt:lpstr>PCA_k</vt:lpstr>
      <vt:lpstr>PCA_Mode</vt:lpstr>
      <vt:lpstr>PCA_SigmaDays</vt:lpstr>
      <vt:lpstr>PCA_Standardize</vt:lpstr>
      <vt:lpstr>PCA_TargetDate</vt:lpstr>
      <vt:lpstr>PCA_window</vt:lpstr>
      <vt:lpstr>PCG_SigmaDays</vt:lpstr>
      <vt:lpstr>VHV_Days</vt:lpstr>
      <vt:lpstr>VHV_From</vt:lpstr>
      <vt:lpstr>VOL_BaseDate</vt:lpstr>
      <vt:lpstr>VOL_k</vt:lpstr>
      <vt:lpstr>VOL_Mode</vt:lpstr>
      <vt:lpstr>VOL_Standardize</vt:lpstr>
      <vt:lpstr>VOL_TargetDate</vt:lpstr>
      <vt:lpstr>VOL_window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2026-10-25T03:05:54Z</dcterms:modified>
</cp:coreProperties>
</file>