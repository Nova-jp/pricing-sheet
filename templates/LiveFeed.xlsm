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E032558D-87CF-4314-8388-4F2D513CF80A}" xr6:coauthVersionLast="47" xr6:coauthVersionMax="47" xr10:uidLastSave="{00000000-0000-0000-0000-000000000000}"/>
  <bookViews>
    <workbookView xWindow="-110" yWindow="-110" windowWidth="19420" windowHeight="11500" xr2:uid="{F109E07F-C2B9-41F3-853A-1EF4B605D85F}"/>
  </bookViews>
  <sheets>
    <sheet name="RealTime" sheetId="2" r:id="rId1"/>
    <sheet name="RealTimeVol" sheetId="11" r:id="rId2"/>
  </sheets>
  <functionGroups builtInGroupCount="19">
    <functionGroup name="xlwings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</definedNames>
  <calcPr fullCalcOnLoad="1" calcId="191029" calcCompleted="0"/>
  <extLst>
    <ext xmlns:x14="http://schemas.microsoft.com/office/spreadsheetml/2009/9/main" uri="{8193D73E-4604-4355-AFF4-8A2333D13BE4}">
      <x14:definedNames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ublish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1" l="1" a="1"/>
  <c r="I2" i="11"/>
  <c r="H2" i="2" a="1"/>
  <c r="H2" i="2"/>
  <c r="F45" i="2"/>
  <c r="E45" i="2"/>
  <c r="D45" i="2"/>
  <c r="F44" i="2"/>
  <c r="E44" i="2"/>
  <c r="D44" i="2"/>
  <c r="F43" i="2"/>
  <c r="E43" i="2"/>
  <c r="D43" i="2"/>
  <c r="F42" i="2"/>
  <c r="E42" i="2"/>
  <c r="D42" i="2"/>
  <c r="F41" i="2"/>
  <c r="E41" i="2"/>
  <c r="D41" i="2"/>
  <c r="F40" i="2"/>
  <c r="E40" i="2"/>
  <c r="D40" i="2"/>
  <c r="F39" i="2"/>
  <c r="E39" i="2"/>
  <c r="D39" i="2"/>
  <c r="F38" i="2"/>
  <c r="E38" i="2"/>
  <c r="D38" i="2"/>
  <c r="F37" i="2"/>
  <c r="E37" i="2"/>
  <c r="D37" i="2"/>
  <c r="F36" i="2"/>
  <c r="E36" i="2"/>
  <c r="D36" i="2"/>
  <c r="D35" i="2" a="1"/>
  <c r="D35" i="2"/>
  <c r="D34" i="2" a="1"/>
  <c r="D34" i="2"/>
  <c r="D33" i="2" a="1"/>
  <c r="D33" i="2"/>
  <c r="D32" i="2" a="1"/>
  <c r="D32" i="2"/>
  <c r="D31" i="2" a="1"/>
  <c r="D31" i="2"/>
  <c r="D30" i="2" a="1"/>
  <c r="D30" i="2"/>
  <c r="D29" i="2" a="1"/>
  <c r="D29" i="2"/>
  <c r="D28" i="2" a="1"/>
  <c r="D28" i="2"/>
  <c r="D27" i="2" a="1"/>
  <c r="D27" i="2"/>
  <c r="D26" i="2" a="1"/>
  <c r="D26" i="2"/>
  <c r="D25" i="2" a="1"/>
  <c r="D25" i="2"/>
  <c r="D24" i="2" a="1"/>
  <c r="D24" i="2"/>
  <c r="D23" i="2" a="1"/>
  <c r="D23" i="2"/>
  <c r="D22" i="2" a="1"/>
  <c r="D22" i="2"/>
  <c r="D21" i="2" a="1"/>
  <c r="D21" i="2"/>
  <c r="D20" i="2" a="1"/>
  <c r="D20" i="2"/>
  <c r="D19" i="2" a="1"/>
  <c r="D19" i="2"/>
  <c r="D18" i="2" a="1"/>
  <c r="D18" i="2"/>
  <c r="D17" i="2" a="1"/>
  <c r="D17" i="2"/>
  <c r="D16" i="2" a="1"/>
  <c r="D16" i="2"/>
  <c r="D15" i="2" a="1"/>
  <c r="D15" i="2"/>
  <c r="D14" i="2" a="1"/>
  <c r="D14" i="2"/>
  <c r="D13" i="2" a="1"/>
  <c r="D13" i="2"/>
  <c r="D12" i="2" a="1"/>
  <c r="D12" i="2"/>
  <c r="D11" i="2" a="1"/>
  <c r="D11" i="2"/>
  <c r="D10" i="2" a="1"/>
  <c r="D10" i="2"/>
  <c r="D9" i="2" a="1"/>
  <c r="D9" i="2"/>
  <c r="D8" i="2" a="1"/>
  <c r="D8" i="2"/>
  <c r="D7" i="2" a="1"/>
  <c r="D7" i="2"/>
  <c r="D6" i="2" a="1"/>
  <c r="D6" i="2"/>
  <c r="D5" i="2" a="1"/>
  <c r="D5" i="2"/>
  <c r="D4" i="2" a="1"/>
  <c r="D4" i="2"/>
  <c r="D3" i="2" a="1"/>
  <c r="D3" i="2"/>
  <c r="D2" i="2"/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D2" i="11" a="1"/>
  <c r="D2" i="11"/>
  <c r="C2" i="11" a="1"/>
  <c r="C2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<sst xmlns="http://schemas.openxmlformats.org/spreadsheetml/2006/main" count="444" uniqueCount="60">
  <si>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</si>
  <si>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</si>
  <si>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</si>
  <si>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</si>
  <si>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</si>
  <si>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</si>
  <si>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</si>
  <si>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</si>
  <si>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</si>
  <si>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</si>
  <si>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</si>
  <si>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</si>
  <si>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</si>
  <si>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</si>
  <si>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</si>
  <si>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</si>
  <si>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</si>
  <si>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</si>
  <si>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</si>
  <si>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</si>
  <si>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</si>
  <si>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</si>
  <si>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</si>
  <si>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</si>
  <si>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</si>
  <si>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</si>
  <si>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</si>
  <si>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</si>
  <si>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</si>
  <si>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</si>
  <si>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</si>
  <si>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</si>
  <si>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</si>
  <si>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</si>
  <si>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</si>
  <si>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</si>
  <si>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</si>
  <si>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</si>
  <si>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</si>
  <si>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</si>
  <si>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</si>
  <si>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</si>
  <si>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</si>
  <si>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</si>
  <si>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満期</t>
  </si>
  <si>
    <t>原資産</t>
  </si>
  <si>
    <t>銘柄</t>
  </si>
  <si>
    <t>RIC</t>
  </si>
  <si>
    <t>1Y</t>
  </si>
  <si>
    <t>2Y</t>
  </si>
  <si>
    <t>3Y</t>
  </si>
  <si>
    <t>LSEG計算のJPY TONAスワップションATMノーマルvol(bp/年)。フィールドMID_IV_NOR(CF_LAST等はログノーマルなので使わない)</t>
  </si>
  <si>
    <t>満期・原資産の軸を変えるときはA・B列を編集(VolPCA設定の軸と同じ表記)</t>
  </si>
  <si>
    <t>Start</t>
  </si>
  <si>
    <t>End</t>
  </si>
  <si>
    <t>RD</t>
  </si>
  <si>
    <t>M9</t>
  </si>
  <si>
    <t>公開</t>
  </si>
  <si>
    <t>このブックは別のExcel(自動計算)で開く。C2:F45をdata/live.dbに書き出し、PricingSheet・SwapAnalysisのLiveQuotes("swap",取得キー)が読む。行を足すときは範囲も広げる</t>
  </si>
  <si>
    <t>C2:E401(銘柄/RIC/値)をdata/live.dbに書き出し、SwapAnalysisのLiveQuotes("vol",取得キー)が読む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</si>
</sst>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4" formatCode="yyyy/mm/dd"/>
  </numFmts>
  <fonts count="4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7">
    <xf numFmtId="0" fontId="0" fillId="0" borderId="0" xfId="0">
      <alignment vertical="center"/>
    </xf>
    <xf numFmtId="0" fontId="1" fillId="0" borderId="0" xfId="1"/>
    <xf numFmtId="0" fontId="3" fillId="2" borderId="0" xfId="0" applyFont="1" applyFill="1">
      <alignment vertical="center"/>
    </xf>
    <xf numFmtId="2" fontId="0" fillId="0" borderId="0" xfId="0" applyNumberFormat="1">
      <alignment vertical="center"/>
    </xf>
    <xf numFmtId="2" fontId="1" fillId="0" borderId="0" xfId="1" applyNumberFormat="1"/>
    <xf numFmtId="0" fontId="0" fillId="0" borderId="0" xfId="0" applyNumberFormat="1">
      <alignment vertical="center"/>
    </xf>
    <xf numFmtId="184" fontId="0" fillId="0" borderId="0" xfId="0" applyNumberFormat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06F5C-21A7-4955-8232-1DB4D05ECF6F}">
  <sheetPr codeName="Sheet1"/>
  <dimension ref="A1:H60"/>
  <sheetViews>
    <sheetView tabSelected="1" workbookViewId="0">
      <selection activeCell="F16" sqref="F16"/>
    </sheetView>
  </sheetViews>
  <sheetFormatPr defaultRowHeight="20" x14ac:dyDescent="0.6"/>
  <cols>
    <col min="1" max="4" width="8.6640625" style="1"/>
    <col min="5" max="6" width="11.25" style="1" customWidth="1"/>
    <col min="7" max="7" width="8.6640625" style="1"/>
    <col min="8" max="8" width="30.58203125" style="1" customWidth="1"/>
    <col min="9" max="16384" width="8.6640625" style="1"/>
  </cols>
  <sheetData>
    <row r="1" spans="1:8" x14ac:dyDescent="0.6">
      <c r="A1" s="5"/>
      <c r="B1"/>
      <c r="C1" s="5" t="s">
        <v>0</v>
      </c>
      <c r="D1" s="5" t="s">
        <v>1</v>
      </c>
      <c r="E1" s="5" t="s">
        <v>53</v>
      </c>
      <c r="F1" s="5" t="s">
        <v>54</v>
      </c>
      <c r="G1"/>
      <c r="H1" t="s">
        <v>57</v>
      </c>
    </row>
    <row r="2" spans="1:8" x14ac:dyDescent="0.6">
      <c r="A2" s="5"/>
      <c r="B2"/>
      <c r="C2" s="5" t="s">
        <v>2</v>
      </c>
      <c r="D2" s="5">
        <f ca="1">(_xll.RtGet("IDN","JP1DONI=TRDT","BID")+_xll.RtGet("IDN","JP1DONI=TRDT","ASK"))/2</f>
      </c>
      <c r="E2" s="6"/>
      <c r="F2" s="6"/>
      <c r="G2"/>
      <c r="H2" cm="1">
        <f t="array" aca="1" ref="H2" ca="1">PublishLive("swap",$C$2:$F$45)</f>
      </c>
    </row>
    <row r="3" spans="1:8" x14ac:dyDescent="0.6">
      <c r="A3" s="5"/>
      <c r="B3"/>
      <c r="C3" s="5" t="s">
        <v>3</v>
      </c>
      <c r="D3" s="5" cm="1">
        <f t="array" aca="1" ref="D3" ca="1">(_xll.RtGet("IDN","JP"&amp;C3&amp;"ONI=TRDT","BID")+_xll.RtGet("IDN","JP"&amp;C3&amp;"ONI=TRDT","ASK"))/2</f>
      </c>
      <c r="E3" s="6"/>
      <c r="F3" s="6"/>
      <c r="G3"/>
      <c r="H3" t="s">
        <v>58</v>
      </c>
    </row>
    <row r="4" spans="1:8" x14ac:dyDescent="0.6">
      <c r="A4" s="5"/>
      <c r="B4"/>
      <c r="C4" s="5" t="s">
        <v>4</v>
      </c>
      <c r="D4" s="5" cm="1">
        <f t="array" aca="1" ref="D4" ca="1">(_xll.RtGet("IDN","JP"&amp;C4&amp;"ONI=TRDT","BID")+_xll.RtGet("IDN","JP"&amp;C4&amp;"ONI=TRDT","ASK"))/2</f>
      </c>
      <c r="E4" s="6"/>
      <c r="F4" s="6"/>
      <c r="G4"/>
      <c r="H4"/>
    </row>
    <row r="5" spans="1:8" x14ac:dyDescent="0.6">
      <c r="A5" s="5"/>
      <c r="B5"/>
      <c r="C5" s="5" t="s">
        <v>5</v>
      </c>
      <c r="D5" s="5" cm="1">
        <f t="array" aca="1" ref="D5" ca="1">(_xll.RtGet("IDN","JP"&amp;C5&amp;"ONI=TRDT","BID")+_xll.RtGet("IDN","JP"&amp;C5&amp;"ONI=TRDT","ASK"))/2</f>
      </c>
      <c r="E5" s="6"/>
      <c r="F5" s="6"/>
      <c r="G5"/>
      <c r="H5"/>
    </row>
    <row r="6" spans="1:8" x14ac:dyDescent="0.6">
      <c r="A6" s="5"/>
      <c r="B6"/>
      <c r="C6" s="5" t="s">
        <v>6</v>
      </c>
      <c r="D6" s="5" cm="1">
        <f t="array" aca="1" ref="D6" ca="1">(_xll.RtGet("IDN","JP"&amp;C6&amp;"ONI=TRDT","BID")+_xll.RtGet("IDN","JP"&amp;C6&amp;"ONI=TRDT","ASK"))/2</f>
      </c>
      <c r="E6" s="6"/>
      <c r="F6" s="6"/>
      <c r="G6"/>
      <c r="H6"/>
    </row>
    <row r="7" spans="1:8" x14ac:dyDescent="0.6">
      <c r="A7" s="5"/>
      <c r="B7"/>
      <c r="C7" s="5" t="s">
        <v>7</v>
      </c>
      <c r="D7" s="5" cm="1">
        <f t="array" aca="1" ref="D7" ca="1">(_xll.RtGet("IDN","JP"&amp;C7&amp;"ONI=TRDT","BID")+_xll.RtGet("IDN","JP"&amp;C7&amp;"ONI=TRDT","ASK"))/2</f>
      </c>
      <c r="E7" s="6"/>
      <c r="F7" s="6"/>
      <c r="G7"/>
      <c r="H7"/>
    </row>
    <row r="8" spans="1:8" x14ac:dyDescent="0.6">
      <c r="A8" s="5"/>
      <c r="B8"/>
      <c r="C8" s="5" t="s">
        <v>8</v>
      </c>
      <c r="D8" s="5" cm="1">
        <f t="array" aca="1" ref="D8" ca="1">(_xll.RtGet("IDN","JP"&amp;C8&amp;"ONI=TRDT","BID")+_xll.RtGet("IDN","JP"&amp;C8&amp;"ONI=TRDT","ASK"))/2</f>
      </c>
      <c r="E8" s="6"/>
      <c r="F8" s="6"/>
      <c r="G8"/>
      <c r="H8"/>
    </row>
    <row r="9" spans="1:8" x14ac:dyDescent="0.6">
      <c r="A9" s="5"/>
      <c r="B9"/>
      <c r="C9" s="5" t="s">
        <v>9</v>
      </c>
      <c r="D9" s="5" cm="1">
        <f t="array" aca="1" ref="D9" ca="1">(_xll.RtGet("IDN","JP"&amp;C9&amp;"ONI=TRDT","BID")+_xll.RtGet("IDN","JP"&amp;C9&amp;"ONI=TRDT","ASK"))/2</f>
      </c>
      <c r="E9" s="6"/>
      <c r="F9" s="6"/>
      <c r="G9"/>
      <c r="H9"/>
    </row>
    <row r="10" spans="1:8" x14ac:dyDescent="0.6">
      <c r="A10" s="5"/>
      <c r="B10"/>
      <c r="C10" s="5" t="s">
        <v>10</v>
      </c>
      <c r="D10" s="5" cm="1">
        <f t="array" aca="1" ref="D10" ca="1">(_xll.RtGet("IDN","JP"&amp;C10&amp;"ONI=TRDT","BID")+_xll.RtGet("IDN","JP"&amp;C10&amp;"ONI=TRDT","ASK"))/2</f>
      </c>
      <c r="E10" s="6"/>
      <c r="F10" s="6"/>
      <c r="G10"/>
      <c r="H10"/>
    </row>
    <row r="11" spans="1:8" x14ac:dyDescent="0.6">
      <c r="A11" s="5"/>
      <c r="B11"/>
      <c r="C11" s="5" t="s">
        <v>11</v>
      </c>
      <c r="D11" s="5" cm="1">
        <f t="array" aca="1" ref="D11" ca="1">(_xll.RtGet("IDN","JP"&amp;C11&amp;"ONI=TRDT","BID")+_xll.RtGet("IDN","JP"&amp;C11&amp;"ONI=TRDT","ASK"))/2</f>
      </c>
      <c r="E11" s="6"/>
      <c r="F11" s="6"/>
      <c r="G11"/>
      <c r="H11"/>
    </row>
    <row r="12" spans="1:8" x14ac:dyDescent="0.6">
      <c r="A12" s="5"/>
      <c r="B12"/>
      <c r="C12" s="5" t="s">
        <v>12</v>
      </c>
      <c r="D12" s="5" cm="1">
        <f t="array" aca="1" ref="D12" ca="1">(_xll.RtGet("IDN","JP"&amp;C12&amp;"ONI=TRDT","BID")+_xll.RtGet("IDN","JP"&amp;C12&amp;"ONI=TRDT","ASK"))/2</f>
      </c>
      <c r="E12" s="6"/>
      <c r="F12" s="6"/>
      <c r="G12"/>
      <c r="H12"/>
    </row>
    <row r="13" spans="1:8" x14ac:dyDescent="0.6">
      <c r="A13" s="5"/>
      <c r="B13"/>
      <c r="C13" s="5" t="s">
        <v>13</v>
      </c>
      <c r="D13" s="5" cm="1">
        <f t="array" aca="1" ref="D13" ca="1">(_xll.RtGet("IDN","JP"&amp;C13&amp;"ONI=TRDT","BID")+_xll.RtGet("IDN","JP"&amp;C13&amp;"ONI=TRDT","ASK"))/2</f>
      </c>
      <c r="E13" s="6"/>
      <c r="F13" s="6"/>
      <c r="G13"/>
      <c r="H13"/>
    </row>
    <row r="14" spans="1:8" x14ac:dyDescent="0.6">
      <c r="A14" s="5"/>
      <c r="B14"/>
      <c r="C14" s="5" t="s">
        <v>14</v>
      </c>
      <c r="D14" s="5" cm="1">
        <f t="array" aca="1" ref="D14" ca="1">(_xll.RtGet("IDN","JP"&amp;C14&amp;"ONI=TRDT","BID")+_xll.RtGet("IDN","JP"&amp;C14&amp;"ONI=TRDT","ASK"))/2</f>
      </c>
      <c r="E14" s="6"/>
      <c r="F14" s="6"/>
      <c r="G14"/>
      <c r="H14"/>
    </row>
    <row r="15" spans="1:8" x14ac:dyDescent="0.6">
      <c r="A15" s="5"/>
      <c r="B15"/>
      <c r="C15" s="5" t="s">
        <v>43</v>
      </c>
      <c r="D15" s="5" cm="1">
        <f t="array" aca="1" ref="D15" ca="1">(_xll.RtGet("IDN","JP"&amp;C15&amp;"ONI=TRDT","BID")+_xll.RtGet("IDN","JP"&amp;C15&amp;"ONI=TRDT","ASK"))/2</f>
      </c>
      <c r="E15" s="6"/>
      <c r="F15" s="6"/>
      <c r="G15"/>
      <c r="H15"/>
    </row>
    <row r="16" spans="1:8" x14ac:dyDescent="0.6">
      <c r="A16" s="5"/>
      <c r="B16"/>
      <c r="C16" s="5" t="s">
        <v>15</v>
      </c>
      <c r="D16" s="5" cm="1">
        <f t="array" aca="1" ref="D16" ca="1">(_xll.RtGet("IDN","JP"&amp;C16&amp;"ONI=TRDT","BID")+_xll.RtGet("IDN","JP"&amp;C16&amp;"ONI=TRDT","ASK"))/2</f>
      </c>
      <c r="E16" s="6"/>
      <c r="F16" s="6"/>
      <c r="G16"/>
      <c r="H16"/>
    </row>
    <row r="17" spans="1:8" x14ac:dyDescent="0.6">
      <c r="A17" s="5"/>
      <c r="B17"/>
      <c r="C17" s="5" t="s">
        <v>16</v>
      </c>
      <c r="D17" s="5" cm="1">
        <f t="array" aca="1" ref="D17" ca="1">(_xll.RtGet("IDN","JP"&amp;C17&amp;"ONI=TRDT","BID")+_xll.RtGet("IDN","JP"&amp;C17&amp;"ONI=TRDT","ASK"))/2</f>
      </c>
      <c r="E17" s="6"/>
      <c r="F17" s="6"/>
      <c r="G17"/>
      <c r="H17"/>
    </row>
    <row r="18" spans="1:8" x14ac:dyDescent="0.6">
      <c r="A18" s="5"/>
      <c r="B18"/>
      <c r="C18" s="5" t="s">
        <v>17</v>
      </c>
      <c r="D18" s="5" cm="1">
        <f t="array" aca="1" ref="D18" ca="1">(_xll.RtGet("IDN","JP"&amp;C18&amp;"ONI=TRDT","BID")+_xll.RtGet("IDN","JP"&amp;C18&amp;"ONI=TRDT","ASK"))/2</f>
      </c>
      <c r="E18" s="6"/>
      <c r="F18" s="6"/>
      <c r="G18"/>
      <c r="H18"/>
    </row>
    <row r="19" spans="1:8" x14ac:dyDescent="0.6">
      <c r="A19" s="5"/>
      <c r="B19"/>
      <c r="C19" s="5" t="s">
        <v>18</v>
      </c>
      <c r="D19" s="5" cm="1">
        <f t="array" aca="1" ref="D19" ca="1">(_xll.RtGet("IDN","JP"&amp;C19&amp;"ONI=TRDT","BID")+_xll.RtGet("IDN","JP"&amp;C19&amp;"ONI=TRDT","ASK"))/2</f>
      </c>
      <c r="E19" s="6"/>
      <c r="F19" s="6"/>
      <c r="G19"/>
      <c r="H19"/>
    </row>
    <row r="20" spans="1:8" x14ac:dyDescent="0.6">
      <c r="A20" s="5"/>
      <c r="B20"/>
      <c r="C20" s="5" t="s">
        <v>19</v>
      </c>
      <c r="D20" s="5" cm="1">
        <f t="array" aca="1" ref="D20" ca="1">(_xll.RtGet("IDN","JP"&amp;C20&amp;"ONI=TRDT","BID")+_xll.RtGet("IDN","JP"&amp;C20&amp;"ONI=TRDT","ASK"))/2</f>
      </c>
      <c r="E20" s="6"/>
      <c r="F20" s="6"/>
      <c r="G20"/>
      <c r="H20"/>
    </row>
    <row r="21" spans="1:8" x14ac:dyDescent="0.6">
      <c r="A21" s="5"/>
      <c r="B21"/>
      <c r="C21" s="5" t="s">
        <v>20</v>
      </c>
      <c r="D21" s="5" cm="1">
        <f t="array" aca="1" ref="D21" ca="1">(_xll.RtGet("IDN","JP"&amp;C21&amp;"ONI=TRDT","BID")+_xll.RtGet("IDN","JP"&amp;C21&amp;"ONI=TRDT","ASK"))/2</f>
      </c>
      <c r="E21" s="6"/>
      <c r="F21" s="6"/>
      <c r="G21"/>
      <c r="H21"/>
    </row>
    <row r="22" spans="1:8" x14ac:dyDescent="0.6">
      <c r="A22" s="5"/>
      <c r="B22"/>
      <c r="C22" s="5" t="s">
        <v>21</v>
      </c>
      <c r="D22" s="5" cm="1">
        <f t="array" aca="1" ref="D22" ca="1">(_xll.RtGet("IDN","JP"&amp;C22&amp;"ONI=TRDT","BID")+_xll.RtGet("IDN","JP"&amp;C22&amp;"ONI=TRDT","ASK"))/2</f>
      </c>
      <c r="E22" s="6"/>
      <c r="F22" s="6"/>
      <c r="G22"/>
      <c r="H22"/>
    </row>
    <row r="23" spans="1:8" x14ac:dyDescent="0.6">
      <c r="A23" s="5"/>
      <c r="B23"/>
      <c r="C23" s="5" t="s">
        <v>22</v>
      </c>
      <c r="D23" s="5" cm="1">
        <f t="array" aca="1" ref="D23" ca="1">(_xll.RtGet("IDN","JP"&amp;C23&amp;"ONI=TRDT","BID")+_xll.RtGet("IDN","JP"&amp;C23&amp;"ONI=TRDT","ASK"))/2</f>
      </c>
      <c r="E23" s="6"/>
      <c r="F23" s="6"/>
      <c r="G23"/>
      <c r="H23"/>
    </row>
    <row r="24" spans="1:8" x14ac:dyDescent="0.6">
      <c r="A24" s="5"/>
      <c r="B24"/>
      <c r="C24" s="5" t="s">
        <v>23</v>
      </c>
      <c r="D24" s="5" cm="1">
        <f t="array" aca="1" ref="D24" ca="1">(_xll.RtGet("IDN","JP"&amp;C24&amp;"ONI=TRDT","BID")+_xll.RtGet("IDN","JP"&amp;C24&amp;"ONI=TRDT","ASK"))/2</f>
      </c>
      <c r="E24" s="6"/>
      <c r="F24" s="6"/>
      <c r="G24"/>
      <c r="H24"/>
    </row>
    <row r="25" spans="1:8" x14ac:dyDescent="0.6">
      <c r="A25" s="5"/>
      <c r="B25"/>
      <c r="C25" s="5" t="s">
        <v>24</v>
      </c>
      <c r="D25" s="5" cm="1">
        <f t="array" aca="1" ref="D25" ca="1">(_xll.RtGet("IDN","JP"&amp;C25&amp;"ONI=TRDT","BID")+_xll.RtGet("IDN","JP"&amp;C25&amp;"ONI=TRDT","ASK"))/2</f>
      </c>
      <c r="E25" s="6"/>
      <c r="F25" s="6"/>
      <c r="G25"/>
      <c r="H25"/>
    </row>
    <row r="26" spans="1:8" x14ac:dyDescent="0.6">
      <c r="A26" s="5"/>
      <c r="B26"/>
      <c r="C26" s="5" t="s">
        <v>25</v>
      </c>
      <c r="D26" s="5" cm="1">
        <f t="array" aca="1" ref="D26" ca="1">(_xll.RtGet("IDN","JP"&amp;C26&amp;"ONI=TRDT","BID")+_xll.RtGet("IDN","JP"&amp;C26&amp;"ONI=TRDT","ASK"))/2</f>
      </c>
      <c r="E26" s="6"/>
      <c r="F26" s="6"/>
      <c r="G26"/>
      <c r="H26"/>
    </row>
    <row r="27" spans="1:8" x14ac:dyDescent="0.6">
      <c r="A27" s="5"/>
      <c r="B27"/>
      <c r="C27" s="5" t="s">
        <v>26</v>
      </c>
      <c r="D27" s="5" cm="1">
        <f t="array" aca="1" ref="D27" ca="1">(_xll.RtGet("IDN","JP"&amp;C27&amp;"ONI=TRDT","BID")+_xll.RtGet("IDN","JP"&amp;C27&amp;"ONI=TRDT","ASK"))/2</f>
      </c>
      <c r="E27" s="6"/>
      <c r="F27" s="6"/>
      <c r="G27"/>
      <c r="H27"/>
    </row>
    <row r="28" spans="1:8" x14ac:dyDescent="0.6">
      <c r="A28" s="5"/>
      <c r="B28"/>
      <c r="C28" s="5" t="s">
        <v>27</v>
      </c>
      <c r="D28" s="5" cm="1">
        <f t="array" aca="1" ref="D28" ca="1">(_xll.RtGet("IDN","JP"&amp;C28&amp;"ONI=TRDT","BID")+_xll.RtGet("IDN","JP"&amp;C28&amp;"ONI=TRDT","ASK"))/2</f>
      </c>
      <c r="E28" s="6"/>
      <c r="F28" s="6"/>
      <c r="G28"/>
      <c r="H28"/>
    </row>
    <row r="29" spans="1:8" x14ac:dyDescent="0.6">
      <c r="A29" s="5"/>
      <c r="B29"/>
      <c r="C29" s="5" t="s">
        <v>28</v>
      </c>
      <c r="D29" s="5" cm="1">
        <f t="array" aca="1" ref="D29" ca="1">(_xll.RtGet("IDN","JP"&amp;C29&amp;"ONI=TRDT","BID")+_xll.RtGet("IDN","JP"&amp;C29&amp;"ONI=TRDT","ASK"))/2</f>
      </c>
      <c r="E29" s="6"/>
      <c r="F29" s="6"/>
      <c r="G29"/>
      <c r="H29"/>
    </row>
    <row r="30" spans="1:8" x14ac:dyDescent="0.6">
      <c r="A30" s="5"/>
      <c r="B30"/>
      <c r="C30" s="5" t="s">
        <v>29</v>
      </c>
      <c r="D30" s="5" cm="1">
        <f t="array" aca="1" ref="D30" ca="1">(_xll.RtGet("IDN","JP"&amp;C30&amp;"ONI=TRDT","BID")+_xll.RtGet("IDN","JP"&amp;C30&amp;"ONI=TRDT","ASK"))/2</f>
      </c>
      <c r="E30" s="6"/>
      <c r="F30" s="6"/>
      <c r="G30"/>
      <c r="H30"/>
    </row>
    <row r="31" spans="1:8" x14ac:dyDescent="0.6">
      <c r="A31" s="5"/>
      <c r="B31"/>
      <c r="C31" s="5" t="s">
        <v>30</v>
      </c>
      <c r="D31" s="5" cm="1">
        <f t="array" aca="1" ref="D31" ca="1">(_xll.RtGet("IDN","JP"&amp;C31&amp;"ONI=TRDT","BID")+_xll.RtGet("IDN","JP"&amp;C31&amp;"ONI=TRDT","ASK"))/2</f>
      </c>
      <c r="E31" s="6"/>
      <c r="F31" s="6"/>
      <c r="G31"/>
      <c r="H31"/>
    </row>
    <row r="32" spans="1:8" x14ac:dyDescent="0.6">
      <c r="A32" s="5"/>
      <c r="B32"/>
      <c r="C32" s="5" t="s">
        <v>31</v>
      </c>
      <c r="D32" s="5" cm="1">
        <f t="array" aca="1" ref="D32" ca="1">(_xll.RtGet("IDN","JP"&amp;C32&amp;"ONI=TRDT","BID")+_xll.RtGet("IDN","JP"&amp;C32&amp;"ONI=TRDT","ASK"))/2</f>
      </c>
      <c r="E32" s="6"/>
      <c r="F32" s="6"/>
      <c r="G32"/>
      <c r="H32"/>
    </row>
    <row r="33" spans="1:8" x14ac:dyDescent="0.6">
      <c r="A33" s="5"/>
      <c r="B33"/>
      <c r="C33" s="5" t="s">
        <v>32</v>
      </c>
      <c r="D33" s="5" cm="1">
        <f t="array" aca="1" ref="D33" ca="1">(_xll.RtGet("IDN","JP"&amp;C33&amp;"ONI=TRDT","BID")+_xll.RtGet("IDN","JP"&amp;C33&amp;"ONI=TRDT","ASK"))/2</f>
      </c>
      <c r="E33" s="6"/>
      <c r="F33" s="6"/>
      <c r="G33"/>
      <c r="H33"/>
    </row>
    <row r="34" spans="1:8" x14ac:dyDescent="0.6">
      <c r="A34" s="5"/>
      <c r="B34"/>
      <c r="C34" s="5" t="s">
        <v>33</v>
      </c>
      <c r="D34" s="5" cm="1">
        <f t="array" aca="1" ref="D34" ca="1">(_xll.RtGet("IDN","JP"&amp;C34&amp;"ONI=TRDT","BID")+_xll.RtGet("IDN","JP"&amp;C34&amp;"ONI=TRDT","ASK"))/2</f>
      </c>
      <c r="E34" s="6"/>
      <c r="F34" s="6"/>
      <c r="G34"/>
      <c r="H34"/>
    </row>
    <row r="35" spans="1:8" x14ac:dyDescent="0.6">
      <c r="A35" s="5"/>
      <c r="B35"/>
      <c r="C35" s="5" t="s">
        <v>34</v>
      </c>
      <c r="D35" s="5" cm="1">
        <f t="array" aca="1" ref="D35" ca="1">(_xll.RtGet("IDN","JP"&amp;C35&amp;"ONI=TRDT","BID")+_xll.RtGet("IDN","JP"&amp;C35&amp;"ONI=TRDT","ASK"))/2</f>
      </c>
      <c r="E35" s="6"/>
      <c r="F35" s="6"/>
      <c r="G35"/>
      <c r="H35"/>
    </row>
    <row r="36" spans="1:8" x14ac:dyDescent="0.6">
      <c r="A36" s="5" t="s">
        <v>55</v>
      </c>
      <c r="B36"/>
      <c r="C36" s="5" t="s">
        <v>55</v>
      </c>
      <c r="D36" s="5">
        <f ca="1">(_xll.TR("JPBOJ"&amp;A36&amp;"ONI=TRDT","BID")+_xll.TR("JPBOJ"&amp;A36&amp;"ONI=TRDT","ASK"))/2</f>
      </c>
      <c r="E36" s="6">
        <f ca="1">_xll.TR("JPBOJ"&amp;A36&amp;"ONI=TRDT","GV1_DATE")</f>
      </c>
      <c r="F36" s="6">
        <f ca="1">_xll.TR("JPBOJ"&amp;A36&amp;"ONI=TRDT","GV2_DATE")</f>
      </c>
      <c r="G36"/>
      <c r="H36"/>
    </row>
    <row r="37" spans="1:8" x14ac:dyDescent="0.6">
      <c r="A37" s="5">
        <v>1</v>
      </c>
      <c r="B37"/>
      <c r="C37" s="5" t="s">
        <v>35</v>
      </c>
      <c r="D37" s="5">
        <f ca="1">(_xll.TR("JPBOJ"&amp;A37&amp;"ONI=TRDT","BID")+_xll.TR("JPBOJ"&amp;A37&amp;"ONI=TRDT","ASK"))/2</f>
      </c>
      <c r="E37" s="6">
        <f ca="1">_xll.TR("JPBOJ"&amp;A37&amp;"ONI=TRDT","GV1_DATE")</f>
      </c>
      <c r="F37" s="6">
        <f ca="1">_xll.TR("JPBOJ"&amp;A37&amp;"ONI=TRDT","GV2_DATE")</f>
      </c>
      <c r="G37"/>
      <c r="H37"/>
    </row>
    <row r="38" spans="1:8" x14ac:dyDescent="0.6">
      <c r="A38" s="5">
        <v>2</v>
      </c>
      <c r="B38"/>
      <c r="C38" s="5" t="s">
        <v>36</v>
      </c>
      <c r="D38" s="5">
        <f ca="1">(_xll.TR("JPBOJ"&amp;A38&amp;"ONI=TRDT","BID")+_xll.TR("JPBOJ"&amp;A38&amp;"ONI=TRDT","ASK"))/2</f>
      </c>
      <c r="E38" s="6">
        <f ca="1">_xll.TR("JPBOJ"&amp;A38&amp;"ONI=TRDT","GV1_DATE")</f>
      </c>
      <c r="F38" s="6">
        <f ca="1">_xll.TR("JPBOJ"&amp;A38&amp;"ONI=TRDT","GV2_DATE")</f>
      </c>
      <c r="G38"/>
      <c r="H38"/>
    </row>
    <row r="39" spans="1:8" x14ac:dyDescent="0.6">
      <c r="A39" s="5">
        <v>3</v>
      </c>
      <c r="B39"/>
      <c r="C39" s="5" t="s">
        <v>37</v>
      </c>
      <c r="D39" s="5">
        <f ca="1">(_xll.TR("JPBOJ"&amp;A39&amp;"ONI=TRDT","BID")+_xll.TR("JPBOJ"&amp;A39&amp;"ONI=TRDT","ASK"))/2</f>
      </c>
      <c r="E39" s="6">
        <f ca="1">_xll.TR("JPBOJ"&amp;A39&amp;"ONI=TRDT","GV1_DATE")</f>
      </c>
      <c r="F39" s="6">
        <f ca="1">_xll.TR("JPBOJ"&amp;A39&amp;"ONI=TRDT","GV2_DATE")</f>
      </c>
      <c r="G39"/>
      <c r="H39"/>
    </row>
    <row r="40" spans="1:8" x14ac:dyDescent="0.6">
      <c r="A40" s="5">
        <v>4</v>
      </c>
      <c r="B40"/>
      <c r="C40" s="5" t="s">
        <v>38</v>
      </c>
      <c r="D40" s="5">
        <f ca="1">(_xll.TR("JPBOJ"&amp;A40&amp;"ONI=TRDT","BID")+_xll.TR("JPBOJ"&amp;A40&amp;"ONI=TRDT","ASK"))/2</f>
      </c>
      <c r="E40" s="6">
        <f ca="1">_xll.TR("JPBOJ"&amp;A40&amp;"ONI=TRDT","GV1_DATE")</f>
      </c>
      <c r="F40" s="6">
        <f ca="1">_xll.TR("JPBOJ"&amp;A40&amp;"ONI=TRDT","GV2_DATE")</f>
      </c>
      <c r="G40"/>
      <c r="H40"/>
    </row>
    <row r="41" spans="1:8" x14ac:dyDescent="0.6">
      <c r="A41" s="5">
        <v>5</v>
      </c>
      <c r="B41"/>
      <c r="C41" s="5" t="s">
        <v>39</v>
      </c>
      <c r="D41" s="5">
        <f ca="1">(_xll.TR("JPBOJ"&amp;A41&amp;"ONI=TRDT","BID")+_xll.TR("JPBOJ"&amp;A41&amp;"ONI=TRDT","ASK"))/2</f>
      </c>
      <c r="E41" s="6">
        <f ca="1">_xll.TR("JPBOJ"&amp;A41&amp;"ONI=TRDT","GV1_DATE")</f>
      </c>
      <c r="F41" s="6">
        <f ca="1">_xll.TR("JPBOJ"&amp;A41&amp;"ONI=TRDT","GV2_DATE")</f>
      </c>
      <c r="G41"/>
      <c r="H41"/>
    </row>
    <row r="42" spans="1:8" x14ac:dyDescent="0.6">
      <c r="A42" s="5">
        <v>6</v>
      </c>
      <c r="B42"/>
      <c r="C42" s="5" t="s">
        <v>40</v>
      </c>
      <c r="D42" s="5">
        <f ca="1">(_xll.TR("JPBOJ"&amp;A42&amp;"ONI=TRDT","BID")+_xll.TR("JPBOJ"&amp;A42&amp;"ONI=TRDT","ASK"))/2</f>
      </c>
      <c r="E42" s="6">
        <f ca="1">_xll.TR("JPBOJ"&amp;A42&amp;"ONI=TRDT","GV1_DATE")</f>
      </c>
      <c r="F42" s="6">
        <f ca="1">_xll.TR("JPBOJ"&amp;A42&amp;"ONI=TRDT","GV2_DATE")</f>
      </c>
      <c r="G42"/>
      <c r="H42"/>
    </row>
    <row r="43" spans="1:8" x14ac:dyDescent="0.6">
      <c r="A43" s="5">
        <v>7</v>
      </c>
      <c r="B43"/>
      <c r="C43" s="5" t="s">
        <v>41</v>
      </c>
      <c r="D43" s="5">
        <f ca="1">(_xll.TR("JPBOJ"&amp;A43&amp;"ONI=TRDT","BID")+_xll.TR("JPBOJ"&amp;A43&amp;"ONI=TRDT","ASK"))/2</f>
      </c>
      <c r="E43" s="6">
        <f ca="1">_xll.TR("JPBOJ"&amp;A43&amp;"ONI=TRDT","GV1_DATE")</f>
      </c>
      <c r="F43" s="6">
        <f ca="1">_xll.TR("JPBOJ"&amp;A43&amp;"ONI=TRDT","GV2_DATE")</f>
      </c>
      <c r="G43"/>
      <c r="H43"/>
    </row>
    <row r="44" spans="1:8" x14ac:dyDescent="0.6">
      <c r="A44" s="5">
        <v>8</v>
      </c>
      <c r="B44"/>
      <c r="C44" s="5" t="s">
        <v>42</v>
      </c>
      <c r="D44" s="5">
        <f ca="1">(_xll.TR("JPBOJ"&amp;A44&amp;"ONI=TRDT","BID")+_xll.TR("JPBOJ"&amp;A44&amp;"ONI=TRDT","ASK"))/2</f>
      </c>
      <c r="E44" s="6">
        <f ca="1">_xll.TR("JPBOJ"&amp;A44&amp;"ONI=TRDT","GV1_DATE")</f>
      </c>
      <c r="F44" s="6">
        <f ca="1">_xll.TR("JPBOJ"&amp;A44&amp;"ONI=TRDT","GV2_DATE")</f>
      </c>
      <c r="G44"/>
      <c r="H44"/>
    </row>
    <row r="45" spans="1:8" x14ac:dyDescent="0.6">
      <c r="A45" s="5">
        <v>9</v>
      </c>
      <c r="B45"/>
      <c r="C45" s="5" t="s">
        <v>56</v>
      </c>
      <c r="D45" s="5">
        <f ca="1">(_xll.TR("JPBOJ"&amp;A45&amp;"ONI=TRDT","BID")+_xll.TR("JPBOJ"&amp;A45&amp;"ONI=TRDT","ASK"))/2</f>
      </c>
      <c r="E45" s="6">
        <f ca="1">_xll.TR("JPBOJ"&amp;A45&amp;"ONI=TRDT","GV1_DATE")</f>
      </c>
      <c r="F45" s="6">
        <f ca="1">_xll.TR("JPBOJ"&amp;A45&amp;"ONI=TRDT","GV2_DATE")</f>
      </c>
      <c r="G45"/>
      <c r="H45"/>
    </row>
    <row r="46" spans="1:8" x14ac:dyDescent="0.6">
      <c r="A46"/>
      <c r="B46"/>
      <c r="C46"/>
      <c r="D46"/>
      <c r="E46"/>
      <c r="F46"/>
      <c r="G46"/>
      <c r="H46"/>
    </row>
    <row r="47" spans="1:8" x14ac:dyDescent="0.6">
      <c r="A47"/>
      <c r="B47"/>
      <c r="C47"/>
      <c r="D47"/>
      <c r="E47"/>
      <c r="F47"/>
      <c r="G47"/>
      <c r="H47"/>
    </row>
    <row r="48" spans="1:8" x14ac:dyDescent="0.6">
      <c r="A48"/>
      <c r="B48"/>
      <c r="C48"/>
      <c r="D48"/>
      <c r="E48"/>
      <c r="F48"/>
      <c r="G48"/>
      <c r="H48"/>
    </row>
    <row r="49" spans="1:8" x14ac:dyDescent="0.6">
      <c r="A49"/>
      <c r="B49"/>
      <c r="C49"/>
      <c r="D49"/>
      <c r="E49"/>
      <c r="F49"/>
      <c r="G49"/>
      <c r="H49"/>
    </row>
    <row r="50" spans="1:8" x14ac:dyDescent="0.6">
      <c r="A50"/>
      <c r="B50"/>
      <c r="C50"/>
      <c r="D50"/>
      <c r="E50"/>
      <c r="F50"/>
      <c r="G50"/>
      <c r="H50"/>
    </row>
    <row r="51" spans="1:8" x14ac:dyDescent="0.6">
      <c r="A51"/>
      <c r="B51"/>
      <c r="C51"/>
      <c r="D51"/>
      <c r="E51"/>
      <c r="F51"/>
      <c r="G51"/>
      <c r="H51"/>
    </row>
    <row r="52" spans="1:8" x14ac:dyDescent="0.6">
      <c r="A52"/>
      <c r="B52"/>
      <c r="C52"/>
      <c r="D52"/>
      <c r="E52"/>
      <c r="F52"/>
      <c r="G52"/>
      <c r="H52"/>
    </row>
    <row r="53" spans="1:8" x14ac:dyDescent="0.6">
      <c r="A53"/>
      <c r="B53"/>
      <c r="C53"/>
      <c r="D53"/>
      <c r="E53"/>
      <c r="F53"/>
      <c r="G53"/>
      <c r="H53"/>
    </row>
    <row r="54" spans="1:8" x14ac:dyDescent="0.6">
      <c r="A54"/>
      <c r="B54"/>
      <c r="C54"/>
      <c r="D54"/>
      <c r="E54"/>
      <c r="F54"/>
      <c r="G54"/>
      <c r="H54"/>
    </row>
    <row r="55" spans="1:8" x14ac:dyDescent="0.6">
      <c r="A55"/>
      <c r="B55"/>
      <c r="C55"/>
      <c r="D55"/>
      <c r="E55"/>
      <c r="F55"/>
      <c r="G55"/>
      <c r="H55"/>
    </row>
    <row r="56" spans="1:8" x14ac:dyDescent="0.6">
      <c r="A56"/>
      <c r="B56"/>
      <c r="C56"/>
      <c r="D56"/>
      <c r="E56"/>
      <c r="F56"/>
      <c r="G56"/>
      <c r="H56"/>
    </row>
    <row r="57" spans="1:8" x14ac:dyDescent="0.6">
      <c r="A57"/>
      <c r="B57"/>
      <c r="C57"/>
      <c r="D57"/>
      <c r="E57"/>
      <c r="F57"/>
      <c r="G57"/>
      <c r="H57"/>
    </row>
    <row r="58" spans="1:8" x14ac:dyDescent="0.6">
      <c r="A58"/>
      <c r="B58"/>
      <c r="C58"/>
      <c r="D58"/>
      <c r="E58"/>
      <c r="F58"/>
      <c r="G58"/>
      <c r="H58"/>
    </row>
    <row r="59" spans="1:8" x14ac:dyDescent="0.6">
      <c r="A59"/>
      <c r="B59"/>
      <c r="C59"/>
      <c r="D59"/>
      <c r="E59"/>
      <c r="F59"/>
      <c r="G59"/>
      <c r="H59"/>
    </row>
    <row r="60" spans="1:8" x14ac:dyDescent="0.6">
      <c r="A60"/>
      <c r="B60"/>
      <c r="C60"/>
      <c r="D60"/>
      <c r="E60"/>
      <c r="F60"/>
      <c r="G60"/>
      <c r="H60"/>
    </row>
  </sheetData>
  <phoneticPr fontId="2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A20F3-9E4F-4C32-AC24-CD1F7422ADC3}">
  <sheetPr codeName="Sheet8"/>
  <dimension ref="A1:I400"/>
  <sheetViews>
    <sheetView workbookViewId="0"/>
  </sheetViews>
  <sheetFormatPr defaultRowHeight="18" x14ac:dyDescent="0.55000000000000004"/>
  <cols>
    <col min="9" max="9" width="30.58203125" customWidth="1"/>
  </cols>
  <sheetData>
    <row r="1" spans="1:9" x14ac:dyDescent="0.55000000000000004">
      <c r="A1" s="2" t="s">
        <v>44</v>
      </c>
      <c r="B1" s="2" t="s">
        <v>45</v>
      </c>
      <c r="C1" s="2" t="s">
        <v>46</v>
      </c>
      <c r="D1" s="2" t="s">
        <v>47</v>
      </c>
      <c r="E1" s="2" t="s">
        <v>1</v>
      </c>
      <c r="G1" t="s">
        <v>51</v>
      </c>
      <c r="I1" t="s">
        <v>57</v>
      </c>
    </row>
    <row r="2" spans="1:9" ht="20" x14ac:dyDescent="0.6">
      <c r="A2" t="s">
        <v>4</v>
      </c>
      <c r="B2" t="s">
        <v>48</v>
      </c>
      <c r="C2" cm="1">
        <f t="array" ref="C2:C193">A2:A193&amp;"x"&amp;B2:B193</f>
      </c>
      <c r="D2" cm="1">
        <f t="array" ref="D2:D193">"JPYTO"&amp;A2:A193&amp;"X"&amp;B2:B193&amp;"ATM=R"</f>
      </c>
      <c r="E2" s="4">
        <f ca="1">_xll.RtGet("IDN",D2,"MID_IV_NOR")</f>
      </c>
      <c r="G2" t="s">
        <v>52</v>
      </c>
      <c r="I2" cm="1">
        <f t="array" aca="1" ref="I2" ca="1">PublishLive("vol",$C$2:$E$401)</f>
      </c>
    </row>
    <row r="3" spans="1:9" ht="20" x14ac:dyDescent="0.6">
      <c r="A3" t="s">
        <v>4</v>
      </c>
      <c r="B3" t="s">
        <v>49</v>
      </c>
      <c r="E3" s="4">
        <f ca="1">_xll.RtGet("IDN",D3,"MID_IV_NOR")</f>
      </c>
      <c r="I3" t="s">
        <v>59</v>
      </c>
    </row>
    <row r="4" spans="1:9" ht="20" x14ac:dyDescent="0.6">
      <c r="A4" t="s">
        <v>4</v>
      </c>
      <c r="B4" t="s">
        <v>50</v>
      </c>
      <c r="E4" s="4">
        <f ca="1">_xll.RtGet("IDN",D4,"MID_IV_NOR")</f>
      </c>
    </row>
    <row r="5" spans="1:9" ht="20" x14ac:dyDescent="0.6">
      <c r="A5" t="s">
        <v>4</v>
      </c>
      <c r="B5" t="s">
        <v>20</v>
      </c>
      <c r="E5" s="4">
        <f ca="1">_xll.RtGet("IDN",D5,"MID_IV_NOR")</f>
      </c>
    </row>
    <row r="6" spans="1:9" ht="20" x14ac:dyDescent="0.6">
      <c r="A6" t="s">
        <v>4</v>
      </c>
      <c r="B6" t="s">
        <v>21</v>
      </c>
      <c r="E6" s="4">
        <f ca="1">_xll.RtGet("IDN",D6,"MID_IV_NOR")</f>
      </c>
    </row>
    <row r="7" spans="1:9" ht="20" x14ac:dyDescent="0.6">
      <c r="A7" t="s">
        <v>4</v>
      </c>
      <c r="B7" t="s">
        <v>22</v>
      </c>
      <c r="E7" s="4">
        <f ca="1">_xll.RtGet("IDN",D7,"MID_IV_NOR")</f>
      </c>
    </row>
    <row r="8" spans="1:9" ht="20" x14ac:dyDescent="0.6">
      <c r="A8" t="s">
        <v>4</v>
      </c>
      <c r="B8" t="s">
        <v>23</v>
      </c>
      <c r="E8" s="4">
        <f ca="1">_xll.RtGet("IDN",D8,"MID_IV_NOR")</f>
      </c>
    </row>
    <row r="9" spans="1:9" ht="20" x14ac:dyDescent="0.6">
      <c r="A9" t="s">
        <v>4</v>
      </c>
      <c r="B9" t="s">
        <v>24</v>
      </c>
      <c r="E9" s="4">
        <f ca="1">_xll.RtGet("IDN",D9,"MID_IV_NOR")</f>
      </c>
    </row>
    <row r="10" spans="1:9" ht="20" x14ac:dyDescent="0.6">
      <c r="A10" t="s">
        <v>4</v>
      </c>
      <c r="B10" t="s">
        <v>25</v>
      </c>
      <c r="E10" s="4">
        <f ca="1">_xll.RtGet("IDN",D10,"MID_IV_NOR")</f>
      </c>
    </row>
    <row r="11" spans="1:9" ht="20" x14ac:dyDescent="0.6">
      <c r="A11" t="s">
        <v>4</v>
      </c>
      <c r="B11" t="s">
        <v>26</v>
      </c>
      <c r="E11" s="4">
        <f ca="1">_xll.RtGet("IDN",D11,"MID_IV_NOR")</f>
      </c>
    </row>
    <row r="12" spans="1:9" ht="20" x14ac:dyDescent="0.6">
      <c r="A12" t="s">
        <v>4</v>
      </c>
      <c r="B12" t="s">
        <v>29</v>
      </c>
      <c r="E12" s="4">
        <f ca="1">_xll.RtGet("IDN",D12,"MID_IV_NOR")</f>
      </c>
    </row>
    <row r="13" spans="1:9" ht="20" x14ac:dyDescent="0.6">
      <c r="A13" t="s">
        <v>4</v>
      </c>
      <c r="B13" t="s">
        <v>30</v>
      </c>
      <c r="E13" s="4">
        <f ca="1">_xll.RtGet("IDN",D13,"MID_IV_NOR")</f>
      </c>
    </row>
    <row r="14" spans="1:9" ht="20" x14ac:dyDescent="0.6">
      <c r="A14" t="s">
        <v>5</v>
      </c>
      <c r="B14" t="s">
        <v>48</v>
      </c>
      <c r="E14" s="4">
        <f ca="1">_xll.RtGet("IDN",D14,"MID_IV_NOR")</f>
      </c>
    </row>
    <row r="15" spans="1:9" ht="20" x14ac:dyDescent="0.6">
      <c r="A15" t="s">
        <v>5</v>
      </c>
      <c r="B15" t="s">
        <v>49</v>
      </c>
      <c r="E15" s="4">
        <f ca="1">_xll.RtGet("IDN",D15,"MID_IV_NOR")</f>
      </c>
    </row>
    <row r="16" spans="1:9" ht="20" x14ac:dyDescent="0.6">
      <c r="A16" t="s">
        <v>5</v>
      </c>
      <c r="B16" t="s">
        <v>50</v>
      </c>
      <c r="E16" s="4">
        <f ca="1">_xll.RtGet("IDN",D16,"MID_IV_NOR")</f>
      </c>
    </row>
    <row r="17" spans="1:5" ht="20" x14ac:dyDescent="0.6">
      <c r="A17" t="s">
        <v>5</v>
      </c>
      <c r="B17" t="s">
        <v>20</v>
      </c>
      <c r="E17" s="4">
        <f ca="1">_xll.RtGet("IDN",D17,"MID_IV_NOR")</f>
      </c>
    </row>
    <row r="18" spans="1:5" ht="20" x14ac:dyDescent="0.6">
      <c r="A18" t="s">
        <v>5</v>
      </c>
      <c r="B18" t="s">
        <v>21</v>
      </c>
      <c r="E18" s="4">
        <f ca="1">_xll.RtGet("IDN",D18,"MID_IV_NOR")</f>
      </c>
    </row>
    <row r="19" spans="1:5" ht="20" x14ac:dyDescent="0.6">
      <c r="A19" t="s">
        <v>5</v>
      </c>
      <c r="B19" t="s">
        <v>22</v>
      </c>
      <c r="E19" s="4">
        <f ca="1">_xll.RtGet("IDN",D19,"MID_IV_NOR")</f>
      </c>
    </row>
    <row r="20" spans="1:5" ht="20" x14ac:dyDescent="0.6">
      <c r="A20" t="s">
        <v>5</v>
      </c>
      <c r="B20" t="s">
        <v>23</v>
      </c>
      <c r="E20" s="4">
        <f ca="1">_xll.RtGet("IDN",D20,"MID_IV_NOR")</f>
      </c>
    </row>
    <row r="21" spans="1:5" ht="20" x14ac:dyDescent="0.6">
      <c r="A21" t="s">
        <v>5</v>
      </c>
      <c r="B21" t="s">
        <v>24</v>
      </c>
      <c r="E21" s="4">
        <f ca="1">_xll.RtGet("IDN",D21,"MID_IV_NOR")</f>
      </c>
    </row>
    <row r="22" spans="1:5" ht="20" x14ac:dyDescent="0.6">
      <c r="A22" t="s">
        <v>5</v>
      </c>
      <c r="B22" t="s">
        <v>25</v>
      </c>
      <c r="E22" s="4">
        <f ca="1">_xll.RtGet("IDN",D22,"MID_IV_NOR")</f>
      </c>
    </row>
    <row r="23" spans="1:5" ht="20" x14ac:dyDescent="0.6">
      <c r="A23" t="s">
        <v>5</v>
      </c>
      <c r="B23" t="s">
        <v>26</v>
      </c>
      <c r="E23" s="4">
        <f ca="1">_xll.RtGet("IDN",D23,"MID_IV_NOR")</f>
      </c>
    </row>
    <row r="24" spans="1:5" ht="20" x14ac:dyDescent="0.6">
      <c r="A24" t="s">
        <v>5</v>
      </c>
      <c r="B24" t="s">
        <v>29</v>
      </c>
      <c r="E24" s="4">
        <f ca="1">_xll.RtGet("IDN",D24,"MID_IV_NOR")</f>
      </c>
    </row>
    <row r="25" spans="1:5" ht="20" x14ac:dyDescent="0.6">
      <c r="A25" t="s">
        <v>5</v>
      </c>
      <c r="B25" t="s">
        <v>30</v>
      </c>
      <c r="E25" s="4">
        <f ca="1">_xll.RtGet("IDN",D25,"MID_IV_NOR")</f>
      </c>
    </row>
    <row r="26" spans="1:5" ht="20" x14ac:dyDescent="0.6">
      <c r="A26" t="s">
        <v>6</v>
      </c>
      <c r="B26" t="s">
        <v>48</v>
      </c>
      <c r="E26" s="4">
        <f ca="1">_xll.RtGet("IDN",D26,"MID_IV_NOR")</f>
      </c>
    </row>
    <row r="27" spans="1:5" ht="20" x14ac:dyDescent="0.6">
      <c r="A27" t="s">
        <v>6</v>
      </c>
      <c r="B27" t="s">
        <v>49</v>
      </c>
      <c r="E27" s="4">
        <f ca="1">_xll.RtGet("IDN",D27,"MID_IV_NOR")</f>
      </c>
    </row>
    <row r="28" spans="1:5" ht="20" x14ac:dyDescent="0.6">
      <c r="A28" t="s">
        <v>6</v>
      </c>
      <c r="B28" t="s">
        <v>50</v>
      </c>
      <c r="E28" s="4">
        <f ca="1">_xll.RtGet("IDN",D28,"MID_IV_NOR")</f>
      </c>
    </row>
    <row r="29" spans="1:5" ht="20" x14ac:dyDescent="0.6">
      <c r="A29" t="s">
        <v>6</v>
      </c>
      <c r="B29" t="s">
        <v>20</v>
      </c>
      <c r="E29" s="4">
        <f ca="1">_xll.RtGet("IDN",D29,"MID_IV_NOR")</f>
      </c>
    </row>
    <row r="30" spans="1:5" ht="20" x14ac:dyDescent="0.6">
      <c r="A30" t="s">
        <v>6</v>
      </c>
      <c r="B30" t="s">
        <v>21</v>
      </c>
      <c r="E30" s="4">
        <f ca="1">_xll.RtGet("IDN",D30,"MID_IV_NOR")</f>
      </c>
    </row>
    <row r="31" spans="1:5" ht="20" x14ac:dyDescent="0.6">
      <c r="A31" t="s">
        <v>6</v>
      </c>
      <c r="B31" t="s">
        <v>22</v>
      </c>
      <c r="E31" s="4">
        <f ca="1">_xll.RtGet("IDN",D31,"MID_IV_NOR")</f>
      </c>
    </row>
    <row r="32" spans="1:5" ht="20" x14ac:dyDescent="0.6">
      <c r="A32" t="s">
        <v>6</v>
      </c>
      <c r="B32" t="s">
        <v>23</v>
      </c>
      <c r="E32" s="4">
        <f ca="1">_xll.RtGet("IDN",D32,"MID_IV_NOR")</f>
      </c>
    </row>
    <row r="33" spans="1:5" ht="20" x14ac:dyDescent="0.6">
      <c r="A33" t="s">
        <v>6</v>
      </c>
      <c r="B33" t="s">
        <v>24</v>
      </c>
      <c r="E33" s="4">
        <f ca="1">_xll.RtGet("IDN",D33,"MID_IV_NOR")</f>
      </c>
    </row>
    <row r="34" spans="1:5" ht="20" x14ac:dyDescent="0.6">
      <c r="A34" t="s">
        <v>6</v>
      </c>
      <c r="B34" t="s">
        <v>25</v>
      </c>
      <c r="E34" s="4">
        <f ca="1">_xll.RtGet("IDN",D34,"MID_IV_NOR")</f>
      </c>
    </row>
    <row r="35" spans="1:5" ht="20" x14ac:dyDescent="0.6">
      <c r="A35" t="s">
        <v>6</v>
      </c>
      <c r="B35" t="s">
        <v>26</v>
      </c>
      <c r="E35" s="4">
        <f ca="1">_xll.RtGet("IDN",D35,"MID_IV_NOR")</f>
      </c>
    </row>
    <row r="36" spans="1:5" ht="20" x14ac:dyDescent="0.6">
      <c r="A36" t="s">
        <v>6</v>
      </c>
      <c r="B36" t="s">
        <v>29</v>
      </c>
      <c r="E36" s="4">
        <f ca="1">_xll.RtGet("IDN",D36,"MID_IV_NOR")</f>
      </c>
    </row>
    <row r="37" spans="1:5" ht="20" x14ac:dyDescent="0.6">
      <c r="A37" t="s">
        <v>6</v>
      </c>
      <c r="B37" t="s">
        <v>30</v>
      </c>
      <c r="E37" s="4">
        <f ca="1">_xll.RtGet("IDN",D37,"MID_IV_NOR")</f>
      </c>
    </row>
    <row r="38" spans="1:5" ht="20" x14ac:dyDescent="0.6">
      <c r="A38" t="s">
        <v>9</v>
      </c>
      <c r="B38" t="s">
        <v>48</v>
      </c>
      <c r="E38" s="4">
        <f ca="1">_xll.RtGet("IDN",D38,"MID_IV_NOR")</f>
      </c>
    </row>
    <row r="39" spans="1:5" ht="20" x14ac:dyDescent="0.6">
      <c r="A39" t="s">
        <v>9</v>
      </c>
      <c r="B39" t="s">
        <v>49</v>
      </c>
      <c r="E39" s="4">
        <f ca="1">_xll.RtGet("IDN",D39,"MID_IV_NOR")</f>
      </c>
    </row>
    <row r="40" spans="1:5" ht="20" x14ac:dyDescent="0.6">
      <c r="A40" t="s">
        <v>9</v>
      </c>
      <c r="B40" t="s">
        <v>50</v>
      </c>
      <c r="E40" s="4">
        <f ca="1">_xll.RtGet("IDN",D40,"MID_IV_NOR")</f>
      </c>
    </row>
    <row r="41" spans="1:5" ht="20" x14ac:dyDescent="0.6">
      <c r="A41" t="s">
        <v>9</v>
      </c>
      <c r="B41" t="s">
        <v>20</v>
      </c>
      <c r="E41" s="4">
        <f ca="1">_xll.RtGet("IDN",D41,"MID_IV_NOR")</f>
      </c>
    </row>
    <row r="42" spans="1:5" ht="20" x14ac:dyDescent="0.6">
      <c r="A42" t="s">
        <v>9</v>
      </c>
      <c r="B42" t="s">
        <v>21</v>
      </c>
      <c r="E42" s="4">
        <f ca="1">_xll.RtGet("IDN",D42,"MID_IV_NOR")</f>
      </c>
    </row>
    <row r="43" spans="1:5" ht="20" x14ac:dyDescent="0.6">
      <c r="A43" t="s">
        <v>9</v>
      </c>
      <c r="B43" t="s">
        <v>22</v>
      </c>
      <c r="E43" s="4">
        <f ca="1">_xll.RtGet("IDN",D43,"MID_IV_NOR")</f>
      </c>
    </row>
    <row r="44" spans="1:5" ht="20" x14ac:dyDescent="0.6">
      <c r="A44" t="s">
        <v>9</v>
      </c>
      <c r="B44" t="s">
        <v>23</v>
      </c>
      <c r="E44" s="4">
        <f ca="1">_xll.RtGet("IDN",D44,"MID_IV_NOR")</f>
      </c>
    </row>
    <row r="45" spans="1:5" ht="20" x14ac:dyDescent="0.6">
      <c r="A45" t="s">
        <v>9</v>
      </c>
      <c r="B45" t="s">
        <v>24</v>
      </c>
      <c r="E45" s="4">
        <f ca="1">_xll.RtGet("IDN",D45,"MID_IV_NOR")</f>
      </c>
    </row>
    <row r="46" spans="1:5" ht="20" x14ac:dyDescent="0.6">
      <c r="A46" t="s">
        <v>9</v>
      </c>
      <c r="B46" t="s">
        <v>25</v>
      </c>
      <c r="E46" s="4">
        <f ca="1">_xll.RtGet("IDN",D46,"MID_IV_NOR")</f>
      </c>
    </row>
    <row r="47" spans="1:5" ht="20" x14ac:dyDescent="0.6">
      <c r="A47" t="s">
        <v>9</v>
      </c>
      <c r="B47" t="s">
        <v>26</v>
      </c>
      <c r="E47" s="4">
        <f ca="1">_xll.RtGet("IDN",D47,"MID_IV_NOR")</f>
      </c>
    </row>
    <row r="48" spans="1:5" ht="20" x14ac:dyDescent="0.6">
      <c r="A48" t="s">
        <v>9</v>
      </c>
      <c r="B48" t="s">
        <v>29</v>
      </c>
      <c r="E48" s="4">
        <f ca="1">_xll.RtGet("IDN",D48,"MID_IV_NOR")</f>
      </c>
    </row>
    <row r="49" spans="1:5" ht="20" x14ac:dyDescent="0.6">
      <c r="A49" t="s">
        <v>9</v>
      </c>
      <c r="B49" t="s">
        <v>30</v>
      </c>
      <c r="E49" s="4">
        <f ca="1">_xll.RtGet("IDN",D49,"MID_IV_NOR")</f>
      </c>
    </row>
    <row r="50" spans="1:5" ht="20" x14ac:dyDescent="0.6">
      <c r="A50" t="s">
        <v>12</v>
      </c>
      <c r="B50" t="s">
        <v>48</v>
      </c>
      <c r="E50" s="4">
        <f ca="1">_xll.RtGet("IDN",D50,"MID_IV_NOR")</f>
      </c>
    </row>
    <row r="51" spans="1:5" ht="20" x14ac:dyDescent="0.6">
      <c r="A51" t="s">
        <v>12</v>
      </c>
      <c r="B51" t="s">
        <v>49</v>
      </c>
      <c r="E51" s="4">
        <f ca="1">_xll.RtGet("IDN",D51,"MID_IV_NOR")</f>
      </c>
    </row>
    <row r="52" spans="1:5" ht="20" x14ac:dyDescent="0.6">
      <c r="A52" t="s">
        <v>12</v>
      </c>
      <c r="B52" t="s">
        <v>50</v>
      </c>
      <c r="E52" s="4">
        <f ca="1">_xll.RtGet("IDN",D52,"MID_IV_NOR")</f>
      </c>
    </row>
    <row r="53" spans="1:5" ht="20" x14ac:dyDescent="0.6">
      <c r="A53" t="s">
        <v>12</v>
      </c>
      <c r="B53" t="s">
        <v>20</v>
      </c>
      <c r="E53" s="4">
        <f ca="1">_xll.RtGet("IDN",D53,"MID_IV_NOR")</f>
      </c>
    </row>
    <row r="54" spans="1:5" ht="20" x14ac:dyDescent="0.6">
      <c r="A54" t="s">
        <v>12</v>
      </c>
      <c r="B54" t="s">
        <v>21</v>
      </c>
      <c r="E54" s="4">
        <f ca="1">_xll.RtGet("IDN",D54,"MID_IV_NOR")</f>
      </c>
    </row>
    <row r="55" spans="1:5" ht="20" x14ac:dyDescent="0.6">
      <c r="A55" t="s">
        <v>12</v>
      </c>
      <c r="B55" t="s">
        <v>22</v>
      </c>
      <c r="E55" s="4">
        <f ca="1">_xll.RtGet("IDN",D55,"MID_IV_NOR")</f>
      </c>
    </row>
    <row r="56" spans="1:5" ht="20" x14ac:dyDescent="0.6">
      <c r="A56" t="s">
        <v>12</v>
      </c>
      <c r="B56" t="s">
        <v>23</v>
      </c>
      <c r="E56" s="4">
        <f ca="1">_xll.RtGet("IDN",D56,"MID_IV_NOR")</f>
      </c>
    </row>
    <row r="57" spans="1:5" ht="20" x14ac:dyDescent="0.6">
      <c r="A57" t="s">
        <v>12</v>
      </c>
      <c r="B57" t="s">
        <v>24</v>
      </c>
      <c r="E57" s="4">
        <f ca="1">_xll.RtGet("IDN",D57,"MID_IV_NOR")</f>
      </c>
    </row>
    <row r="58" spans="1:5" ht="20" x14ac:dyDescent="0.6">
      <c r="A58" t="s">
        <v>12</v>
      </c>
      <c r="B58" t="s">
        <v>25</v>
      </c>
      <c r="E58" s="4">
        <f ca="1">_xll.RtGet("IDN",D58,"MID_IV_NOR")</f>
      </c>
    </row>
    <row r="59" spans="1:5" ht="20" x14ac:dyDescent="0.6">
      <c r="A59" t="s">
        <v>12</v>
      </c>
      <c r="B59" t="s">
        <v>26</v>
      </c>
      <c r="E59" s="4">
        <f ca="1">_xll.RtGet("IDN",D59,"MID_IV_NOR")</f>
      </c>
    </row>
    <row r="60" spans="1:5" ht="20" x14ac:dyDescent="0.6">
      <c r="A60" t="s">
        <v>12</v>
      </c>
      <c r="B60" t="s">
        <v>29</v>
      </c>
      <c r="E60" s="4">
        <f ca="1">_xll.RtGet("IDN",D60,"MID_IV_NOR")</f>
      </c>
    </row>
    <row r="61" spans="1:5" ht="20" x14ac:dyDescent="0.6">
      <c r="A61" t="s">
        <v>12</v>
      </c>
      <c r="B61" t="s">
        <v>30</v>
      </c>
      <c r="E61" s="4">
        <f ca="1">_xll.RtGet("IDN",D61,"MID_IV_NOR")</f>
      </c>
    </row>
    <row r="62" spans="1:5" ht="20" x14ac:dyDescent="0.6">
      <c r="A62" t="s">
        <v>48</v>
      </c>
      <c r="B62" t="s">
        <v>48</v>
      </c>
      <c r="E62" s="4">
        <f ca="1">_xll.RtGet("IDN",D62,"MID_IV_NOR")</f>
      </c>
    </row>
    <row r="63" spans="1:5" ht="20" x14ac:dyDescent="0.6">
      <c r="A63" t="s">
        <v>48</v>
      </c>
      <c r="B63" t="s">
        <v>49</v>
      </c>
      <c r="E63" s="4">
        <f ca="1">_xll.RtGet("IDN",D63,"MID_IV_NOR")</f>
      </c>
    </row>
    <row r="64" spans="1:5" ht="20" x14ac:dyDescent="0.6">
      <c r="A64" t="s">
        <v>48</v>
      </c>
      <c r="B64" t="s">
        <v>50</v>
      </c>
      <c r="E64" s="4">
        <f ca="1">_xll.RtGet("IDN",D64,"MID_IV_NOR")</f>
      </c>
    </row>
    <row r="65" spans="1:5" ht="20" x14ac:dyDescent="0.6">
      <c r="A65" t="s">
        <v>48</v>
      </c>
      <c r="B65" t="s">
        <v>20</v>
      </c>
      <c r="E65" s="4">
        <f ca="1">_xll.RtGet("IDN",D65,"MID_IV_NOR")</f>
      </c>
    </row>
    <row r="66" spans="1:5" ht="20" x14ac:dyDescent="0.6">
      <c r="A66" t="s">
        <v>48</v>
      </c>
      <c r="B66" t="s">
        <v>21</v>
      </c>
      <c r="E66" s="4">
        <f ca="1">_xll.RtGet("IDN",D66,"MID_IV_NOR")</f>
      </c>
    </row>
    <row r="67" spans="1:5" ht="20" x14ac:dyDescent="0.6">
      <c r="A67" t="s">
        <v>48</v>
      </c>
      <c r="B67" t="s">
        <v>22</v>
      </c>
      <c r="E67" s="4">
        <f ca="1">_xll.RtGet("IDN",D67,"MID_IV_NOR")</f>
      </c>
    </row>
    <row r="68" spans="1:5" ht="20" x14ac:dyDescent="0.6">
      <c r="A68" t="s">
        <v>48</v>
      </c>
      <c r="B68" t="s">
        <v>23</v>
      </c>
      <c r="E68" s="4">
        <f ca="1">_xll.RtGet("IDN",D68,"MID_IV_NOR")</f>
      </c>
    </row>
    <row r="69" spans="1:5" ht="20" x14ac:dyDescent="0.6">
      <c r="A69" t="s">
        <v>48</v>
      </c>
      <c r="B69" t="s">
        <v>24</v>
      </c>
      <c r="E69" s="4">
        <f ca="1">_xll.RtGet("IDN",D69,"MID_IV_NOR")</f>
      </c>
    </row>
    <row r="70" spans="1:5" ht="20" x14ac:dyDescent="0.6">
      <c r="A70" t="s">
        <v>48</v>
      </c>
      <c r="B70" t="s">
        <v>25</v>
      </c>
      <c r="E70" s="4">
        <f ca="1">_xll.RtGet("IDN",D70,"MID_IV_NOR")</f>
      </c>
    </row>
    <row r="71" spans="1:5" ht="20" x14ac:dyDescent="0.6">
      <c r="A71" t="s">
        <v>48</v>
      </c>
      <c r="B71" t="s">
        <v>26</v>
      </c>
      <c r="E71" s="4">
        <f ca="1">_xll.RtGet("IDN",D71,"MID_IV_NOR")</f>
      </c>
    </row>
    <row r="72" spans="1:5" ht="20" x14ac:dyDescent="0.6">
      <c r="A72" t="s">
        <v>48</v>
      </c>
      <c r="B72" t="s">
        <v>29</v>
      </c>
      <c r="E72" s="4">
        <f ca="1">_xll.RtGet("IDN",D72,"MID_IV_NOR")</f>
      </c>
    </row>
    <row r="73" spans="1:5" ht="20" x14ac:dyDescent="0.6">
      <c r="A73" t="s">
        <v>48</v>
      </c>
      <c r="B73" t="s">
        <v>30</v>
      </c>
      <c r="E73" s="4">
        <f ca="1">_xll.RtGet("IDN",D73,"MID_IV_NOR")</f>
      </c>
    </row>
    <row r="74" spans="1:5" ht="20" x14ac:dyDescent="0.6">
      <c r="A74" t="s">
        <v>49</v>
      </c>
      <c r="B74" t="s">
        <v>48</v>
      </c>
      <c r="E74" s="4">
        <f ca="1">_xll.RtGet("IDN",D74,"MID_IV_NOR")</f>
      </c>
    </row>
    <row r="75" spans="1:5" ht="20" x14ac:dyDescent="0.6">
      <c r="A75" t="s">
        <v>49</v>
      </c>
      <c r="B75" t="s">
        <v>49</v>
      </c>
      <c r="E75" s="4">
        <f ca="1">_xll.RtGet("IDN",D75,"MID_IV_NOR")</f>
      </c>
    </row>
    <row r="76" spans="1:5" ht="20" x14ac:dyDescent="0.6">
      <c r="A76" t="s">
        <v>49</v>
      </c>
      <c r="B76" t="s">
        <v>50</v>
      </c>
      <c r="E76" s="4">
        <f ca="1">_xll.RtGet("IDN",D76,"MID_IV_NOR")</f>
      </c>
    </row>
    <row r="77" spans="1:5" ht="20" x14ac:dyDescent="0.6">
      <c r="A77" t="s">
        <v>49</v>
      </c>
      <c r="B77" t="s">
        <v>20</v>
      </c>
      <c r="E77" s="4">
        <f ca="1">_xll.RtGet("IDN",D77,"MID_IV_NOR")</f>
      </c>
    </row>
    <row r="78" spans="1:5" ht="20" x14ac:dyDescent="0.6">
      <c r="A78" t="s">
        <v>49</v>
      </c>
      <c r="B78" t="s">
        <v>21</v>
      </c>
      <c r="E78" s="4">
        <f ca="1">_xll.RtGet("IDN",D78,"MID_IV_NOR")</f>
      </c>
    </row>
    <row r="79" spans="1:5" ht="20" x14ac:dyDescent="0.6">
      <c r="A79" t="s">
        <v>49</v>
      </c>
      <c r="B79" t="s">
        <v>22</v>
      </c>
      <c r="E79" s="4">
        <f ca="1">_xll.RtGet("IDN",D79,"MID_IV_NOR")</f>
      </c>
    </row>
    <row r="80" spans="1:5" ht="20" x14ac:dyDescent="0.6">
      <c r="A80" t="s">
        <v>49</v>
      </c>
      <c r="B80" t="s">
        <v>23</v>
      </c>
      <c r="E80" s="4">
        <f ca="1">_xll.RtGet("IDN",D80,"MID_IV_NOR")</f>
      </c>
    </row>
    <row r="81" spans="1:5" ht="20" x14ac:dyDescent="0.6">
      <c r="A81" t="s">
        <v>49</v>
      </c>
      <c r="B81" t="s">
        <v>24</v>
      </c>
      <c r="E81" s="4">
        <f ca="1">_xll.RtGet("IDN",D81,"MID_IV_NOR")</f>
      </c>
    </row>
    <row r="82" spans="1:5" ht="20" x14ac:dyDescent="0.6">
      <c r="A82" t="s">
        <v>49</v>
      </c>
      <c r="B82" t="s">
        <v>25</v>
      </c>
      <c r="E82" s="4">
        <f ca="1">_xll.RtGet("IDN",D82,"MID_IV_NOR")</f>
      </c>
    </row>
    <row r="83" spans="1:5" ht="20" x14ac:dyDescent="0.6">
      <c r="A83" t="s">
        <v>49</v>
      </c>
      <c r="B83" t="s">
        <v>26</v>
      </c>
      <c r="E83" s="4">
        <f ca="1">_xll.RtGet("IDN",D83,"MID_IV_NOR")</f>
      </c>
    </row>
    <row r="84" spans="1:5" ht="20" x14ac:dyDescent="0.6">
      <c r="A84" t="s">
        <v>49</v>
      </c>
      <c r="B84" t="s">
        <v>29</v>
      </c>
      <c r="E84" s="4">
        <f ca="1">_xll.RtGet("IDN",D84,"MID_IV_NOR")</f>
      </c>
    </row>
    <row r="85" spans="1:5" ht="20" x14ac:dyDescent="0.6">
      <c r="A85" t="s">
        <v>49</v>
      </c>
      <c r="B85" t="s">
        <v>30</v>
      </c>
      <c r="E85" s="4">
        <f ca="1">_xll.RtGet("IDN",D85,"MID_IV_NOR")</f>
      </c>
    </row>
    <row r="86" spans="1:5" ht="20" x14ac:dyDescent="0.6">
      <c r="A86" t="s">
        <v>50</v>
      </c>
      <c r="B86" t="s">
        <v>48</v>
      </c>
      <c r="E86" s="4">
        <f ca="1">_xll.RtGet("IDN",D86,"MID_IV_NOR")</f>
      </c>
    </row>
    <row r="87" spans="1:5" ht="20" x14ac:dyDescent="0.6">
      <c r="A87" t="s">
        <v>50</v>
      </c>
      <c r="B87" t="s">
        <v>49</v>
      </c>
      <c r="E87" s="4">
        <f ca="1">_xll.RtGet("IDN",D87,"MID_IV_NOR")</f>
      </c>
    </row>
    <row r="88" spans="1:5" ht="20" x14ac:dyDescent="0.6">
      <c r="A88" t="s">
        <v>50</v>
      </c>
      <c r="B88" t="s">
        <v>50</v>
      </c>
      <c r="E88" s="4">
        <f ca="1">_xll.RtGet("IDN",D88,"MID_IV_NOR")</f>
      </c>
    </row>
    <row r="89" spans="1:5" ht="20" x14ac:dyDescent="0.6">
      <c r="A89" t="s">
        <v>50</v>
      </c>
      <c r="B89" t="s">
        <v>20</v>
      </c>
      <c r="E89" s="4">
        <f ca="1">_xll.RtGet("IDN",D89,"MID_IV_NOR")</f>
      </c>
    </row>
    <row r="90" spans="1:5" ht="20" x14ac:dyDescent="0.6">
      <c r="A90" t="s">
        <v>50</v>
      </c>
      <c r="B90" t="s">
        <v>21</v>
      </c>
      <c r="E90" s="4">
        <f ca="1">_xll.RtGet("IDN",D90,"MID_IV_NOR")</f>
      </c>
    </row>
    <row r="91" spans="1:5" ht="20" x14ac:dyDescent="0.6">
      <c r="A91" t="s">
        <v>50</v>
      </c>
      <c r="B91" t="s">
        <v>22</v>
      </c>
      <c r="E91" s="4">
        <f ca="1">_xll.RtGet("IDN",D91,"MID_IV_NOR")</f>
      </c>
    </row>
    <row r="92" spans="1:5" ht="20" x14ac:dyDescent="0.6">
      <c r="A92" t="s">
        <v>50</v>
      </c>
      <c r="B92" t="s">
        <v>23</v>
      </c>
      <c r="E92" s="4">
        <f ca="1">_xll.RtGet("IDN",D92,"MID_IV_NOR")</f>
      </c>
    </row>
    <row r="93" spans="1:5" ht="20" x14ac:dyDescent="0.6">
      <c r="A93" t="s">
        <v>50</v>
      </c>
      <c r="B93" t="s">
        <v>24</v>
      </c>
      <c r="E93" s="4">
        <f ca="1">_xll.RtGet("IDN",D93,"MID_IV_NOR")</f>
      </c>
    </row>
    <row r="94" spans="1:5" ht="20" x14ac:dyDescent="0.6">
      <c r="A94" t="s">
        <v>50</v>
      </c>
      <c r="B94" t="s">
        <v>25</v>
      </c>
      <c r="E94" s="4">
        <f ca="1">_xll.RtGet("IDN",D94,"MID_IV_NOR")</f>
      </c>
    </row>
    <row r="95" spans="1:5" ht="20" x14ac:dyDescent="0.6">
      <c r="A95" t="s">
        <v>50</v>
      </c>
      <c r="B95" t="s">
        <v>26</v>
      </c>
      <c r="E95" s="4">
        <f ca="1">_xll.RtGet("IDN",D95,"MID_IV_NOR")</f>
      </c>
    </row>
    <row r="96" spans="1:5" ht="20" x14ac:dyDescent="0.6">
      <c r="A96" t="s">
        <v>50</v>
      </c>
      <c r="B96" t="s">
        <v>29</v>
      </c>
      <c r="E96" s="4">
        <f ca="1">_xll.RtGet("IDN",D96,"MID_IV_NOR")</f>
      </c>
    </row>
    <row r="97" spans="1:5" ht="20" x14ac:dyDescent="0.6">
      <c r="A97" t="s">
        <v>50</v>
      </c>
      <c r="B97" t="s">
        <v>30</v>
      </c>
      <c r="E97" s="4">
        <f ca="1">_xll.RtGet("IDN",D97,"MID_IV_NOR")</f>
      </c>
    </row>
    <row r="98" spans="1:5" ht="20" x14ac:dyDescent="0.6">
      <c r="A98" t="s">
        <v>20</v>
      </c>
      <c r="B98" t="s">
        <v>48</v>
      </c>
      <c r="E98" s="4">
        <f ca="1">_xll.RtGet("IDN",D98,"MID_IV_NOR")</f>
      </c>
    </row>
    <row r="99" spans="1:5" ht="20" x14ac:dyDescent="0.6">
      <c r="A99" t="s">
        <v>20</v>
      </c>
      <c r="B99" t="s">
        <v>49</v>
      </c>
      <c r="E99" s="4">
        <f ca="1">_xll.RtGet("IDN",D99,"MID_IV_NOR")</f>
      </c>
    </row>
    <row r="100" spans="1:5" ht="20" x14ac:dyDescent="0.6">
      <c r="A100" t="s">
        <v>20</v>
      </c>
      <c r="B100" t="s">
        <v>50</v>
      </c>
      <c r="E100" s="4">
        <f ca="1">_xll.RtGet("IDN",D100,"MID_IV_NOR")</f>
      </c>
    </row>
    <row r="101" spans="1:5" ht="20" x14ac:dyDescent="0.6">
      <c r="A101" t="s">
        <v>20</v>
      </c>
      <c r="B101" t="s">
        <v>20</v>
      </c>
      <c r="E101" s="4">
        <f ca="1">_xll.RtGet("IDN",D101,"MID_IV_NOR")</f>
      </c>
    </row>
    <row r="102" spans="1:5" ht="20" x14ac:dyDescent="0.6">
      <c r="A102" t="s">
        <v>20</v>
      </c>
      <c r="B102" t="s">
        <v>21</v>
      </c>
      <c r="E102" s="4">
        <f ca="1">_xll.RtGet("IDN",D102,"MID_IV_NOR")</f>
      </c>
    </row>
    <row r="103" spans="1:5" ht="20" x14ac:dyDescent="0.6">
      <c r="A103" t="s">
        <v>20</v>
      </c>
      <c r="B103" t="s">
        <v>22</v>
      </c>
      <c r="E103" s="4">
        <f ca="1">_xll.RtGet("IDN",D103,"MID_IV_NOR")</f>
      </c>
    </row>
    <row r="104" spans="1:5" ht="20" x14ac:dyDescent="0.6">
      <c r="A104" t="s">
        <v>20</v>
      </c>
      <c r="B104" t="s">
        <v>23</v>
      </c>
      <c r="E104" s="4">
        <f ca="1">_xll.RtGet("IDN",D104,"MID_IV_NOR")</f>
      </c>
    </row>
    <row r="105" spans="1:5" ht="20" x14ac:dyDescent="0.6">
      <c r="A105" t="s">
        <v>20</v>
      </c>
      <c r="B105" t="s">
        <v>24</v>
      </c>
      <c r="E105" s="4">
        <f ca="1">_xll.RtGet("IDN",D105,"MID_IV_NOR")</f>
      </c>
    </row>
    <row r="106" spans="1:5" ht="20" x14ac:dyDescent="0.6">
      <c r="A106" t="s">
        <v>20</v>
      </c>
      <c r="B106" t="s">
        <v>25</v>
      </c>
      <c r="E106" s="4">
        <f ca="1">_xll.RtGet("IDN",D106,"MID_IV_NOR")</f>
      </c>
    </row>
    <row r="107" spans="1:5" ht="20" x14ac:dyDescent="0.6">
      <c r="A107" t="s">
        <v>20</v>
      </c>
      <c r="B107" t="s">
        <v>26</v>
      </c>
      <c r="E107" s="4">
        <f ca="1">_xll.RtGet("IDN",D107,"MID_IV_NOR")</f>
      </c>
    </row>
    <row r="108" spans="1:5" ht="20" x14ac:dyDescent="0.6">
      <c r="A108" t="s">
        <v>20</v>
      </c>
      <c r="B108" t="s">
        <v>29</v>
      </c>
      <c r="E108" s="4">
        <f ca="1">_xll.RtGet("IDN",D108,"MID_IV_NOR")</f>
      </c>
    </row>
    <row r="109" spans="1:5" ht="20" x14ac:dyDescent="0.6">
      <c r="A109" t="s">
        <v>20</v>
      </c>
      <c r="B109" t="s">
        <v>30</v>
      </c>
      <c r="E109" s="4">
        <f ca="1">_xll.RtGet("IDN",D109,"MID_IV_NOR")</f>
      </c>
    </row>
    <row r="110" spans="1:5" ht="20" x14ac:dyDescent="0.6">
      <c r="A110" t="s">
        <v>21</v>
      </c>
      <c r="B110" t="s">
        <v>48</v>
      </c>
      <c r="E110" s="4">
        <f ca="1">_xll.RtGet("IDN",D110,"MID_IV_NOR")</f>
      </c>
    </row>
    <row r="111" spans="1:5" ht="20" x14ac:dyDescent="0.6">
      <c r="A111" t="s">
        <v>21</v>
      </c>
      <c r="B111" t="s">
        <v>49</v>
      </c>
      <c r="E111" s="4">
        <f ca="1">_xll.RtGet("IDN",D111,"MID_IV_NOR")</f>
      </c>
    </row>
    <row r="112" spans="1:5" ht="20" x14ac:dyDescent="0.6">
      <c r="A112" t="s">
        <v>21</v>
      </c>
      <c r="B112" t="s">
        <v>50</v>
      </c>
      <c r="E112" s="4">
        <f ca="1">_xll.RtGet("IDN",D112,"MID_IV_NOR")</f>
      </c>
    </row>
    <row r="113" spans="1:5" ht="20" x14ac:dyDescent="0.6">
      <c r="A113" t="s">
        <v>21</v>
      </c>
      <c r="B113" t="s">
        <v>20</v>
      </c>
      <c r="E113" s="4">
        <f ca="1">_xll.RtGet("IDN",D113,"MID_IV_NOR")</f>
      </c>
    </row>
    <row r="114" spans="1:5" ht="20" x14ac:dyDescent="0.6">
      <c r="A114" t="s">
        <v>21</v>
      </c>
      <c r="B114" t="s">
        <v>21</v>
      </c>
      <c r="E114" s="4">
        <f ca="1">_xll.RtGet("IDN",D114,"MID_IV_NOR")</f>
      </c>
    </row>
    <row r="115" spans="1:5" ht="20" x14ac:dyDescent="0.6">
      <c r="A115" t="s">
        <v>21</v>
      </c>
      <c r="B115" t="s">
        <v>22</v>
      </c>
      <c r="E115" s="4">
        <f ca="1">_xll.RtGet("IDN",D115,"MID_IV_NOR")</f>
      </c>
    </row>
    <row r="116" spans="1:5" ht="20" x14ac:dyDescent="0.6">
      <c r="A116" t="s">
        <v>21</v>
      </c>
      <c r="B116" t="s">
        <v>23</v>
      </c>
      <c r="E116" s="4">
        <f ca="1">_xll.RtGet("IDN",D116,"MID_IV_NOR")</f>
      </c>
    </row>
    <row r="117" spans="1:5" ht="20" x14ac:dyDescent="0.6">
      <c r="A117" t="s">
        <v>21</v>
      </c>
      <c r="B117" t="s">
        <v>24</v>
      </c>
      <c r="E117" s="4">
        <f ca="1">_xll.RtGet("IDN",D117,"MID_IV_NOR")</f>
      </c>
    </row>
    <row r="118" spans="1:5" ht="20" x14ac:dyDescent="0.6">
      <c r="A118" t="s">
        <v>21</v>
      </c>
      <c r="B118" t="s">
        <v>25</v>
      </c>
      <c r="E118" s="4">
        <f ca="1">_xll.RtGet("IDN",D118,"MID_IV_NOR")</f>
      </c>
    </row>
    <row r="119" spans="1:5" ht="20" x14ac:dyDescent="0.6">
      <c r="A119" t="s">
        <v>21</v>
      </c>
      <c r="B119" t="s">
        <v>26</v>
      </c>
      <c r="E119" s="4">
        <f ca="1">_xll.RtGet("IDN",D119,"MID_IV_NOR")</f>
      </c>
    </row>
    <row r="120" spans="1:5" ht="20" x14ac:dyDescent="0.6">
      <c r="A120" t="s">
        <v>21</v>
      </c>
      <c r="B120" t="s">
        <v>29</v>
      </c>
      <c r="E120" s="4">
        <f ca="1">_xll.RtGet("IDN",D120,"MID_IV_NOR")</f>
      </c>
    </row>
    <row r="121" spans="1:5" ht="20" x14ac:dyDescent="0.6">
      <c r="A121" t="s">
        <v>21</v>
      </c>
      <c r="B121" t="s">
        <v>30</v>
      </c>
      <c r="E121" s="4">
        <f ca="1">_xll.RtGet("IDN",D121,"MID_IV_NOR")</f>
      </c>
    </row>
    <row r="122" spans="1:5" ht="20" x14ac:dyDescent="0.6">
      <c r="A122" t="s">
        <v>22</v>
      </c>
      <c r="B122" t="s">
        <v>48</v>
      </c>
      <c r="E122" s="4">
        <f ca="1">_xll.RtGet("IDN",D122,"MID_IV_NOR")</f>
      </c>
    </row>
    <row r="123" spans="1:5" ht="20" x14ac:dyDescent="0.6">
      <c r="A123" t="s">
        <v>22</v>
      </c>
      <c r="B123" t="s">
        <v>49</v>
      </c>
      <c r="E123" s="4">
        <f ca="1">_xll.RtGet("IDN",D123,"MID_IV_NOR")</f>
      </c>
    </row>
    <row r="124" spans="1:5" ht="20" x14ac:dyDescent="0.6">
      <c r="A124" t="s">
        <v>22</v>
      </c>
      <c r="B124" t="s">
        <v>50</v>
      </c>
      <c r="E124" s="4">
        <f ca="1">_xll.RtGet("IDN",D124,"MID_IV_NOR")</f>
      </c>
    </row>
    <row r="125" spans="1:5" ht="20" x14ac:dyDescent="0.6">
      <c r="A125" t="s">
        <v>22</v>
      </c>
      <c r="B125" t="s">
        <v>20</v>
      </c>
      <c r="E125" s="4">
        <f ca="1">_xll.RtGet("IDN",D125,"MID_IV_NOR")</f>
      </c>
    </row>
    <row r="126" spans="1:5" ht="20" x14ac:dyDescent="0.6">
      <c r="A126" t="s">
        <v>22</v>
      </c>
      <c r="B126" t="s">
        <v>21</v>
      </c>
      <c r="E126" s="4">
        <f ca="1">_xll.RtGet("IDN",D126,"MID_IV_NOR")</f>
      </c>
    </row>
    <row r="127" spans="1:5" ht="20" x14ac:dyDescent="0.6">
      <c r="A127" t="s">
        <v>22</v>
      </c>
      <c r="B127" t="s">
        <v>22</v>
      </c>
      <c r="E127" s="4">
        <f ca="1">_xll.RtGet("IDN",D127,"MID_IV_NOR")</f>
      </c>
    </row>
    <row r="128" spans="1:5" ht="20" x14ac:dyDescent="0.6">
      <c r="A128" t="s">
        <v>22</v>
      </c>
      <c r="B128" t="s">
        <v>23</v>
      </c>
      <c r="E128" s="4">
        <f ca="1">_xll.RtGet("IDN",D128,"MID_IV_NOR")</f>
      </c>
    </row>
    <row r="129" spans="1:5" ht="20" x14ac:dyDescent="0.6">
      <c r="A129" t="s">
        <v>22</v>
      </c>
      <c r="B129" t="s">
        <v>24</v>
      </c>
      <c r="E129" s="4">
        <f ca="1">_xll.RtGet("IDN",D129,"MID_IV_NOR")</f>
      </c>
    </row>
    <row r="130" spans="1:5" ht="20" x14ac:dyDescent="0.6">
      <c r="A130" t="s">
        <v>22</v>
      </c>
      <c r="B130" t="s">
        <v>25</v>
      </c>
      <c r="E130" s="4">
        <f ca="1">_xll.RtGet("IDN",D130,"MID_IV_NOR")</f>
      </c>
    </row>
    <row r="131" spans="1:5" ht="20" x14ac:dyDescent="0.6">
      <c r="A131" t="s">
        <v>22</v>
      </c>
      <c r="B131" t="s">
        <v>26</v>
      </c>
      <c r="E131" s="4">
        <f ca="1">_xll.RtGet("IDN",D131,"MID_IV_NOR")</f>
      </c>
    </row>
    <row r="132" spans="1:5" ht="20" x14ac:dyDescent="0.6">
      <c r="A132" t="s">
        <v>22</v>
      </c>
      <c r="B132" t="s">
        <v>29</v>
      </c>
      <c r="E132" s="4">
        <f ca="1">_xll.RtGet("IDN",D132,"MID_IV_NOR")</f>
      </c>
    </row>
    <row r="133" spans="1:5" ht="20" x14ac:dyDescent="0.6">
      <c r="A133" t="s">
        <v>22</v>
      </c>
      <c r="B133" t="s">
        <v>30</v>
      </c>
      <c r="E133" s="4">
        <f ca="1">_xll.RtGet("IDN",D133,"MID_IV_NOR")</f>
      </c>
    </row>
    <row r="134" spans="1:5" ht="20" x14ac:dyDescent="0.6">
      <c r="A134" t="s">
        <v>23</v>
      </c>
      <c r="B134" t="s">
        <v>48</v>
      </c>
      <c r="E134" s="4">
        <f ca="1">_xll.RtGet("IDN",D134,"MID_IV_NOR")</f>
      </c>
    </row>
    <row r="135" spans="1:5" ht="20" x14ac:dyDescent="0.6">
      <c r="A135" t="s">
        <v>23</v>
      </c>
      <c r="B135" t="s">
        <v>49</v>
      </c>
      <c r="E135" s="4">
        <f ca="1">_xll.RtGet("IDN",D135,"MID_IV_NOR")</f>
      </c>
    </row>
    <row r="136" spans="1:5" ht="20" x14ac:dyDescent="0.6">
      <c r="A136" t="s">
        <v>23</v>
      </c>
      <c r="B136" t="s">
        <v>50</v>
      </c>
      <c r="E136" s="4">
        <f ca="1">_xll.RtGet("IDN",D136,"MID_IV_NOR")</f>
      </c>
    </row>
    <row r="137" spans="1:5" ht="20" x14ac:dyDescent="0.6">
      <c r="A137" t="s">
        <v>23</v>
      </c>
      <c r="B137" t="s">
        <v>20</v>
      </c>
      <c r="E137" s="4">
        <f ca="1">_xll.RtGet("IDN",D137,"MID_IV_NOR")</f>
      </c>
    </row>
    <row r="138" spans="1:5" ht="20" x14ac:dyDescent="0.6">
      <c r="A138" t="s">
        <v>23</v>
      </c>
      <c r="B138" t="s">
        <v>21</v>
      </c>
      <c r="E138" s="4">
        <f ca="1">_xll.RtGet("IDN",D138,"MID_IV_NOR")</f>
      </c>
    </row>
    <row r="139" spans="1:5" ht="20" x14ac:dyDescent="0.6">
      <c r="A139" t="s">
        <v>23</v>
      </c>
      <c r="B139" t="s">
        <v>22</v>
      </c>
      <c r="E139" s="4">
        <f ca="1">_xll.RtGet("IDN",D139,"MID_IV_NOR")</f>
      </c>
    </row>
    <row r="140" spans="1:5" ht="20" x14ac:dyDescent="0.6">
      <c r="A140" t="s">
        <v>23</v>
      </c>
      <c r="B140" t="s">
        <v>23</v>
      </c>
      <c r="E140" s="4">
        <f ca="1">_xll.RtGet("IDN",D140,"MID_IV_NOR")</f>
      </c>
    </row>
    <row r="141" spans="1:5" ht="20" x14ac:dyDescent="0.6">
      <c r="A141" t="s">
        <v>23</v>
      </c>
      <c r="B141" t="s">
        <v>24</v>
      </c>
      <c r="E141" s="4">
        <f ca="1">_xll.RtGet("IDN",D141,"MID_IV_NOR")</f>
      </c>
    </row>
    <row r="142" spans="1:5" ht="20" x14ac:dyDescent="0.6">
      <c r="A142" t="s">
        <v>23</v>
      </c>
      <c r="B142" t="s">
        <v>25</v>
      </c>
      <c r="E142" s="4">
        <f ca="1">_xll.RtGet("IDN",D142,"MID_IV_NOR")</f>
      </c>
    </row>
    <row r="143" spans="1:5" ht="20" x14ac:dyDescent="0.6">
      <c r="A143" t="s">
        <v>23</v>
      </c>
      <c r="B143" t="s">
        <v>26</v>
      </c>
      <c r="E143" s="4">
        <f ca="1">_xll.RtGet("IDN",D143,"MID_IV_NOR")</f>
      </c>
    </row>
    <row r="144" spans="1:5" ht="20" x14ac:dyDescent="0.6">
      <c r="A144" t="s">
        <v>23</v>
      </c>
      <c r="B144" t="s">
        <v>29</v>
      </c>
      <c r="E144" s="4">
        <f ca="1">_xll.RtGet("IDN",D144,"MID_IV_NOR")</f>
      </c>
    </row>
    <row r="145" spans="1:5" ht="20" x14ac:dyDescent="0.6">
      <c r="A145" t="s">
        <v>23</v>
      </c>
      <c r="B145" t="s">
        <v>30</v>
      </c>
      <c r="E145" s="4">
        <f ca="1">_xll.RtGet("IDN",D145,"MID_IV_NOR")</f>
      </c>
    </row>
    <row r="146" spans="1:5" ht="20" x14ac:dyDescent="0.6">
      <c r="A146" t="s">
        <v>25</v>
      </c>
      <c r="B146" t="s">
        <v>48</v>
      </c>
      <c r="E146" s="4">
        <f ca="1">_xll.RtGet("IDN",D146,"MID_IV_NOR")</f>
      </c>
    </row>
    <row r="147" spans="1:5" ht="20" x14ac:dyDescent="0.6">
      <c r="A147" t="s">
        <v>25</v>
      </c>
      <c r="B147" t="s">
        <v>49</v>
      </c>
      <c r="E147" s="4">
        <f ca="1">_xll.RtGet("IDN",D147,"MID_IV_NOR")</f>
      </c>
    </row>
    <row r="148" spans="1:5" ht="20" x14ac:dyDescent="0.6">
      <c r="A148" t="s">
        <v>25</v>
      </c>
      <c r="B148" t="s">
        <v>50</v>
      </c>
      <c r="E148" s="4">
        <f ca="1">_xll.RtGet("IDN",D148,"MID_IV_NOR")</f>
      </c>
    </row>
    <row r="149" spans="1:5" ht="20" x14ac:dyDescent="0.6">
      <c r="A149" t="s">
        <v>25</v>
      </c>
      <c r="B149" t="s">
        <v>20</v>
      </c>
      <c r="E149" s="4">
        <f ca="1">_xll.RtGet("IDN",D149,"MID_IV_NOR")</f>
      </c>
    </row>
    <row r="150" spans="1:5" ht="20" x14ac:dyDescent="0.6">
      <c r="A150" t="s">
        <v>25</v>
      </c>
      <c r="B150" t="s">
        <v>21</v>
      </c>
      <c r="E150" s="4">
        <f ca="1">_xll.RtGet("IDN",D150,"MID_IV_NOR")</f>
      </c>
    </row>
    <row r="151" spans="1:5" ht="20" x14ac:dyDescent="0.6">
      <c r="A151" t="s">
        <v>25</v>
      </c>
      <c r="B151" t="s">
        <v>22</v>
      </c>
      <c r="E151" s="4">
        <f ca="1">_xll.RtGet("IDN",D151,"MID_IV_NOR")</f>
      </c>
    </row>
    <row r="152" spans="1:5" ht="20" x14ac:dyDescent="0.6">
      <c r="A152" t="s">
        <v>25</v>
      </c>
      <c r="B152" t="s">
        <v>23</v>
      </c>
      <c r="E152" s="4">
        <f ca="1">_xll.RtGet("IDN",D152,"MID_IV_NOR")</f>
      </c>
    </row>
    <row r="153" spans="1:5" ht="20" x14ac:dyDescent="0.6">
      <c r="A153" t="s">
        <v>25</v>
      </c>
      <c r="B153" t="s">
        <v>24</v>
      </c>
      <c r="E153" s="4">
        <f ca="1">_xll.RtGet("IDN",D153,"MID_IV_NOR")</f>
      </c>
    </row>
    <row r="154" spans="1:5" ht="20" x14ac:dyDescent="0.6">
      <c r="A154" t="s">
        <v>25</v>
      </c>
      <c r="B154" t="s">
        <v>25</v>
      </c>
      <c r="E154" s="4">
        <f ca="1">_xll.RtGet("IDN",D154,"MID_IV_NOR")</f>
      </c>
    </row>
    <row r="155" spans="1:5" ht="20" x14ac:dyDescent="0.6">
      <c r="A155" t="s">
        <v>25</v>
      </c>
      <c r="B155" t="s">
        <v>26</v>
      </c>
      <c r="E155" s="4">
        <f ca="1">_xll.RtGet("IDN",D155,"MID_IV_NOR")</f>
      </c>
    </row>
    <row r="156" spans="1:5" ht="20" x14ac:dyDescent="0.6">
      <c r="A156" t="s">
        <v>25</v>
      </c>
      <c r="B156" t="s">
        <v>29</v>
      </c>
      <c r="E156" s="4">
        <f ca="1">_xll.RtGet("IDN",D156,"MID_IV_NOR")</f>
      </c>
    </row>
    <row r="157" spans="1:5" ht="20" x14ac:dyDescent="0.6">
      <c r="A157" t="s">
        <v>25</v>
      </c>
      <c r="B157" t="s">
        <v>30</v>
      </c>
      <c r="E157" s="4">
        <f ca="1">_xll.RtGet("IDN",D157,"MID_IV_NOR")</f>
      </c>
    </row>
    <row r="158" spans="1:5" ht="20" x14ac:dyDescent="0.6">
      <c r="A158" t="s">
        <v>26</v>
      </c>
      <c r="B158" t="s">
        <v>48</v>
      </c>
      <c r="E158" s="4">
        <f ca="1">_xll.RtGet("IDN",D158,"MID_IV_NOR")</f>
      </c>
    </row>
    <row r="159" spans="1:5" ht="20" x14ac:dyDescent="0.6">
      <c r="A159" t="s">
        <v>26</v>
      </c>
      <c r="B159" t="s">
        <v>49</v>
      </c>
      <c r="E159" s="4">
        <f ca="1">_xll.RtGet("IDN",D159,"MID_IV_NOR")</f>
      </c>
    </row>
    <row r="160" spans="1:5" ht="20" x14ac:dyDescent="0.6">
      <c r="A160" t="s">
        <v>26</v>
      </c>
      <c r="B160" t="s">
        <v>50</v>
      </c>
      <c r="E160" s="4">
        <f ca="1">_xll.RtGet("IDN",D160,"MID_IV_NOR")</f>
      </c>
    </row>
    <row r="161" spans="1:5" ht="20" x14ac:dyDescent="0.6">
      <c r="A161" t="s">
        <v>26</v>
      </c>
      <c r="B161" t="s">
        <v>20</v>
      </c>
      <c r="E161" s="4">
        <f ca="1">_xll.RtGet("IDN",D161,"MID_IV_NOR")</f>
      </c>
    </row>
    <row r="162" spans="1:5" ht="20" x14ac:dyDescent="0.6">
      <c r="A162" t="s">
        <v>26</v>
      </c>
      <c r="B162" t="s">
        <v>21</v>
      </c>
      <c r="E162" s="4">
        <f ca="1">_xll.RtGet("IDN",D162,"MID_IV_NOR")</f>
      </c>
    </row>
    <row r="163" spans="1:5" ht="20" x14ac:dyDescent="0.6">
      <c r="A163" t="s">
        <v>26</v>
      </c>
      <c r="B163" t="s">
        <v>22</v>
      </c>
      <c r="E163" s="4">
        <f ca="1">_xll.RtGet("IDN",D163,"MID_IV_NOR")</f>
      </c>
    </row>
    <row r="164" spans="1:5" ht="20" x14ac:dyDescent="0.6">
      <c r="A164" t="s">
        <v>26</v>
      </c>
      <c r="B164" t="s">
        <v>23</v>
      </c>
      <c r="E164" s="4">
        <f ca="1">_xll.RtGet("IDN",D164,"MID_IV_NOR")</f>
      </c>
    </row>
    <row r="165" spans="1:5" ht="20" x14ac:dyDescent="0.6">
      <c r="A165" t="s">
        <v>26</v>
      </c>
      <c r="B165" t="s">
        <v>24</v>
      </c>
      <c r="E165" s="4">
        <f ca="1">_xll.RtGet("IDN",D165,"MID_IV_NOR")</f>
      </c>
    </row>
    <row r="166" spans="1:5" ht="20" x14ac:dyDescent="0.6">
      <c r="A166" t="s">
        <v>26</v>
      </c>
      <c r="B166" t="s">
        <v>25</v>
      </c>
      <c r="E166" s="4">
        <f ca="1">_xll.RtGet("IDN",D166,"MID_IV_NOR")</f>
      </c>
    </row>
    <row r="167" spans="1:5" ht="20" x14ac:dyDescent="0.6">
      <c r="A167" t="s">
        <v>26</v>
      </c>
      <c r="B167" t="s">
        <v>26</v>
      </c>
      <c r="E167" s="4">
        <f ca="1">_xll.RtGet("IDN",D167,"MID_IV_NOR")</f>
      </c>
    </row>
    <row r="168" spans="1:5" ht="20" x14ac:dyDescent="0.6">
      <c r="A168" t="s">
        <v>26</v>
      </c>
      <c r="B168" t="s">
        <v>29</v>
      </c>
      <c r="E168" s="4">
        <f ca="1">_xll.RtGet("IDN",D168,"MID_IV_NOR")</f>
      </c>
    </row>
    <row r="169" spans="1:5" ht="20" x14ac:dyDescent="0.6">
      <c r="A169" t="s">
        <v>26</v>
      </c>
      <c r="B169" t="s">
        <v>30</v>
      </c>
      <c r="E169" s="4">
        <f ca="1">_xll.RtGet("IDN",D169,"MID_IV_NOR")</f>
      </c>
    </row>
    <row r="170" spans="1:5" ht="20" x14ac:dyDescent="0.6">
      <c r="A170" t="s">
        <v>29</v>
      </c>
      <c r="B170" t="s">
        <v>48</v>
      </c>
      <c r="E170" s="4">
        <f ca="1">_xll.RtGet("IDN",D170,"MID_IV_NOR")</f>
      </c>
    </row>
    <row r="171" spans="1:5" ht="20" x14ac:dyDescent="0.6">
      <c r="A171" t="s">
        <v>29</v>
      </c>
      <c r="B171" t="s">
        <v>49</v>
      </c>
      <c r="E171" s="4">
        <f ca="1">_xll.RtGet("IDN",D171,"MID_IV_NOR")</f>
      </c>
    </row>
    <row r="172" spans="1:5" ht="20" x14ac:dyDescent="0.6">
      <c r="A172" t="s">
        <v>29</v>
      </c>
      <c r="B172" t="s">
        <v>50</v>
      </c>
      <c r="E172" s="4">
        <f ca="1">_xll.RtGet("IDN",D172,"MID_IV_NOR")</f>
      </c>
    </row>
    <row r="173" spans="1:5" ht="20" x14ac:dyDescent="0.6">
      <c r="A173" t="s">
        <v>29</v>
      </c>
      <c r="B173" t="s">
        <v>20</v>
      </c>
      <c r="E173" s="4">
        <f ca="1">_xll.RtGet("IDN",D173,"MID_IV_NOR")</f>
      </c>
    </row>
    <row r="174" spans="1:5" ht="20" x14ac:dyDescent="0.6">
      <c r="A174" t="s">
        <v>29</v>
      </c>
      <c r="B174" t="s">
        <v>21</v>
      </c>
      <c r="E174" s="4">
        <f ca="1">_xll.RtGet("IDN",D174,"MID_IV_NOR")</f>
      </c>
    </row>
    <row r="175" spans="1:5" ht="20" x14ac:dyDescent="0.6">
      <c r="A175" t="s">
        <v>29</v>
      </c>
      <c r="B175" t="s">
        <v>22</v>
      </c>
      <c r="E175" s="4">
        <f ca="1">_xll.RtGet("IDN",D175,"MID_IV_NOR")</f>
      </c>
    </row>
    <row r="176" spans="1:5" ht="20" x14ac:dyDescent="0.6">
      <c r="A176" t="s">
        <v>29</v>
      </c>
      <c r="B176" t="s">
        <v>23</v>
      </c>
      <c r="E176" s="4">
        <f ca="1">_xll.RtGet("IDN",D176,"MID_IV_NOR")</f>
      </c>
    </row>
    <row r="177" spans="1:5" ht="20" x14ac:dyDescent="0.6">
      <c r="A177" t="s">
        <v>29</v>
      </c>
      <c r="B177" t="s">
        <v>24</v>
      </c>
      <c r="E177" s="4">
        <f ca="1">_xll.RtGet("IDN",D177,"MID_IV_NOR")</f>
      </c>
    </row>
    <row r="178" spans="1:5" ht="20" x14ac:dyDescent="0.6">
      <c r="A178" t="s">
        <v>29</v>
      </c>
      <c r="B178" t="s">
        <v>25</v>
      </c>
      <c r="E178" s="4">
        <f ca="1">_xll.RtGet("IDN",D178,"MID_IV_NOR")</f>
      </c>
    </row>
    <row r="179" spans="1:5" ht="20" x14ac:dyDescent="0.6">
      <c r="A179" t="s">
        <v>29</v>
      </c>
      <c r="B179" t="s">
        <v>26</v>
      </c>
      <c r="E179" s="4">
        <f ca="1">_xll.RtGet("IDN",D179,"MID_IV_NOR")</f>
      </c>
    </row>
    <row r="180" spans="1:5" ht="20" x14ac:dyDescent="0.6">
      <c r="A180" t="s">
        <v>29</v>
      </c>
      <c r="B180" t="s">
        <v>29</v>
      </c>
      <c r="E180" s="4">
        <f ca="1">_xll.RtGet("IDN",D180,"MID_IV_NOR")</f>
      </c>
    </row>
    <row r="181" spans="1:5" ht="20" x14ac:dyDescent="0.6">
      <c r="A181" t="s">
        <v>29</v>
      </c>
      <c r="B181" t="s">
        <v>30</v>
      </c>
      <c r="E181" s="4">
        <f ca="1">_xll.RtGet("IDN",D181,"MID_IV_NOR")</f>
      </c>
    </row>
    <row r="182" spans="1:5" ht="20" x14ac:dyDescent="0.6">
      <c r="A182" t="s">
        <v>30</v>
      </c>
      <c r="B182" t="s">
        <v>48</v>
      </c>
      <c r="E182" s="4">
        <f ca="1">_xll.RtGet("IDN",D182,"MID_IV_NOR")</f>
      </c>
    </row>
    <row r="183" spans="1:5" ht="20" x14ac:dyDescent="0.6">
      <c r="A183" t="s">
        <v>30</v>
      </c>
      <c r="B183" t="s">
        <v>49</v>
      </c>
      <c r="E183" s="4">
        <f ca="1">_xll.RtGet("IDN",D183,"MID_IV_NOR")</f>
      </c>
    </row>
    <row r="184" spans="1:5" ht="20" x14ac:dyDescent="0.6">
      <c r="A184" t="s">
        <v>30</v>
      </c>
      <c r="B184" t="s">
        <v>50</v>
      </c>
      <c r="E184" s="4">
        <f ca="1">_xll.RtGet("IDN",D184,"MID_IV_NOR")</f>
      </c>
    </row>
    <row r="185" spans="1:5" ht="20" x14ac:dyDescent="0.6">
      <c r="A185" t="s">
        <v>30</v>
      </c>
      <c r="B185" t="s">
        <v>20</v>
      </c>
      <c r="E185" s="4">
        <f ca="1">_xll.RtGet("IDN",D185,"MID_IV_NOR")</f>
      </c>
    </row>
    <row r="186" spans="1:5" ht="20" x14ac:dyDescent="0.6">
      <c r="A186" t="s">
        <v>30</v>
      </c>
      <c r="B186" t="s">
        <v>21</v>
      </c>
      <c r="E186" s="4">
        <f ca="1">_xll.RtGet("IDN",D186,"MID_IV_NOR")</f>
      </c>
    </row>
    <row r="187" spans="1:5" ht="20" x14ac:dyDescent="0.6">
      <c r="A187" t="s">
        <v>30</v>
      </c>
      <c r="B187" t="s">
        <v>22</v>
      </c>
      <c r="E187" s="4">
        <f ca="1">_xll.RtGet("IDN",D187,"MID_IV_NOR")</f>
      </c>
    </row>
    <row r="188" spans="1:5" ht="20" x14ac:dyDescent="0.6">
      <c r="A188" t="s">
        <v>30</v>
      </c>
      <c r="B188" t="s">
        <v>23</v>
      </c>
      <c r="E188" s="4">
        <f ca="1">_xll.RtGet("IDN",D188,"MID_IV_NOR")</f>
      </c>
    </row>
    <row r="189" spans="1:5" ht="20" x14ac:dyDescent="0.6">
      <c r="A189" t="s">
        <v>30</v>
      </c>
      <c r="B189" t="s">
        <v>24</v>
      </c>
      <c r="E189" s="4">
        <f ca="1">_xll.RtGet("IDN",D189,"MID_IV_NOR")</f>
      </c>
    </row>
    <row r="190" spans="1:5" ht="20" x14ac:dyDescent="0.6">
      <c r="A190" t="s">
        <v>30</v>
      </c>
      <c r="B190" t="s">
        <v>25</v>
      </c>
      <c r="E190" s="4">
        <f ca="1">_xll.RtGet("IDN",D190,"MID_IV_NOR")</f>
      </c>
    </row>
    <row r="191" spans="1:5" ht="20" x14ac:dyDescent="0.6">
      <c r="A191" t="s">
        <v>30</v>
      </c>
      <c r="B191" t="s">
        <v>26</v>
      </c>
      <c r="E191" s="4">
        <f ca="1">_xll.RtGet("IDN",D191,"MID_IV_NOR")</f>
      </c>
    </row>
    <row r="192" spans="1:5" ht="20" x14ac:dyDescent="0.6">
      <c r="A192" t="s">
        <v>30</v>
      </c>
      <c r="B192" t="s">
        <v>29</v>
      </c>
      <c r="E192" s="4">
        <f ca="1">_xll.RtGet("IDN",D192,"MID_IV_NOR")</f>
      </c>
    </row>
    <row r="193" spans="1:5" ht="20" x14ac:dyDescent="0.6">
      <c r="A193" t="s">
        <v>30</v>
      </c>
      <c r="B193" t="s">
        <v>30</v>
      </c>
      <c r="E193" s="4">
        <f ca="1">_xll.RtGet("IDN",D193,"MID_IV_NOR")</f>
      </c>
    </row>
    <row r="194" spans="1:5" x14ac:dyDescent="0.55000000000000004">
      <c r="E194" s="3"/>
    </row>
    <row r="195" spans="1:5" x14ac:dyDescent="0.55000000000000004">
      <c r="E195" s="3"/>
    </row>
    <row r="196" spans="1:5" x14ac:dyDescent="0.55000000000000004">
      <c r="E196" s="3"/>
    </row>
    <row r="197" spans="1:5" x14ac:dyDescent="0.55000000000000004">
      <c r="E197" s="3"/>
    </row>
    <row r="198" spans="1:5" x14ac:dyDescent="0.55000000000000004">
      <c r="E198" s="3"/>
    </row>
    <row r="199" spans="1:5" x14ac:dyDescent="0.55000000000000004">
      <c r="E199" s="3"/>
    </row>
    <row r="200" spans="1:5" x14ac:dyDescent="0.55000000000000004">
      <c r="E200" s="3"/>
    </row>
    <row r="201" spans="1:5" x14ac:dyDescent="0.55000000000000004">
      <c r="E201" s="3"/>
    </row>
    <row r="202" spans="1:5" x14ac:dyDescent="0.55000000000000004">
      <c r="E202" s="3"/>
    </row>
    <row r="203" spans="1:5" x14ac:dyDescent="0.55000000000000004">
      <c r="E203" s="3"/>
    </row>
    <row r="204" spans="1:5" x14ac:dyDescent="0.55000000000000004">
      <c r="E204" s="3"/>
    </row>
    <row r="205" spans="1:5" x14ac:dyDescent="0.55000000000000004">
      <c r="E205" s="3"/>
    </row>
    <row r="206" spans="1:5" x14ac:dyDescent="0.55000000000000004">
      <c r="E206" s="3"/>
    </row>
    <row r="207" spans="1:5" x14ac:dyDescent="0.55000000000000004">
      <c r="E207" s="3"/>
    </row>
    <row r="208" spans="1:5" x14ac:dyDescent="0.55000000000000004">
      <c r="E208" s="3"/>
    </row>
    <row r="209" spans="5:5" x14ac:dyDescent="0.55000000000000004">
      <c r="E209" s="3"/>
    </row>
    <row r="210" spans="5:5" x14ac:dyDescent="0.55000000000000004">
      <c r="E210" s="3"/>
    </row>
    <row r="211" spans="5:5" x14ac:dyDescent="0.55000000000000004">
      <c r="E211" s="3"/>
    </row>
    <row r="212" spans="5:5" x14ac:dyDescent="0.55000000000000004">
      <c r="E212" s="3"/>
    </row>
    <row r="213" spans="5:5" x14ac:dyDescent="0.55000000000000004">
      <c r="E213" s="3"/>
    </row>
    <row r="214" spans="5:5" x14ac:dyDescent="0.55000000000000004">
      <c r="E214" s="3"/>
    </row>
    <row r="215" spans="5:5" x14ac:dyDescent="0.55000000000000004">
      <c r="E215" s="3"/>
    </row>
    <row r="216" spans="5:5" x14ac:dyDescent="0.55000000000000004">
      <c r="E216" s="3"/>
    </row>
    <row r="217" spans="5:5" x14ac:dyDescent="0.55000000000000004">
      <c r="E217" s="3"/>
    </row>
    <row r="218" spans="5:5" x14ac:dyDescent="0.55000000000000004">
      <c r="E218" s="3"/>
    </row>
    <row r="219" spans="5:5" x14ac:dyDescent="0.55000000000000004">
      <c r="E219" s="3"/>
    </row>
    <row r="220" spans="5:5" x14ac:dyDescent="0.55000000000000004">
      <c r="E220" s="3"/>
    </row>
    <row r="221" spans="5:5" x14ac:dyDescent="0.55000000000000004">
      <c r="E221" s="3"/>
    </row>
    <row r="222" spans="5:5" x14ac:dyDescent="0.55000000000000004">
      <c r="E222" s="3"/>
    </row>
    <row r="223" spans="5:5" x14ac:dyDescent="0.55000000000000004">
      <c r="E223" s="3"/>
    </row>
    <row r="224" spans="5:5" x14ac:dyDescent="0.55000000000000004">
      <c r="E224" s="3"/>
    </row>
    <row r="225" spans="5:5" x14ac:dyDescent="0.55000000000000004">
      <c r="E225" s="3"/>
    </row>
    <row r="226" spans="5:5" x14ac:dyDescent="0.55000000000000004">
      <c r="E226" s="3"/>
    </row>
    <row r="227" spans="5:5" x14ac:dyDescent="0.55000000000000004">
      <c r="E227" s="3"/>
    </row>
    <row r="228" spans="5:5" x14ac:dyDescent="0.55000000000000004">
      <c r="E228" s="3"/>
    </row>
    <row r="229" spans="5:5" x14ac:dyDescent="0.55000000000000004">
      <c r="E229" s="3"/>
    </row>
    <row r="230" spans="5:5" x14ac:dyDescent="0.55000000000000004">
      <c r="E230" s="3"/>
    </row>
    <row r="231" spans="5:5" x14ac:dyDescent="0.55000000000000004">
      <c r="E231" s="3"/>
    </row>
    <row r="232" spans="5:5" x14ac:dyDescent="0.55000000000000004">
      <c r="E232" s="3"/>
    </row>
    <row r="233" spans="5:5" x14ac:dyDescent="0.55000000000000004">
      <c r="E233" s="3"/>
    </row>
    <row r="234" spans="5:5" x14ac:dyDescent="0.55000000000000004">
      <c r="E234" s="3"/>
    </row>
    <row r="235" spans="5:5" x14ac:dyDescent="0.55000000000000004">
      <c r="E235" s="3"/>
    </row>
    <row r="236" spans="5:5" x14ac:dyDescent="0.55000000000000004">
      <c r="E236" s="3"/>
    </row>
    <row r="237" spans="5:5" x14ac:dyDescent="0.55000000000000004">
      <c r="E237" s="3"/>
    </row>
    <row r="238" spans="5:5" x14ac:dyDescent="0.55000000000000004">
      <c r="E238" s="3"/>
    </row>
    <row r="239" spans="5:5" x14ac:dyDescent="0.55000000000000004">
      <c r="E239" s="3"/>
    </row>
    <row r="240" spans="5:5" x14ac:dyDescent="0.55000000000000004">
      <c r="E240" s="3"/>
    </row>
    <row r="241" spans="5:5" x14ac:dyDescent="0.55000000000000004">
      <c r="E241" s="3"/>
    </row>
    <row r="242" spans="5:5" x14ac:dyDescent="0.55000000000000004">
      <c r="E242" s="3"/>
    </row>
    <row r="243" spans="5:5" x14ac:dyDescent="0.55000000000000004">
      <c r="E243" s="3"/>
    </row>
    <row r="244" spans="5:5" x14ac:dyDescent="0.55000000000000004">
      <c r="E244" s="3"/>
    </row>
    <row r="245" spans="5:5" x14ac:dyDescent="0.55000000000000004">
      <c r="E245" s="3"/>
    </row>
    <row r="246" spans="5:5" x14ac:dyDescent="0.55000000000000004">
      <c r="E246" s="3"/>
    </row>
    <row r="247" spans="5:5" x14ac:dyDescent="0.55000000000000004">
      <c r="E247" s="3"/>
    </row>
    <row r="248" spans="5:5" x14ac:dyDescent="0.55000000000000004">
      <c r="E248" s="3"/>
    </row>
    <row r="249" spans="5:5" x14ac:dyDescent="0.55000000000000004">
      <c r="E249" s="3"/>
    </row>
    <row r="250" spans="5:5" x14ac:dyDescent="0.55000000000000004">
      <c r="E250" s="3"/>
    </row>
    <row r="251" spans="5:5" x14ac:dyDescent="0.55000000000000004">
      <c r="E251" s="3"/>
    </row>
    <row r="252" spans="5:5" x14ac:dyDescent="0.55000000000000004">
      <c r="E252" s="3"/>
    </row>
    <row r="253" spans="5:5" x14ac:dyDescent="0.55000000000000004">
      <c r="E253" s="3"/>
    </row>
    <row r="254" spans="5:5" x14ac:dyDescent="0.55000000000000004">
      <c r="E254" s="3"/>
    </row>
    <row r="255" spans="5:5" x14ac:dyDescent="0.55000000000000004">
      <c r="E255" s="3"/>
    </row>
    <row r="256" spans="5:5" x14ac:dyDescent="0.55000000000000004">
      <c r="E256" s="3"/>
    </row>
    <row r="257" spans="5:5" x14ac:dyDescent="0.55000000000000004">
      <c r="E257" s="3"/>
    </row>
    <row r="258" spans="5:5" x14ac:dyDescent="0.55000000000000004">
      <c r="E258" s="3"/>
    </row>
    <row r="259" spans="5:5" x14ac:dyDescent="0.55000000000000004">
      <c r="E259" s="3"/>
    </row>
    <row r="260" spans="5:5" x14ac:dyDescent="0.55000000000000004">
      <c r="E260" s="3"/>
    </row>
    <row r="261" spans="5:5" x14ac:dyDescent="0.55000000000000004">
      <c r="E261" s="3"/>
    </row>
    <row r="262" spans="5:5" x14ac:dyDescent="0.55000000000000004">
      <c r="E262" s="3"/>
    </row>
    <row r="263" spans="5:5" x14ac:dyDescent="0.55000000000000004">
      <c r="E263" s="3"/>
    </row>
    <row r="264" spans="5:5" x14ac:dyDescent="0.55000000000000004">
      <c r="E264" s="3"/>
    </row>
    <row r="265" spans="5:5" x14ac:dyDescent="0.55000000000000004">
      <c r="E265" s="3"/>
    </row>
    <row r="266" spans="5:5" x14ac:dyDescent="0.55000000000000004">
      <c r="E266" s="3"/>
    </row>
    <row r="267" spans="5:5" x14ac:dyDescent="0.55000000000000004">
      <c r="E267" s="3"/>
    </row>
    <row r="268" spans="5:5" x14ac:dyDescent="0.55000000000000004">
      <c r="E268" s="3"/>
    </row>
    <row r="269" spans="5:5" x14ac:dyDescent="0.55000000000000004">
      <c r="E269" s="3"/>
    </row>
    <row r="270" spans="5:5" x14ac:dyDescent="0.55000000000000004">
      <c r="E270" s="3"/>
    </row>
    <row r="271" spans="5:5" x14ac:dyDescent="0.55000000000000004">
      <c r="E271" s="3"/>
    </row>
    <row r="272" spans="5:5" x14ac:dyDescent="0.55000000000000004">
      <c r="E272" s="3"/>
    </row>
    <row r="273" spans="5:5" x14ac:dyDescent="0.55000000000000004">
      <c r="E273" s="3"/>
    </row>
    <row r="274" spans="5:5" x14ac:dyDescent="0.55000000000000004">
      <c r="E274" s="3"/>
    </row>
    <row r="275" spans="5:5" x14ac:dyDescent="0.55000000000000004">
      <c r="E275" s="3"/>
    </row>
    <row r="276" spans="5:5" x14ac:dyDescent="0.55000000000000004">
      <c r="E276" s="3"/>
    </row>
    <row r="277" spans="5:5" x14ac:dyDescent="0.55000000000000004">
      <c r="E277" s="3"/>
    </row>
    <row r="278" spans="5:5" x14ac:dyDescent="0.55000000000000004">
      <c r="E278" s="3"/>
    </row>
    <row r="279" spans="5:5" x14ac:dyDescent="0.55000000000000004">
      <c r="E279" s="3"/>
    </row>
    <row r="280" spans="5:5" x14ac:dyDescent="0.55000000000000004">
      <c r="E280" s="3"/>
    </row>
    <row r="281" spans="5:5" x14ac:dyDescent="0.55000000000000004">
      <c r="E281" s="3"/>
    </row>
    <row r="282" spans="5:5" x14ac:dyDescent="0.55000000000000004">
      <c r="E282" s="3"/>
    </row>
    <row r="283" spans="5:5" x14ac:dyDescent="0.55000000000000004">
      <c r="E283" s="3"/>
    </row>
    <row r="284" spans="5:5" x14ac:dyDescent="0.55000000000000004">
      <c r="E284" s="3"/>
    </row>
    <row r="285" spans="5:5" x14ac:dyDescent="0.55000000000000004">
      <c r="E285" s="3"/>
    </row>
    <row r="286" spans="5:5" x14ac:dyDescent="0.55000000000000004">
      <c r="E286" s="3"/>
    </row>
    <row r="287" spans="5:5" x14ac:dyDescent="0.55000000000000004">
      <c r="E287" s="3"/>
    </row>
    <row r="288" spans="5:5" x14ac:dyDescent="0.55000000000000004">
      <c r="E288" s="3"/>
    </row>
    <row r="289" spans="5:5" x14ac:dyDescent="0.55000000000000004">
      <c r="E289" s="3"/>
    </row>
    <row r="290" spans="5:5" x14ac:dyDescent="0.55000000000000004">
      <c r="E290" s="3"/>
    </row>
    <row r="291" spans="5:5" x14ac:dyDescent="0.55000000000000004">
      <c r="E291" s="3"/>
    </row>
    <row r="292" spans="5:5" x14ac:dyDescent="0.55000000000000004">
      <c r="E292" s="3"/>
    </row>
    <row r="293" spans="5:5" x14ac:dyDescent="0.55000000000000004">
      <c r="E293" s="3"/>
    </row>
    <row r="294" spans="5:5" x14ac:dyDescent="0.55000000000000004">
      <c r="E294" s="3"/>
    </row>
    <row r="295" spans="5:5" x14ac:dyDescent="0.55000000000000004">
      <c r="E295" s="3"/>
    </row>
    <row r="296" spans="5:5" x14ac:dyDescent="0.55000000000000004">
      <c r="E296" s="3"/>
    </row>
    <row r="297" spans="5:5" x14ac:dyDescent="0.55000000000000004">
      <c r="E297" s="3"/>
    </row>
    <row r="298" spans="5:5" x14ac:dyDescent="0.55000000000000004">
      <c r="E298" s="3"/>
    </row>
    <row r="299" spans="5:5" x14ac:dyDescent="0.55000000000000004">
      <c r="E299" s="3"/>
    </row>
    <row r="300" spans="5:5" x14ac:dyDescent="0.55000000000000004">
      <c r="E300" s="3"/>
    </row>
    <row r="301" spans="5:5" x14ac:dyDescent="0.55000000000000004">
      <c r="E301" s="3"/>
    </row>
    <row r="302" spans="5:5" x14ac:dyDescent="0.55000000000000004">
      <c r="E302" s="3"/>
    </row>
    <row r="303" spans="5:5" x14ac:dyDescent="0.55000000000000004">
      <c r="E303" s="3"/>
    </row>
    <row r="304" spans="5:5" x14ac:dyDescent="0.55000000000000004">
      <c r="E304" s="3"/>
    </row>
    <row r="305" spans="5:5" x14ac:dyDescent="0.55000000000000004">
      <c r="E305" s="3"/>
    </row>
    <row r="306" spans="5:5" x14ac:dyDescent="0.55000000000000004">
      <c r="E306" s="3"/>
    </row>
    <row r="307" spans="5:5" x14ac:dyDescent="0.55000000000000004">
      <c r="E307" s="3"/>
    </row>
    <row r="308" spans="5:5" x14ac:dyDescent="0.55000000000000004">
      <c r="E308" s="3"/>
    </row>
    <row r="309" spans="5:5" x14ac:dyDescent="0.55000000000000004">
      <c r="E309" s="3"/>
    </row>
    <row r="310" spans="5:5" x14ac:dyDescent="0.55000000000000004">
      <c r="E310" s="3"/>
    </row>
    <row r="311" spans="5:5" x14ac:dyDescent="0.55000000000000004">
      <c r="E311" s="3"/>
    </row>
    <row r="312" spans="5:5" x14ac:dyDescent="0.55000000000000004">
      <c r="E312" s="3"/>
    </row>
    <row r="313" spans="5:5" x14ac:dyDescent="0.55000000000000004">
      <c r="E313" s="3"/>
    </row>
    <row r="314" spans="5:5" x14ac:dyDescent="0.55000000000000004">
      <c r="E314" s="3"/>
    </row>
    <row r="315" spans="5:5" x14ac:dyDescent="0.55000000000000004">
      <c r="E315" s="3"/>
    </row>
    <row r="316" spans="5:5" x14ac:dyDescent="0.55000000000000004">
      <c r="E316" s="3"/>
    </row>
    <row r="317" spans="5:5" x14ac:dyDescent="0.55000000000000004">
      <c r="E317" s="3"/>
    </row>
    <row r="318" spans="5:5" x14ac:dyDescent="0.55000000000000004">
      <c r="E318" s="3"/>
    </row>
    <row r="319" spans="5:5" x14ac:dyDescent="0.55000000000000004">
      <c r="E319" s="3"/>
    </row>
    <row r="320" spans="5:5" x14ac:dyDescent="0.55000000000000004">
      <c r="E320" s="3"/>
    </row>
    <row r="321" spans="5:5" x14ac:dyDescent="0.55000000000000004">
      <c r="E321" s="3"/>
    </row>
    <row r="322" spans="5:5" x14ac:dyDescent="0.55000000000000004">
      <c r="E322" s="3"/>
    </row>
    <row r="323" spans="5:5" x14ac:dyDescent="0.55000000000000004">
      <c r="E323" s="3"/>
    </row>
    <row r="324" spans="5:5" x14ac:dyDescent="0.55000000000000004">
      <c r="E324" s="3"/>
    </row>
    <row r="325" spans="5:5" x14ac:dyDescent="0.55000000000000004">
      <c r="E325" s="3"/>
    </row>
    <row r="326" spans="5:5" x14ac:dyDescent="0.55000000000000004">
      <c r="E326" s="3"/>
    </row>
    <row r="327" spans="5:5" x14ac:dyDescent="0.55000000000000004">
      <c r="E327" s="3"/>
    </row>
    <row r="328" spans="5:5" x14ac:dyDescent="0.55000000000000004">
      <c r="E328" s="3"/>
    </row>
    <row r="329" spans="5:5" x14ac:dyDescent="0.55000000000000004">
      <c r="E329" s="3"/>
    </row>
    <row r="330" spans="5:5" x14ac:dyDescent="0.55000000000000004">
      <c r="E330" s="3"/>
    </row>
    <row r="331" spans="5:5" x14ac:dyDescent="0.55000000000000004">
      <c r="E331" s="3"/>
    </row>
    <row r="332" spans="5:5" x14ac:dyDescent="0.55000000000000004">
      <c r="E332" s="3"/>
    </row>
    <row r="333" spans="5:5" x14ac:dyDescent="0.55000000000000004">
      <c r="E333" s="3"/>
    </row>
    <row r="334" spans="5:5" x14ac:dyDescent="0.55000000000000004">
      <c r="E334" s="3"/>
    </row>
    <row r="335" spans="5:5" x14ac:dyDescent="0.55000000000000004">
      <c r="E335" s="3"/>
    </row>
    <row r="336" spans="5:5" x14ac:dyDescent="0.55000000000000004">
      <c r="E336" s="3"/>
    </row>
    <row r="337" spans="5:5" x14ac:dyDescent="0.55000000000000004">
      <c r="E337" s="3"/>
    </row>
    <row r="338" spans="5:5" x14ac:dyDescent="0.55000000000000004">
      <c r="E338" s="3"/>
    </row>
    <row r="339" spans="5:5" x14ac:dyDescent="0.55000000000000004">
      <c r="E339" s="3"/>
    </row>
    <row r="340" spans="5:5" x14ac:dyDescent="0.55000000000000004">
      <c r="E340" s="3"/>
    </row>
    <row r="341" spans="5:5" x14ac:dyDescent="0.55000000000000004">
      <c r="E341" s="3"/>
    </row>
    <row r="342" spans="5:5" x14ac:dyDescent="0.55000000000000004">
      <c r="E342" s="3"/>
    </row>
    <row r="343" spans="5:5" x14ac:dyDescent="0.55000000000000004">
      <c r="E343" s="3"/>
    </row>
    <row r="344" spans="5:5" x14ac:dyDescent="0.55000000000000004">
      <c r="E344" s="3"/>
    </row>
    <row r="345" spans="5:5" x14ac:dyDescent="0.55000000000000004">
      <c r="E345" s="3"/>
    </row>
    <row r="346" spans="5:5" x14ac:dyDescent="0.55000000000000004">
      <c r="E346" s="3"/>
    </row>
    <row r="347" spans="5:5" x14ac:dyDescent="0.55000000000000004">
      <c r="E347" s="3"/>
    </row>
    <row r="348" spans="5:5" x14ac:dyDescent="0.55000000000000004">
      <c r="E348" s="3"/>
    </row>
    <row r="349" spans="5:5" x14ac:dyDescent="0.55000000000000004">
      <c r="E349" s="3"/>
    </row>
    <row r="350" spans="5:5" x14ac:dyDescent="0.55000000000000004">
      <c r="E350" s="3"/>
    </row>
    <row r="351" spans="5:5" x14ac:dyDescent="0.55000000000000004">
      <c r="E351" s="3"/>
    </row>
    <row r="352" spans="5:5" x14ac:dyDescent="0.55000000000000004">
      <c r="E352" s="3"/>
    </row>
    <row r="353" spans="5:5" x14ac:dyDescent="0.55000000000000004">
      <c r="E353" s="3"/>
    </row>
    <row r="354" spans="5:5" x14ac:dyDescent="0.55000000000000004">
      <c r="E354" s="3"/>
    </row>
    <row r="355" spans="5:5" x14ac:dyDescent="0.55000000000000004">
      <c r="E355" s="3"/>
    </row>
    <row r="356" spans="5:5" x14ac:dyDescent="0.55000000000000004">
      <c r="E356" s="3"/>
    </row>
    <row r="357" spans="5:5" x14ac:dyDescent="0.55000000000000004">
      <c r="E357" s="3"/>
    </row>
    <row r="358" spans="5:5" x14ac:dyDescent="0.55000000000000004">
      <c r="E358" s="3"/>
    </row>
    <row r="359" spans="5:5" x14ac:dyDescent="0.55000000000000004">
      <c r="E359" s="3"/>
    </row>
    <row r="360" spans="5:5" x14ac:dyDescent="0.55000000000000004">
      <c r="E360" s="3"/>
    </row>
    <row r="361" spans="5:5" x14ac:dyDescent="0.55000000000000004">
      <c r="E361" s="3"/>
    </row>
    <row r="362" spans="5:5" x14ac:dyDescent="0.55000000000000004">
      <c r="E362" s="3"/>
    </row>
    <row r="363" spans="5:5" x14ac:dyDescent="0.55000000000000004">
      <c r="E363" s="3"/>
    </row>
    <row r="364" spans="5:5" x14ac:dyDescent="0.55000000000000004">
      <c r="E364" s="3"/>
    </row>
    <row r="365" spans="5:5" x14ac:dyDescent="0.55000000000000004">
      <c r="E365" s="3"/>
    </row>
    <row r="366" spans="5:5" x14ac:dyDescent="0.55000000000000004">
      <c r="E366" s="3"/>
    </row>
    <row r="367" spans="5:5" x14ac:dyDescent="0.55000000000000004">
      <c r="E367" s="3"/>
    </row>
    <row r="368" spans="5:5" x14ac:dyDescent="0.55000000000000004">
      <c r="E368" s="3"/>
    </row>
    <row r="369" spans="5:5" x14ac:dyDescent="0.55000000000000004">
      <c r="E369" s="3"/>
    </row>
    <row r="370" spans="5:5" x14ac:dyDescent="0.55000000000000004">
      <c r="E370" s="3"/>
    </row>
    <row r="371" spans="5:5" x14ac:dyDescent="0.55000000000000004">
      <c r="E371" s="3"/>
    </row>
    <row r="372" spans="5:5" x14ac:dyDescent="0.55000000000000004">
      <c r="E372" s="3"/>
    </row>
    <row r="373" spans="5:5" x14ac:dyDescent="0.55000000000000004">
      <c r="E373" s="3"/>
    </row>
    <row r="374" spans="5:5" x14ac:dyDescent="0.55000000000000004">
      <c r="E374" s="3"/>
    </row>
    <row r="375" spans="5:5" x14ac:dyDescent="0.55000000000000004">
      <c r="E375" s="3"/>
    </row>
    <row r="376" spans="5:5" x14ac:dyDescent="0.55000000000000004">
      <c r="E376" s="3"/>
    </row>
    <row r="377" spans="5:5" x14ac:dyDescent="0.55000000000000004">
      <c r="E377" s="3"/>
    </row>
    <row r="378" spans="5:5" x14ac:dyDescent="0.55000000000000004">
      <c r="E378" s="3"/>
    </row>
    <row r="379" spans="5:5" x14ac:dyDescent="0.55000000000000004">
      <c r="E379" s="3"/>
    </row>
    <row r="380" spans="5:5" x14ac:dyDescent="0.55000000000000004">
      <c r="E380" s="3"/>
    </row>
    <row r="381" spans="5:5" x14ac:dyDescent="0.55000000000000004">
      <c r="E381" s="3"/>
    </row>
    <row r="382" spans="5:5" x14ac:dyDescent="0.55000000000000004">
      <c r="E382" s="3"/>
    </row>
    <row r="383" spans="5:5" x14ac:dyDescent="0.55000000000000004">
      <c r="E383" s="3"/>
    </row>
    <row r="384" spans="5:5" x14ac:dyDescent="0.55000000000000004">
      <c r="E384" s="3"/>
    </row>
    <row r="385" spans="5:5" x14ac:dyDescent="0.55000000000000004">
      <c r="E385" s="3"/>
    </row>
    <row r="386" spans="5:5" x14ac:dyDescent="0.55000000000000004">
      <c r="E386" s="3"/>
    </row>
    <row r="387" spans="5:5" x14ac:dyDescent="0.55000000000000004">
      <c r="E387" s="3"/>
    </row>
    <row r="388" spans="5:5" x14ac:dyDescent="0.55000000000000004">
      <c r="E388" s="3"/>
    </row>
    <row r="389" spans="5:5" x14ac:dyDescent="0.55000000000000004">
      <c r="E389" s="3"/>
    </row>
    <row r="390" spans="5:5" x14ac:dyDescent="0.55000000000000004">
      <c r="E390" s="3"/>
    </row>
    <row r="391" spans="5:5" x14ac:dyDescent="0.55000000000000004">
      <c r="E391" s="3"/>
    </row>
    <row r="392" spans="5:5" x14ac:dyDescent="0.55000000000000004">
      <c r="E392" s="3"/>
    </row>
    <row r="393" spans="5:5" x14ac:dyDescent="0.55000000000000004">
      <c r="E393" s="3"/>
    </row>
    <row r="394" spans="5:5" x14ac:dyDescent="0.55000000000000004">
      <c r="E394" s="3"/>
    </row>
    <row r="395" spans="5:5" x14ac:dyDescent="0.55000000000000004">
      <c r="E395" s="3"/>
    </row>
    <row r="396" spans="5:5" x14ac:dyDescent="0.55000000000000004">
      <c r="E396" s="3"/>
    </row>
    <row r="397" spans="5:5" x14ac:dyDescent="0.55000000000000004">
      <c r="E397" s="3"/>
    </row>
    <row r="398" spans="5:5" x14ac:dyDescent="0.55000000000000004">
      <c r="E398" s="3"/>
    </row>
    <row r="399" spans="5:5" x14ac:dyDescent="0.55000000000000004">
      <c r="E399" s="3"/>
    </row>
    <row r="400" spans="5:5" x14ac:dyDescent="0.55000000000000004">
      <c r="E400" s="3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RealTime</vt:lpstr>
      <vt:lpstr>RealTimeVol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2026-10-18T04:56:07Z</dcterms:modified>
</cp:coreProperties>
</file>