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13_ncr:1_{F1CEAEC8-51C7-4FEA-B9D1-F04ACB3EDA5A}" xr6:coauthVersionLast="47" xr6:coauthVersionMax="47" xr10:uidLastSave="{00000000-0000-0000-0000-000000000000}"/>
  <bookViews>
    <workbookView xWindow="-110" yWindow="-110" windowWidth="19420" windowHeight="11500" firstSheet="2" activeTab="2" xr2:uid="{61ED50AC-EFEA-494F-8B5F-D4B5980EED43}"/>
  </bookViews>
  <sheets>
    <sheet name="Main" sheetId="1" r:id="rId1"/>
    <sheet name="Grid" sheetId="2" r:id="rId2"/>
    <sheet name="PCA" sheetId="3" r:id="rId3"/>
    <sheet name="Forward" sheetId="4" r:id="rId4"/>
    <sheet name="Live" sheetId="5" r:id="rId5"/>
    <sheet name="Delta" sheetId="6" r:id="rId6"/>
    <sheet name="Gamma" sheetId="7" r:id="rId7"/>
    <sheet name="Vega" sheetId="8" r:id="rId8"/>
    <sheet name="Bonds" sheetId="9" r:id="rId9"/>
    <sheet name="Trades" sheetId="10" r:id="rId10"/>
    <sheet name="Others" sheetId="11" r:id="rId11"/>
    <sheet name="Setup" sheetId="12" r:id="rId12"/>
  </sheets>
  <functionGroups builtInGroupCount="19">
    <functionGroup name="Workspace"/>
  </functionGroups>
  <definedNames>
    <definedName name="_xlpm.c" hidden="1" xlm="1">#NAME?</definedName>
    <definedName name="_xlpm.d" hidden="1" xlm="1">#NAME?</definedName>
    <definedName name="_xlpm.k" hidden="1" xlm="1">#NAME?</definedName>
    <definedName name="_xlpm.l" hidden="1" xlm="1">#NAME?</definedName>
    <definedName name="_xlpm.m" hidden="1" xlm="1">#NAME?</definedName>
    <definedName name="_xlpm.r" hidden="1" xlm="1">#NAME?</definedName>
    <definedName name="_xlpm.s" hidden="1" xlm="1">#NAME?</definedName>
    <definedName name="POS_BondDelta">_xlfn.ANCHORARRAY(Grid!$E$5)</definedName>
    <definedName name="POS_Buckets">Setup!$D$11:$D$44</definedName>
    <definedName name="POS_Curve">_xlfn.ANCHORARRAY(Setup!$K$11)</definedName>
    <definedName name="POS_DerivDelta">_xlfn.ANCHORARRAY(Delta!$G$5)</definedName>
    <definedName name="POS_Gamma">_xlfn.LET(_xlpm.m,Gamma!$D$5:$AK$38,_xlpm.d,Gamma!$B$5:$B$38,IF(ISNUMBER(_xlpm.m),_xlpm.m,0)+IF(_xlfn.SEQUENCE(34)=_xlfn.SEQUENCE(1,34),IF(ISNUMBER(_xlpm.d),_xlpm.d,0),0))</definedName>
    <definedName name="POS_Hedged">POS_NetDelta+MMULT(--(POS_Pillars=TRANSPOSE(PCA!$A$22:$A$24)),_xlfn.ANCHORARRAY(PCA!$B$22))</definedName>
    <definedName name="POS_Jac">_xlfn.DROP(_xlfn.ANCHORARRAY(Forward!$AA$4),1,1)</definedName>
    <definedName name="POS_K">Setup!$B$7</definedName>
    <definedName name="POS_LiveSwap">_xlfn.ANCHORARRAY(Setup!$F$11)</definedName>
    <definedName name="POS_LiveVol">_xlfn.ANCHORARRAY(Setup!$O$11)</definedName>
    <definedName name="POS_Loadings">_xlfn.DROP(_xlfn.ANCHORARRAY(PCA!$AA$10),1,1)</definedName>
    <definedName name="POS_Move">_xlfn.ANCHORARRAY(Live!$D$5)</definedName>
    <definedName name="POS_NetDelta">_xlfn.ANCHORARRAY(Grid!$F$5)</definedName>
    <definedName name="POS_NetWhatIf">_xlfn.ANCHORARRAY(Grid!$H$5)</definedName>
    <definedName name="POS_PcaUse">Setup!$C$11:$C$44</definedName>
    <definedName name="POS_PcExp">_xlfn.LAMBDA(_xlpm.d,MMULT(TRANSPOSE(POS_Loadings),_xlpm.d))</definedName>
    <definedName name="POS_PcSigma">_xlfn.LAMBDA(_xlpm.d,POS_PcExp(_xlpm.d)*POS_PcStd)</definedName>
    <definedName name="POS_PcStd">_xlfn.DROP(_xlfn.ANCHORARRAY(PCA!$Y$10),1,1)</definedName>
    <definedName name="POS_Pillars">Setup!$A$11:$A$44</definedName>
    <definedName name="POS_RiskDate">Setup!$B$4</definedName>
    <definedName name="POS_SodDelta">_xlfn.ANCHORARRAY(Grid!$B$5)</definedName>
    <definedName name="POS_SwapDelta">_xlfn.ANCHORARRAY(Grid!$D$5)</definedName>
    <definedName name="POS_ValDate">Setup!$B$3</definedName>
    <definedName name="POS_Vega">IF(ISNUMBER(Vega!$B$5:$M$20),Vega!$B$5:$M$20,0)</definedName>
    <definedName name="POS_VolExpiries">_xlfn.ANCHORARRAY(Vega!$A$5)</definedName>
    <definedName name="POS_VolMove">_xlfn.ANCHORARRAY(Live!$B$44)</definedName>
    <definedName name="POS_VolTails">Vega!$B$4:$M$4</definedName>
    <definedName name="POS_Window">Setup!$B$5</definedName>
    <definedName name="POS_WindowEnd">Setup!$B$6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1">
            <x14:argumentDescription index="0">Positional argument 1</x14:argumentDescription>
          </x14:argumentDescriptions>
        </x14:definedName>
        <x14:definedName name="LiveSnapshot">
          <x14:argumentDescriptions count="1">
            <x14:argumentDescription index="0">Positional argument 1</x14:argumentDescription>
          </x14:argumentDescriptions>
        </x14:definedName>
        <x14:definedName name="PosBondRisk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osCloseRat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osCloseVol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PosForwardJacobia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PosPcaEige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osPcaLoading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osPcaWindow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osTradeRisk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44" i="5" l="1" a="1"/>
  <c r="H14" i="1"/>
  <c r="H13" i="1"/>
  <c r="H12" i="1"/>
  <c r="H11" i="1"/>
  <c r="H10" i="1"/>
  <c r="H9" i="1"/>
  <c r="E13" i="1"/>
  <c r="E12" i="1"/>
  <c r="E11" i="1"/>
  <c r="E10" i="1"/>
  <c r="E9" i="1"/>
  <c r="B12" i="1"/>
  <c r="B11" i="1"/>
  <c r="B10" i="1"/>
  <c r="B9" i="1"/>
  <c r="B6" i="1"/>
  <c r="B5" i="1"/>
  <c r="B4" i="1"/>
  <c r="O44" i="5" a="1"/>
  <c r="B44" i="5" s="1" a="1"/>
  <c r="K7" i="5" s="1" a="1"/>
  <c r="A44" i="5" a="1"/>
  <c r="B43" i="5" a="1"/>
  <c r="K9" i="5"/>
  <c r="K8" i="5"/>
  <c r="E5" i="5" a="1"/>
  <c r="B5" i="5" a="1"/>
  <c r="A5" i="5" a="1"/>
  <c r="C5" i="5" s="1" a="1"/>
  <c r="E41" i="4"/>
  <c r="D41" i="4"/>
  <c r="C41" i="4"/>
  <c r="B41" i="4"/>
  <c r="AA4" i="4" a="1"/>
  <c r="K11" i="3" a="1"/>
  <c r="J11" i="3" a="1"/>
  <c r="AA10" i="3" a="1"/>
  <c r="Y10" i="3" a="1"/>
  <c r="E4" i="3"/>
  <c r="A4" i="3" a="1"/>
  <c r="K5" i="2" a="1"/>
  <c r="I5" i="2" a="1"/>
  <c r="G5" i="2" a="1"/>
  <c r="G40" i="2" s="1"/>
  <c r="E5" i="2" a="1"/>
  <c r="C5" i="2" a="1"/>
  <c r="C40" i="2" s="1"/>
  <c r="B5" i="2" a="1"/>
  <c r="A5" i="2" a="1"/>
  <c r="H5" i="11" a="1"/>
  <c r="G5" i="11" a="1"/>
  <c r="I4" i="10" a="1"/>
  <c r="F4" i="9" a="1"/>
  <c r="B22" i="8" a="1"/>
  <c r="N5" i="8" a="1"/>
  <c r="N22" i="8" s="1"/>
  <c r="A5" i="8" a="1"/>
  <c r="A5" i="7" a="1"/>
  <c r="D4" i="7" a="1"/>
  <c r="G5" i="6" a="1"/>
  <c r="A5" i="6" a="1"/>
  <c r="O11" i="12" a="1"/>
  <c r="E1" i="12" s="1" a="1"/>
  <c r="F11" i="12" a="1"/>
  <c r="K11" i="12" l="1" a="1"/>
  <c r="D1" i="12" a="1"/>
  <c r="E5" i="4" a="1"/>
  <c r="E40" i="4" s="1"/>
  <c r="D5" i="4" a="1"/>
  <c r="D40" i="4" s="1"/>
  <c r="C5" i="4" a="1"/>
  <c r="C40" i="4" s="1"/>
  <c r="B5" i="4" a="1"/>
  <c r="B40" i="4" s="1"/>
  <c r="A5" i="4" a="1"/>
  <c r="D5" i="5" a="1"/>
  <c r="F5" i="5" s="1" a="1"/>
  <c r="K5" i="5" s="1"/>
  <c r="H5" i="5" a="1"/>
  <c r="K13" i="5" a="1"/>
  <c r="M13" i="5" s="1" a="1"/>
  <c r="G5" i="5" a="1"/>
  <c r="K6" i="5" s="1"/>
  <c r="L11" i="3" a="1"/>
  <c r="M11" i="3" s="1" a="1"/>
  <c r="H11" i="3" a="1"/>
  <c r="D11" i="3" a="1"/>
  <c r="B26" i="3"/>
  <c r="F16" i="3"/>
  <c r="F11" i="3" a="1"/>
  <c r="E17" i="3"/>
  <c r="E16" i="3"/>
  <c r="E11" i="3" a="1"/>
  <c r="B22" i="3" a="1"/>
  <c r="H16" i="3"/>
  <c r="G17" i="3"/>
  <c r="G16" i="3"/>
  <c r="G11" i="3" a="1"/>
  <c r="H17" i="3"/>
  <c r="F17" i="3"/>
  <c r="E33" i="3" a="1"/>
  <c r="D34" i="3" a="1"/>
  <c r="C33" i="3" a="1"/>
  <c r="B33" i="3" a="1"/>
  <c r="C11" i="3" a="1"/>
  <c r="B11" i="3" a="1"/>
  <c r="A11" i="3" a="1"/>
  <c r="D32" i="3" a="1"/>
  <c r="E32" i="3" a="1"/>
  <c r="E34" i="3" a="1"/>
  <c r="D33" i="3" a="1"/>
  <c r="C34" i="3" a="1"/>
  <c r="C32" i="3" a="1"/>
  <c r="B34" i="3" a="1"/>
  <c r="B32" i="3" a="1"/>
  <c r="M5" i="2" a="1"/>
  <c r="M11" i="2" s="1"/>
  <c r="E40" i="2"/>
  <c r="B40" i="2"/>
  <c r="D5" i="2" a="1"/>
  <c r="K10" i="5" l="1"/>
  <c r="M16" i="5"/>
  <c r="L13" i="5" a="1"/>
  <c r="B27" i="3"/>
  <c r="C22" i="3" a="1"/>
  <c r="L5" i="2" a="1"/>
  <c r="L11" i="2" s="1"/>
  <c r="F5" i="2" a="1"/>
  <c r="D40" i="2"/>
  <c r="K16" i="2" l="1" a="1"/>
  <c r="F40" i="2"/>
  <c r="N5" i="2" a="1"/>
  <c r="N11" i="2" s="1"/>
  <c r="H5" i="2" a="1"/>
  <c r="H40" i="2" l="1"/>
  <c r="O5" i="2" a="1"/>
  <c r="O1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<sst xmlns="http://schemas.openxmlformats.org/spreadsheetml/2006/main" count="291" uniqueCount="189">
  <si>
    <t>Setup</t>
  </si>
  <si>
    <t>Live</t>
  </si>
  <si>
    <t>Updated</t>
  </si>
  <si>
    <t>Valuation date</t>
  </si>
  <si>
    <t>Blank = today (live rates). A past date uses the DB close of that day.</t>
  </si>
  <si>
    <t>Risk date</t>
  </si>
  <si>
    <t>As-of date of the pasted company risk (usually the previous close). Used for the live P&amp;L.</t>
  </si>
  <si>
    <t>PCA window</t>
  </si>
  <si>
    <t>Business days of daily changes</t>
  </si>
  <si>
    <t>PCA window end</t>
  </si>
  <si>
    <t>Blank = today (DB closes only)</t>
  </si>
  <si>
    <t>PCA factors (k)</t>
  </si>
  <si>
    <t>Factors treated as systematic (the rest is residual)</t>
  </si>
  <si>
    <t>Pillar</t>
  </si>
  <si>
    <t>Curve</t>
  </si>
  <si>
    <t>PCA</t>
  </si>
  <si>
    <t>Bucket</t>
  </si>
  <si>
    <t>O/N</t>
  </si>
  <si>
    <t>0-1Y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</si>
  <si>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</si>
  <si>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</si>
  <si>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</si>
  <si>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</si>
  <si>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</si>
  <si>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</si>
  <si>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</si>
  <si>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</si>
  <si>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</si>
  <si>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</si>
  <si>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</si>
  <si>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</si>
  <si>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</si>
  <si>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15M</t>
  </si>
  <si>
    <t>1-2Y</t>
  </si>
  <si>
    <t>18M</t>
  </si>
  <si>
    <t>21M</t>
  </si>
  <si>
    <t>24M</t>
  </si>
  <si>
    <t>36M</t>
  </si>
  <si>
    <t>2-5Y</t>
  </si>
  <si>
    <t>4Y</t>
  </si>
  <si>
    <t>5Y</t>
  </si>
  <si>
    <t>6Y</t>
  </si>
  <si>
    <t>5-10Y</t>
  </si>
  <si>
    <t>7Y</t>
  </si>
  <si>
    <t>8Y</t>
  </si>
  <si>
    <t>9Y</t>
  </si>
  <si>
    <t>10Y</t>
  </si>
  <si>
    <t>11Y</t>
  </si>
  <si>
    <t>10-20Y</t>
  </si>
  <si>
    <t>12Y</t>
  </si>
  <si>
    <t>15Y</t>
  </si>
  <si>
    <t>20Y</t>
  </si>
  <si>
    <t>25Y</t>
  </si>
  <si>
    <t>20Y+</t>
  </si>
  <si>
    <t>30Y</t>
  </si>
  <si>
    <t>35Y</t>
  </si>
  <si>
    <t>40Y</t>
  </si>
  <si>
    <t>Curve: 0 = not used for the curve. PCA: 0 = not used for PCA (O/N is published the next day and 1W has gaps in the DB).</t>
  </si>
  <si>
    <t>Live swap</t>
  </si>
  <si>
    <t>Mid</t>
  </si>
  <si>
    <t>Start</t>
  </si>
  <si>
    <t>End</t>
  </si>
  <si>
    <t>Flag</t>
  </si>
  <si>
    <t>Ticker</t>
  </si>
  <si>
    <t>Value</t>
  </si>
  <si>
    <t>Live vol</t>
  </si>
  <si>
    <t>RIC</t>
  </si>
  <si>
    <t>Vol</t>
  </si>
  <si>
    <t>Delta (company risk)</t>
  </si>
  <si>
    <t>Paste values only (JPY mn per 1bp, PV change for a +1bp move). Rows follow the Setup pillars. Column titles can be edited.</t>
  </si>
  <si>
    <t>Swaps</t>
  </si>
  <si>
    <t>Swaptions</t>
  </si>
  <si>
    <t>Bond options</t>
  </si>
  <si>
    <t>Futures</t>
  </si>
  <si>
    <t>Other</t>
  </si>
  <si>
    <t>Total</t>
  </si>
  <si>
    <t>Gamma (company risk)</t>
  </si>
  <si>
    <t>Change in delta (JPY mn per bp) for a +1bp move. Paste the diagonal in column B, or the pillar x pillar matrix from D5 (both are added).</t>
  </si>
  <si>
    <t>Diagonal</t>
  </si>
  <si>
    <t>Cross gamma: row = delta pillar, column = moved pillar</t>
  </si>
  <si>
    <t>Vega (company risk)</t>
  </si>
  <si>
    <t>JPY mn per 1bp of normal vol. Rows = option expiry, columns = underlying swap tenor (the LSEG JPY swaption ATM grid).</t>
  </si>
  <si>
    <t>Expiry \ Tail</t>
  </si>
  <si>
    <t>1Y</t>
  </si>
  <si>
    <t>2Y</t>
  </si>
  <si>
    <t>3Y</t>
  </si>
  <si>
    <t>Bonds (cash JGB positions)</t>
  </si>
  <si>
    <t>Code (e.g. JB377) and face in JPY mn (long +, short -). Yield override = simple yield %, blank = DB close. Delta = key-rate delta against the OIS curve at a constant Z-spread (same pillars and bumps as the swap grid).</t>
  </si>
  <si>
    <t>Code</t>
  </si>
  <si>
    <t>Face (mn)</t>
  </si>
  <si>
    <t>Yield override</t>
  </si>
  <si>
    <t>Note</t>
  </si>
  <si>
    <t>Intraday trades (standard OIS)</t>
  </si>
  <si>
    <t>Type: Done = executed today (added to the position), What-if = candidate (shown separately). Start: blank = spot, a date, or a tenor (5Y = forward start). Tenor/End: 10Y or a date. Notional JPY mn. Fix rate blank = par.</t>
  </si>
  <si>
    <t>Type</t>
  </si>
  <si>
    <t>Tenor/End</t>
  </si>
  <si>
    <t>Notional (mn)</t>
  </si>
  <si>
    <t>Pay/Rec</t>
  </si>
  <si>
    <t>Fix rate</t>
  </si>
  <si>
    <t>Others (risks not captured by the grids)</t>
  </si>
  <si>
    <t>Type or paste items such as basis, carry/theta, fixings, bond option vega, futures basis. Category Carry/Theta is added to the live P&amp;L.</t>
  </si>
  <si>
    <t>Item</t>
  </si>
  <si>
    <t>Category</t>
  </si>
  <si>
    <t>Amount (mn)</t>
  </si>
  <si>
    <t>Measure</t>
  </si>
  <si>
    <t>Risk grid (delta, JPY mn per bp)</t>
  </si>
  <si>
    <t>Derivatives = company risk (Delta sheet). Intraday = Done trades. Bonds = computed from the Bonds sheet. What-if = candidate trades.</t>
  </si>
  <si>
    <t>Derivatives (SOD)</t>
  </si>
  <si>
    <t>Intraday swaps</t>
  </si>
  <si>
    <t>Swap total</t>
  </si>
  <si>
    <t>Bonds</t>
  </si>
  <si>
    <t>Net</t>
  </si>
  <si>
    <t>What-if</t>
  </si>
  <si>
    <t>Net + What-if</t>
  </si>
  <si>
    <t>Largest net exposures</t>
  </si>
  <si>
    <t>PCA factor risk (daily changes of par rates, covariance in bp)</t>
  </si>
  <si>
    <t>Exposure = loading' x delta (P&amp;L per 1bp move of the factor). 1σ P&amp;L = exposure x daily std of the factor. Residual = risk outside the first k factors. Pillars with PCA = 0 on Setup are not in the factors.</t>
  </si>
  <si>
    <t>Factors (k)</t>
  </si>
  <si>
    <t>Factor std (bp/day)</t>
  </si>
  <si>
    <t>Loadings (unit vectors)</t>
  </si>
  <si>
    <t>Factor</t>
  </si>
  <si>
    <t>Std (bp/day)</t>
  </si>
  <si>
    <t>Explained</t>
  </si>
  <si>
    <t>Exposure Net (mn per bp of factor)</t>
  </si>
  <si>
    <t>1σ P&amp;L Swap total</t>
  </si>
  <si>
    <t>1σ P&amp;L Bonds</t>
  </si>
  <si>
    <t>1σ P&amp;L Net</t>
  </si>
  <si>
    <t>1σ P&amp;L Net + What-if</t>
  </si>
  <si>
    <t>Residual (after k)</t>
  </si>
  <si>
    <t>Total (all factors)</t>
  </si>
  <si>
    <t>Net delta</t>
  </si>
  <si>
    <t>Explained by k factors</t>
  </si>
  <si>
    <t>Residual</t>
  </si>
  <si>
    <t>PCA-neutral hedge (makes the Net exposure to PC1-PC3 zero with three pillars)</t>
  </si>
  <si>
    <t>Hedge pillar</t>
  </si>
  <si>
    <t>DV01 to add (mn/bp)</t>
  </si>
  <si>
    <t>Side</t>
  </si>
  <si>
    <t>Total 1σ before</t>
  </si>
  <si>
    <t>Total 1σ after hedge</t>
  </si>
  <si>
    <t>Positive DV01 = pay fixed. Convert to notional with the swap's DV01 per notional (e.g. PricingSheet).</t>
  </si>
  <si>
    <t>Factor shock scenarios on Net (delta + 1/2 gamma, JPY mn)</t>
  </si>
  <si>
    <t>Forward risk (delta per forward segment, JPY mn per bp)</t>
  </si>
  <si>
    <t>Segment = between adjacent pillar maturities. Forward delta = J' x par delta, where J = move of each par rate for a 1bp move of one forward segment (QuantLib, on the same curve).</t>
  </si>
  <si>
    <t>J (rows = par pillar, columns = forward segment)</t>
  </si>
  <si>
    <t>Segment</t>
  </si>
  <si>
    <t>Par total</t>
  </si>
  <si>
    <t>Live P&amp;L and risk drift (since the risk-date close)</t>
  </si>
  <si>
    <t>SOD delta = company derivatives + bonds. Delta now = SOD delta + gamma x move + intraday Done trades. Intraday trades are counted at their PV.</t>
  </si>
  <si>
    <t>Close</t>
  </si>
  <si>
    <t>Move (bp)</t>
  </si>
  <si>
    <t>SOD delta</t>
  </si>
  <si>
    <t>Delta P&amp;L</t>
  </si>
  <si>
    <t>Gamma P&amp;L</t>
  </si>
  <si>
    <t>Delta now</t>
  </si>
  <si>
    <t>P&amp;L explain</t>
  </si>
  <si>
    <t>JPY mn</t>
  </si>
  <si>
    <t>Delta</t>
  </si>
  <si>
    <t>Gamma</t>
  </si>
  <si>
    <t>Vega</t>
  </si>
  <si>
    <t>Carry/Theta (Others)</t>
  </si>
  <si>
    <t>Intraday trades (PV)</t>
  </si>
  <si>
    <t>Move (bp of factor)</t>
  </si>
  <si>
    <t>Move (σ)</t>
  </si>
  <si>
    <t>Swaption vol move (bp, live - close)</t>
  </si>
  <si>
    <t>Close vol</t>
  </si>
  <si>
    <t>Position risk</t>
  </si>
  <si>
    <t>Prototype in the style of a rates desk: delta grid (swaps vs bonds), PCA factor risk, forward risk, live P&amp;L explain. Inputs: Delta / Gamma / Vega / Bonds / Trades / Others. Settings: Setup.</t>
  </si>
  <si>
    <t>Live updated</t>
  </si>
  <si>
    <t>Delta (per bp)</t>
  </si>
  <si>
    <t>PCA 1σ daily P&amp;L (Net)</t>
  </si>
  <si>
    <t>PC1 (level)</t>
  </si>
  <si>
    <t>PC2 (slope)</t>
  </si>
  <si>
    <t>PC3 (curvature)</t>
  </si>
  <si>
    <t>Live P&amp;L</t>
  </si>
  <si>
    <t>Carry/Theta</t>
  </si>
  <si>
    <t>Intraday trades</t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</si>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</sst>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hh:mm:ss"/>
    <numFmt numFmtId="177" formatCode="yyyy\-mm\-dd"/>
    <numFmt numFmtId="178" formatCode="0.000"/>
    <numFmt numFmtId="179" formatCode="0.0"/>
    <numFmt numFmtId="180" formatCode="0.0000"/>
    <numFmt numFmtId="181" formatCode="0.0%"/>
    <numFmt numFmtId="182" formatCode="\+0&quot;σ&quot;;\-0&quot;σ&quot;"/>
    <numFmt numFmtId="183" formatCode="&quot;PC&quot;0"/>
  </numFmts>
  <fonts count="8" x14ac:knownFonts="1">
    <font>
      <sz val="10"/>
      <color theme="1"/>
      <name val="Noto Sans JP"/>
      <family val="3"/>
      <charset val="128"/>
    </font>
    <font>
      <sz val="6"/>
      <name val="游ゴシック"/>
      <family val="2"/>
      <charset val="128"/>
      <scheme val="minor"/>
    </font>
    <font>
      <b/>
      <sz val="14"/>
      <color theme="1"/>
      <name val="Noto Sans JP"/>
      <family val="3"/>
      <charset val="128"/>
    </font>
    <font>
      <sz val="6"/>
      <name val="Noto Sans JP"/>
      <family val="3"/>
      <charset val="128"/>
    </font>
    <font>
      <sz val="10"/>
      <color rgb="FF606060"/>
      <name val="Noto Sans JP"/>
      <family val="3"/>
      <charset val="128"/>
    </font>
    <font>
      <b/>
      <sz val="10"/>
      <color theme="1"/>
      <name val="Noto Sans JP"/>
      <family val="3"/>
      <charset val="128"/>
    </font>
    <font>
      <b/>
      <sz val="10"/>
      <color rgb="FFFFFFFF"/>
      <name val="Noto Sans JP"/>
      <family val="3"/>
      <charset val="128"/>
    </font>
    <font>
      <sz val="10"/>
      <color rgb="FFC00000"/>
      <name val="Noto Sans JP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3F7F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0" fontId="4" fillId="0" borderId="0" xfId="0" applyFont="1">
      <alignment vertical="center"/>
    </xf>
    <xf numFmtId="177" fontId="0" fillId="2" borderId="0" xfId="0" applyNumberFormat="1" applyFill="1">
      <alignment vertical="center"/>
    </xf>
    <xf numFmtId="0" fontId="5" fillId="0" borderId="0" xfId="0" applyFont="1">
      <alignment vertical="center"/>
    </xf>
    <xf numFmtId="0" fontId="6" fillId="3" borderId="0" xfId="0" applyFont="1" applyFill="1" applyAlignment="1">
      <alignment vertical="center" wrapText="1"/>
    </xf>
    <xf numFmtId="40" fontId="0" fillId="2" borderId="0" xfId="0" applyNumberFormat="1" applyFill="1">
      <alignment vertical="center"/>
    </xf>
    <xf numFmtId="40" fontId="0" fillId="0" borderId="0" xfId="0" applyNumberFormat="1">
      <alignment vertical="center"/>
    </xf>
    <xf numFmtId="40" fontId="5" fillId="0" borderId="0" xfId="0" applyNumberFormat="1" applyFon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1" xfId="0" applyFont="1" applyBorder="1">
      <alignment vertical="center"/>
    </xf>
    <xf numFmtId="40" fontId="5" fillId="0" borderId="1" xfId="0" applyNumberFormat="1" applyFont="1" applyBorder="1">
      <alignment vertical="center"/>
    </xf>
    <xf numFmtId="2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6" fillId="3" borderId="0" xfId="0" applyNumberFormat="1" applyFont="1" applyFill="1" applyAlignment="1">
      <alignment vertical="center" wrapText="1"/>
    </xf>
    <xf numFmtId="183" fontId="0" fillId="0" borderId="0" xfId="0" applyNumberFormat="1">
      <alignment vertical="center"/>
    </xf>
    <xf numFmtId="177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0" fontId="7" fillId="0" borderId="0" xfId="0" applyFont="1">
      <alignment vertical="center"/>
    </xf>
  </cellXfs>
  <cellStyles count="1"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 panose="020B0200000000000000" pitchFamily="50" charset="-128"/>
                <a:ea typeface="+mn-ea"/>
                <a:cs typeface="+mn-cs"/>
              </a:defRPr>
            </a:pPr>
            <a:r>
              <a:rPr lang="en-US"/>
              <a:t>Delta by pillar (JPY mn per bp)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Noto Sans JP" panose="020B0200000000000000" pitchFamily="50" charset="-128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Swap total</c:v>
          </c:tx>
          <c:spPr>
            <a:solidFill>
              <a:srgbClr val="1F6EB4"/>
            </a:solidFill>
            <a:ln>
              <a:noFill/>
            </a:ln>
            <a:effectLst/>
          </c:spPr>
          <c:invertIfNegative val="0"/>
          <c:cat>
            <c:strRef>
              <c:f>Grid!$A$5:$A$38</c:f>
            </c:strRef>
          </c:cat>
          <c:val>
            <c:numRef>
              <c:f>Grid!$D$5:$D$38</c:f>
            </c:numRef>
          </c:val>
          <c:extLst>
            <c:ext xmlns:c16="http://schemas.microsoft.com/office/drawing/2014/chart" uri="{C3380CC4-5D6E-409C-BE32-E72D297353CC}">
              <c16:uniqueId val="{00000001-DD37-4A36-9581-A74EB75FB860}"/>
            </c:ext>
          </c:extLst>
        </c:ser>
        <c:ser>
          <c:idx val="1"/>
          <c:order val="1"/>
          <c:tx>
            <c:v>Bonds</c:v>
          </c:tx>
          <c:spPr>
            <a:solidFill>
              <a:srgbClr val="F08C2E"/>
            </a:solidFill>
            <a:ln>
              <a:noFill/>
            </a:ln>
            <a:effectLst/>
          </c:spPr>
          <c:invertIfNegative val="0"/>
          <c:cat>
            <c:strRef>
              <c:f>Grid!$A$5:$A$38</c:f>
            </c:strRef>
          </c:cat>
          <c:val>
            <c:numRef>
              <c:f>Grid!$E$5:$E$38</c:f>
            </c:numRef>
          </c:val>
          <c:extLst>
            <c:ext xmlns:c16="http://schemas.microsoft.com/office/drawing/2014/chart" uri="{C3380CC4-5D6E-409C-BE32-E72D297353CC}">
              <c16:uniqueId val="{00000002-DD37-4A36-9581-A74EB75FB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6683776"/>
        <c:axId val="426684256"/>
      </c:barChart>
      <c:lineChart>
        <c:grouping val="standard"/>
        <c:varyColors val="0"/>
        <c:ser>
          <c:idx val="2"/>
          <c:order val="2"/>
          <c:tx>
            <c:v>Net</c:v>
          </c:tx>
          <c:spPr>
            <a:ln w="25400" cap="rnd">
              <a:solidFill>
                <a:srgbClr val="333333"/>
              </a:solidFill>
              <a:round/>
            </a:ln>
            <a:effectLst/>
          </c:spPr>
          <c:marker>
            <c:symbol val="none"/>
          </c:marker>
          <c:cat>
            <c:strRef>
              <c:f>Grid!$A$5:$A$38</c:f>
            </c:strRef>
          </c:cat>
          <c:val>
            <c:numRef>
              <c:f>Grid!$F$5:$F$38</c:f>
            </c:numRef>
          </c:val>
          <c:smooth val="0"/>
          <c:extLst>
            <c:ext xmlns:c16="http://schemas.microsoft.com/office/drawing/2014/chart" uri="{C3380CC4-5D6E-409C-BE32-E72D297353CC}">
              <c16:uniqueId val="{00000003-DD37-4A36-9581-A74EB75FB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683776"/>
        <c:axId val="426684256"/>
      </c:lineChart>
      <c:catAx>
        <c:axId val="42668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 panose="020B0200000000000000" pitchFamily="50" charset="-128"/>
                <a:ea typeface="+mn-ea"/>
                <a:cs typeface="+mn-cs"/>
              </a:defRPr>
            </a:pPr>
            <a:endParaRPr lang="ja-JP"/>
          </a:p>
        </c:txPr>
        <c:crossAx val="426684256"/>
        <c:crosses val="autoZero"/>
        <c:auto val="1"/>
        <c:lblAlgn val="ctr"/>
        <c:lblOffset val="100"/>
        <c:noMultiLvlLbl val="0"/>
      </c:catAx>
      <c:valAx>
        <c:axId val="42668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[Red]\(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 panose="020B0200000000000000" pitchFamily="50" charset="-128"/>
                <a:ea typeface="+mn-ea"/>
                <a:cs typeface="+mn-cs"/>
              </a:defRPr>
            </a:pPr>
            <a:endParaRPr lang="ja-JP"/>
          </a:p>
        </c:txPr>
        <c:crossAx val="42668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Noto Sans JP" panose="020B0200000000000000" pitchFamily="50" charset="-128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Noto Sans JP" panose="020B0200000000000000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 panose="020B0200000000000000" pitchFamily="50" charset="-128"/>
                <a:ea typeface="+mn-ea"/>
                <a:cs typeface="+mn-cs"/>
              </a:defRPr>
            </a:pPr>
            <a:r>
              <a:rPr lang="en-US"/>
              <a:t>Forward delta by segment (Net)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Noto Sans JP" panose="020B0200000000000000" pitchFamily="50" charset="-128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Net</c:v>
          </c:tx>
          <c:spPr>
            <a:solidFill>
              <a:srgbClr val="333333"/>
            </a:solidFill>
            <a:ln>
              <a:noFill/>
            </a:ln>
            <a:effectLst/>
          </c:spPr>
          <c:invertIfNegative val="0"/>
          <c:cat>
            <c:strRef>
              <c:f>Forward!$A$5:$A$38</c:f>
            </c:strRef>
          </c:cat>
          <c:val>
            <c:numRef>
              <c:f>Forward!$D$5:$D$38</c:f>
            </c:numRef>
          </c:val>
          <c:extLst>
            <c:ext xmlns:c16="http://schemas.microsoft.com/office/drawing/2014/chart" uri="{C3380CC4-5D6E-409C-BE32-E72D297353CC}">
              <c16:uniqueId val="{00000001-AE98-4C1E-A0B8-69215F701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6684736"/>
        <c:axId val="426677056"/>
      </c:barChart>
      <c:catAx>
        <c:axId val="42668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 panose="020B0200000000000000" pitchFamily="50" charset="-128"/>
                <a:ea typeface="+mn-ea"/>
                <a:cs typeface="+mn-cs"/>
              </a:defRPr>
            </a:pPr>
            <a:endParaRPr lang="ja-JP"/>
          </a:p>
        </c:txPr>
        <c:crossAx val="426677056"/>
        <c:crosses val="autoZero"/>
        <c:auto val="1"/>
        <c:lblAlgn val="ctr"/>
        <c:lblOffset val="100"/>
        <c:noMultiLvlLbl val="0"/>
      </c:catAx>
      <c:valAx>
        <c:axId val="42667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[Red]\(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 panose="020B0200000000000000" pitchFamily="50" charset="-128"/>
                <a:ea typeface="+mn-ea"/>
                <a:cs typeface="+mn-cs"/>
              </a:defRPr>
            </a:pPr>
            <a:endParaRPr lang="ja-JP"/>
          </a:p>
        </c:txPr>
        <c:crossAx val="4266847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Noto Sans JP" panose="020B0200000000000000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 panose="020B0200000000000000" pitchFamily="50" charset="-128"/>
                <a:ea typeface="+mn-ea"/>
                <a:cs typeface="+mn-cs"/>
              </a:defRPr>
            </a:pPr>
            <a:r>
              <a:rPr lang="en-US"/>
              <a:t>PCA 1</a:t>
            </a:r>
            <a:r>
              <a:rPr lang="el-GR"/>
              <a:t>σ </a:t>
            </a:r>
            <a:r>
              <a:rPr lang="en-US"/>
              <a:t>daily P&amp;L (Net)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Noto Sans JP" panose="020B0200000000000000" pitchFamily="50" charset="-128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Net</c:v>
          </c:tx>
          <c:spPr>
            <a:solidFill>
              <a:srgbClr val="333333"/>
            </a:solidFill>
            <a:ln>
              <a:noFill/>
            </a:ln>
            <a:effectLst/>
          </c:spPr>
          <c:invertIfNegative val="0"/>
          <c:cat>
            <c:strRef>
              <c:f>PCA!$A$11:$A$15</c:f>
            </c:strRef>
          </c:cat>
          <c:val>
            <c:numRef>
              <c:f>PCA!$G$11:$G$15</c:f>
            </c:numRef>
          </c:val>
          <c:extLst>
            <c:ext xmlns:c16="http://schemas.microsoft.com/office/drawing/2014/chart" uri="{C3380CC4-5D6E-409C-BE32-E72D297353CC}">
              <c16:uniqueId val="{00000001-067F-48A6-B32D-045CAF6A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6685696"/>
        <c:axId val="426686176"/>
      </c:barChart>
      <c:catAx>
        <c:axId val="42668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 panose="020B0200000000000000" pitchFamily="50" charset="-128"/>
                <a:ea typeface="+mn-ea"/>
                <a:cs typeface="+mn-cs"/>
              </a:defRPr>
            </a:pPr>
            <a:endParaRPr lang="ja-JP"/>
          </a:p>
        </c:txPr>
        <c:crossAx val="426686176"/>
        <c:crosses val="autoZero"/>
        <c:auto val="1"/>
        <c:lblAlgn val="ctr"/>
        <c:lblOffset val="100"/>
        <c:noMultiLvlLbl val="0"/>
      </c:catAx>
      <c:valAx>
        <c:axId val="4266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[Red]\(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 panose="020B0200000000000000" pitchFamily="50" charset="-128"/>
                <a:ea typeface="+mn-ea"/>
                <a:cs typeface="+mn-cs"/>
              </a:defRPr>
            </a:pPr>
            <a:endParaRPr lang="ja-JP"/>
          </a:p>
        </c:txPr>
        <c:crossAx val="4266856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Noto Sans JP" panose="020B0200000000000000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 panose="020B0200000000000000" pitchFamily="50" charset="-128"/>
                <a:ea typeface="+mn-ea"/>
                <a:cs typeface="+mn-cs"/>
              </a:defRPr>
            </a:pPr>
            <a:r>
              <a:rPr lang="en-US"/>
              <a:t>Residual delta after k factors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Noto Sans JP" panose="020B0200000000000000" pitchFamily="50" charset="-128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</c:v>
          </c:tx>
          <c:spPr>
            <a:solidFill>
              <a:srgbClr val="A0557A"/>
            </a:solidFill>
            <a:ln>
              <a:noFill/>
            </a:ln>
            <a:effectLst/>
          </c:spPr>
          <c:invertIfNegative val="0"/>
          <c:cat>
            <c:strRef>
              <c:f>PCA!$J$11:$J$44</c:f>
            </c:strRef>
          </c:cat>
          <c:val>
            <c:numRef>
              <c:f>PCA!$M$11:$M$44</c:f>
            </c:numRef>
          </c:val>
          <c:extLst>
            <c:ext xmlns:c16="http://schemas.microsoft.com/office/drawing/2014/chart" uri="{C3380CC4-5D6E-409C-BE32-E72D297353CC}">
              <c16:uniqueId val="{00000001-1B6C-4142-995D-24CEC2D66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6673216"/>
        <c:axId val="426678016"/>
      </c:barChart>
      <c:catAx>
        <c:axId val="42667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 panose="020B0200000000000000" pitchFamily="50" charset="-128"/>
                <a:ea typeface="+mn-ea"/>
                <a:cs typeface="+mn-cs"/>
              </a:defRPr>
            </a:pPr>
            <a:endParaRPr lang="ja-JP"/>
          </a:p>
        </c:txPr>
        <c:crossAx val="426678016"/>
        <c:crosses val="autoZero"/>
        <c:auto val="1"/>
        <c:lblAlgn val="ctr"/>
        <c:lblOffset val="100"/>
        <c:noMultiLvlLbl val="0"/>
      </c:catAx>
      <c:valAx>
        <c:axId val="42667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[Red]\(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 panose="020B0200000000000000" pitchFamily="50" charset="-128"/>
                <a:ea typeface="+mn-ea"/>
                <a:cs typeface="+mn-cs"/>
              </a:defRPr>
            </a:pPr>
            <a:endParaRPr lang="ja-JP"/>
          </a:p>
        </c:txPr>
        <c:crossAx val="4266732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Noto Sans JP" panose="020B0200000000000000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 panose="020B0200000000000000" pitchFamily="50" charset="-128"/>
                <a:ea typeface="+mn-ea"/>
                <a:cs typeface="+mn-cs"/>
              </a:defRPr>
            </a:pPr>
            <a:r>
              <a:rPr lang="en-US"/>
              <a:t>Swaps vs bonds by pillar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Noto Sans JP" panose="020B0200000000000000" pitchFamily="50" charset="-128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Swap total</c:v>
          </c:tx>
          <c:spPr>
            <a:solidFill>
              <a:srgbClr val="1F6EB4"/>
            </a:solidFill>
            <a:ln>
              <a:noFill/>
            </a:ln>
            <a:effectLst/>
          </c:spPr>
          <c:invertIfNegative val="0"/>
          <c:cat>
            <c:strRef>
              <c:f>Grid!$A$5:$A$38</c:f>
            </c:strRef>
          </c:cat>
          <c:val>
            <c:numRef>
              <c:f>Grid!$D$5:$D$38</c:f>
            </c:numRef>
          </c:val>
          <c:extLst>
            <c:ext xmlns:c16="http://schemas.microsoft.com/office/drawing/2014/chart" uri="{C3380CC4-5D6E-409C-BE32-E72D297353CC}">
              <c16:uniqueId val="{00000001-5668-41B1-B815-E440292D701D}"/>
            </c:ext>
          </c:extLst>
        </c:ser>
        <c:ser>
          <c:idx val="1"/>
          <c:order val="1"/>
          <c:tx>
            <c:v>Bonds</c:v>
          </c:tx>
          <c:spPr>
            <a:solidFill>
              <a:srgbClr val="F08C2E"/>
            </a:solidFill>
            <a:ln>
              <a:noFill/>
            </a:ln>
            <a:effectLst/>
          </c:spPr>
          <c:invertIfNegative val="0"/>
          <c:cat>
            <c:strRef>
              <c:f>Grid!$A$5:$A$38</c:f>
            </c:strRef>
          </c:cat>
          <c:val>
            <c:numRef>
              <c:f>Grid!$E$5:$E$38</c:f>
            </c:numRef>
          </c:val>
          <c:extLst>
            <c:ext xmlns:c16="http://schemas.microsoft.com/office/drawing/2014/chart" uri="{C3380CC4-5D6E-409C-BE32-E72D297353CC}">
              <c16:uniqueId val="{00000002-5668-41B1-B815-E440292D7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6695776"/>
        <c:axId val="426679456"/>
      </c:barChart>
      <c:lineChart>
        <c:grouping val="standard"/>
        <c:varyColors val="0"/>
        <c:ser>
          <c:idx val="2"/>
          <c:order val="2"/>
          <c:tx>
            <c:v>Net</c:v>
          </c:tx>
          <c:spPr>
            <a:ln w="25400" cap="rnd">
              <a:solidFill>
                <a:srgbClr val="333333"/>
              </a:solidFill>
              <a:round/>
            </a:ln>
            <a:effectLst/>
          </c:spPr>
          <c:marker>
            <c:symbol val="none"/>
          </c:marker>
          <c:cat>
            <c:strRef>
              <c:f>Grid!$A$5:$A$38</c:f>
            </c:strRef>
          </c:cat>
          <c:val>
            <c:numRef>
              <c:f>Grid!$F$5:$F$38</c:f>
            </c:numRef>
          </c:val>
          <c:smooth val="0"/>
          <c:extLst>
            <c:ext xmlns:c16="http://schemas.microsoft.com/office/drawing/2014/chart" uri="{C3380CC4-5D6E-409C-BE32-E72D297353CC}">
              <c16:uniqueId val="{00000003-5668-41B1-B815-E440292D7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695776"/>
        <c:axId val="426679456"/>
      </c:lineChart>
      <c:catAx>
        <c:axId val="42669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 panose="020B0200000000000000" pitchFamily="50" charset="-128"/>
                <a:ea typeface="+mn-ea"/>
                <a:cs typeface="+mn-cs"/>
              </a:defRPr>
            </a:pPr>
            <a:endParaRPr lang="ja-JP"/>
          </a:p>
        </c:txPr>
        <c:crossAx val="426679456"/>
        <c:crosses val="autoZero"/>
        <c:auto val="1"/>
        <c:lblAlgn val="ctr"/>
        <c:lblOffset val="100"/>
        <c:noMultiLvlLbl val="0"/>
      </c:catAx>
      <c:valAx>
        <c:axId val="42667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[Red]\(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 panose="020B0200000000000000" pitchFamily="50" charset="-128"/>
                <a:ea typeface="+mn-ea"/>
                <a:cs typeface="+mn-cs"/>
              </a:defRPr>
            </a:pPr>
            <a:endParaRPr lang="ja-JP"/>
          </a:p>
        </c:txPr>
        <c:crossAx val="42669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Noto Sans JP" panose="020B0200000000000000" pitchFamily="50" charset="-128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Noto Sans JP" panose="020B0200000000000000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 panose="020B0200000000000000" pitchFamily="50" charset="-128"/>
                <a:ea typeface="+mn-ea"/>
                <a:cs typeface="+mn-cs"/>
              </a:defRPr>
            </a:pPr>
            <a:r>
              <a:rPr lang="en-US"/>
              <a:t>Factor loadings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Noto Sans JP" panose="020B0200000000000000" pitchFamily="50" charset="-128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5400" cap="rnd">
              <a:solidFill>
                <a:srgbClr val="1F6EB4"/>
              </a:solidFill>
              <a:round/>
            </a:ln>
            <a:effectLst/>
          </c:spPr>
          <c:marker>
            <c:symbol val="none"/>
          </c:marker>
          <c:cat>
            <c:strRef>
              <c:f>PCA!$AA$11:$AA$44</c:f>
            </c:strRef>
          </c:cat>
          <c:val>
            <c:numRef>
              <c:f>PCA!$AB$11:$AB$44</c:f>
            </c:numRef>
          </c:val>
          <c:smooth val="0"/>
          <c:extLst>
            <c:ext xmlns:c16="http://schemas.microsoft.com/office/drawing/2014/chart" uri="{C3380CC4-5D6E-409C-BE32-E72D297353CC}">
              <c16:uniqueId val="{00000001-7FA2-4227-BA84-4244727F6551}"/>
            </c:ext>
          </c:extLst>
        </c:ser>
        <c:ser>
          <c:idx val="1"/>
          <c:order val="1"/>
          <c:tx>
            <c:v>PC2</c:v>
          </c:tx>
          <c:spPr>
            <a:ln w="25400" cap="rnd">
              <a:solidFill>
                <a:srgbClr val="F08C2E"/>
              </a:solidFill>
              <a:round/>
            </a:ln>
            <a:effectLst/>
          </c:spPr>
          <c:marker>
            <c:symbol val="none"/>
          </c:marker>
          <c:cat>
            <c:strRef>
              <c:f>PCA!$AA$11:$AA$44</c:f>
            </c:strRef>
          </c:cat>
          <c:val>
            <c:numRef>
              <c:f>PCA!$AC$11:$AC$44</c:f>
            </c:numRef>
          </c:val>
          <c:smooth val="0"/>
          <c:extLst>
            <c:ext xmlns:c16="http://schemas.microsoft.com/office/drawing/2014/chart" uri="{C3380CC4-5D6E-409C-BE32-E72D297353CC}">
              <c16:uniqueId val="{00000002-7FA2-4227-BA84-4244727F6551}"/>
            </c:ext>
          </c:extLst>
        </c:ser>
        <c:ser>
          <c:idx val="2"/>
          <c:order val="2"/>
          <c:tx>
            <c:v>PC3</c:v>
          </c:tx>
          <c:spPr>
            <a:ln w="25400" cap="rnd">
              <a:solidFill>
                <a:srgbClr val="2CA04C"/>
              </a:solidFill>
              <a:round/>
            </a:ln>
            <a:effectLst/>
          </c:spPr>
          <c:marker>
            <c:symbol val="none"/>
          </c:marker>
          <c:cat>
            <c:strRef>
              <c:f>PCA!$AA$11:$AA$44</c:f>
            </c:strRef>
          </c:cat>
          <c:val>
            <c:numRef>
              <c:f>PCA!$AD$11:$AD$44</c:f>
            </c:numRef>
          </c:val>
          <c:smooth val="0"/>
          <c:extLst>
            <c:ext xmlns:c16="http://schemas.microsoft.com/office/drawing/2014/chart" uri="{C3380CC4-5D6E-409C-BE32-E72D297353CC}">
              <c16:uniqueId val="{00000003-7FA2-4227-BA84-4244727F6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690496"/>
        <c:axId val="426674176"/>
      </c:lineChart>
      <c:catAx>
        <c:axId val="426690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 panose="020B0200000000000000" pitchFamily="50" charset="-128"/>
                <a:ea typeface="+mn-ea"/>
                <a:cs typeface="+mn-cs"/>
              </a:defRPr>
            </a:pPr>
            <a:endParaRPr lang="ja-JP"/>
          </a:p>
        </c:txPr>
        <c:crossAx val="426674176"/>
        <c:crosses val="autoZero"/>
        <c:auto val="1"/>
        <c:lblAlgn val="ctr"/>
        <c:lblOffset val="100"/>
        <c:noMultiLvlLbl val="0"/>
      </c:catAx>
      <c:valAx>
        <c:axId val="42667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 panose="020B0200000000000000" pitchFamily="50" charset="-128"/>
                <a:ea typeface="+mn-ea"/>
                <a:cs typeface="+mn-cs"/>
              </a:defRPr>
            </a:pPr>
            <a:endParaRPr lang="ja-JP"/>
          </a:p>
        </c:txPr>
        <c:crossAx val="426690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Noto Sans JP" panose="020B0200000000000000" pitchFamily="50" charset="-128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Noto Sans JP" panose="020B0200000000000000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 panose="020B0200000000000000" pitchFamily="50" charset="-128"/>
                <a:ea typeface="+mn-ea"/>
                <a:cs typeface="+mn-cs"/>
              </a:defRPr>
            </a:pPr>
            <a:r>
              <a:rPr lang="en-US"/>
              <a:t>Forward delta by segment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Noto Sans JP" panose="020B0200000000000000" pitchFamily="50" charset="-128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Swap total</c:v>
          </c:tx>
          <c:spPr>
            <a:solidFill>
              <a:srgbClr val="1F6EB4"/>
            </a:solidFill>
            <a:ln>
              <a:noFill/>
            </a:ln>
            <a:effectLst/>
          </c:spPr>
          <c:invertIfNegative val="0"/>
          <c:cat>
            <c:strRef>
              <c:f>Forward!$A$5:$A$38</c:f>
            </c:strRef>
          </c:cat>
          <c:val>
            <c:numRef>
              <c:f>Forward!$B$5:$B$38</c:f>
            </c:numRef>
          </c:val>
          <c:extLst>
            <c:ext xmlns:c16="http://schemas.microsoft.com/office/drawing/2014/chart" uri="{C3380CC4-5D6E-409C-BE32-E72D297353CC}">
              <c16:uniqueId val="{00000001-E30A-4A2E-B7D9-4B27BE9A28F7}"/>
            </c:ext>
          </c:extLst>
        </c:ser>
        <c:ser>
          <c:idx val="1"/>
          <c:order val="1"/>
          <c:tx>
            <c:v>Bonds</c:v>
          </c:tx>
          <c:spPr>
            <a:solidFill>
              <a:srgbClr val="F08C2E"/>
            </a:solidFill>
            <a:ln>
              <a:noFill/>
            </a:ln>
            <a:effectLst/>
          </c:spPr>
          <c:invertIfNegative val="0"/>
          <c:cat>
            <c:strRef>
              <c:f>Forward!$A$5:$A$38</c:f>
            </c:strRef>
          </c:cat>
          <c:val>
            <c:numRef>
              <c:f>Forward!$C$5:$C$38</c:f>
            </c:numRef>
          </c:val>
          <c:extLst>
            <c:ext xmlns:c16="http://schemas.microsoft.com/office/drawing/2014/chart" uri="{C3380CC4-5D6E-409C-BE32-E72D297353CC}">
              <c16:uniqueId val="{00000002-E30A-4A2E-B7D9-4B27BE9A2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6697216"/>
        <c:axId val="426697696"/>
      </c:barChart>
      <c:lineChart>
        <c:grouping val="standard"/>
        <c:varyColors val="0"/>
        <c:ser>
          <c:idx val="2"/>
          <c:order val="2"/>
          <c:tx>
            <c:v>Net</c:v>
          </c:tx>
          <c:spPr>
            <a:ln w="25400" cap="rnd">
              <a:solidFill>
                <a:srgbClr val="333333"/>
              </a:solidFill>
              <a:round/>
            </a:ln>
            <a:effectLst/>
          </c:spPr>
          <c:marker>
            <c:symbol val="none"/>
          </c:marker>
          <c:cat>
            <c:strRef>
              <c:f>Forward!$A$5:$A$38</c:f>
            </c:strRef>
          </c:cat>
          <c:val>
            <c:numRef>
              <c:f>Forward!$D$5:$D$38</c:f>
            </c:numRef>
          </c:val>
          <c:smooth val="0"/>
          <c:extLst>
            <c:ext xmlns:c16="http://schemas.microsoft.com/office/drawing/2014/chart" uri="{C3380CC4-5D6E-409C-BE32-E72D297353CC}">
              <c16:uniqueId val="{00000003-E30A-4A2E-B7D9-4B27BE9A2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697216"/>
        <c:axId val="426697696"/>
      </c:lineChart>
      <c:catAx>
        <c:axId val="42669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 panose="020B0200000000000000" pitchFamily="50" charset="-128"/>
                <a:ea typeface="+mn-ea"/>
                <a:cs typeface="+mn-cs"/>
              </a:defRPr>
            </a:pPr>
            <a:endParaRPr lang="ja-JP"/>
          </a:p>
        </c:txPr>
        <c:crossAx val="426697696"/>
        <c:crosses val="autoZero"/>
        <c:auto val="1"/>
        <c:lblAlgn val="ctr"/>
        <c:lblOffset val="100"/>
        <c:noMultiLvlLbl val="0"/>
      </c:catAx>
      <c:valAx>
        <c:axId val="42669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[Red]\(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 panose="020B0200000000000000" pitchFamily="50" charset="-128"/>
                <a:ea typeface="+mn-ea"/>
                <a:cs typeface="+mn-cs"/>
              </a:defRPr>
            </a:pPr>
            <a:endParaRPr lang="ja-JP"/>
          </a:p>
        </c:txPr>
        <c:crossAx val="42669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Noto Sans JP" panose="020B0200000000000000" pitchFamily="50" charset="-128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Noto Sans JP" panose="020B0200000000000000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 panose="020B0200000000000000" pitchFamily="50" charset="-128"/>
                <a:ea typeface="+mn-ea"/>
                <a:cs typeface="+mn-cs"/>
              </a:defRPr>
            </a:pPr>
            <a:r>
              <a:rPr lang="en-US"/>
              <a:t>Delta: SOD vs now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Noto Sans JP" panose="020B0200000000000000" pitchFamily="50" charset="-128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SOD delta</c:v>
          </c:tx>
          <c:spPr>
            <a:solidFill>
              <a:srgbClr val="B0B0B0"/>
            </a:solidFill>
            <a:ln>
              <a:noFill/>
            </a:ln>
            <a:effectLst/>
          </c:spPr>
          <c:invertIfNegative val="0"/>
          <c:cat>
            <c:strRef>
              <c:f>Live!$A$5:$A$38</c:f>
            </c:strRef>
          </c:cat>
          <c:val>
            <c:numRef>
              <c:f>Live!$E$5:$E$38</c:f>
            </c:numRef>
          </c:val>
          <c:extLst>
            <c:ext xmlns:c16="http://schemas.microsoft.com/office/drawing/2014/chart" uri="{C3380CC4-5D6E-409C-BE32-E72D297353CC}">
              <c16:uniqueId val="{00000001-E104-456E-9560-B9AF4CE2B3CE}"/>
            </c:ext>
          </c:extLst>
        </c:ser>
        <c:ser>
          <c:idx val="1"/>
          <c:order val="1"/>
          <c:tx>
            <c:v>Delta now</c:v>
          </c:tx>
          <c:spPr>
            <a:solidFill>
              <a:srgbClr val="1F6EB4"/>
            </a:solidFill>
            <a:ln>
              <a:noFill/>
            </a:ln>
            <a:effectLst/>
          </c:spPr>
          <c:invertIfNegative val="0"/>
          <c:cat>
            <c:strRef>
              <c:f>Live!$A$5:$A$38</c:f>
            </c:strRef>
          </c:cat>
          <c:val>
            <c:numRef>
              <c:f>Live!$H$5:$H$38</c:f>
            </c:numRef>
          </c:val>
          <c:extLst>
            <c:ext xmlns:c16="http://schemas.microsoft.com/office/drawing/2014/chart" uri="{C3380CC4-5D6E-409C-BE32-E72D297353CC}">
              <c16:uniqueId val="{00000002-E104-456E-9560-B9AF4CE2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6692896"/>
        <c:axId val="426693376"/>
      </c:barChart>
      <c:catAx>
        <c:axId val="42669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 panose="020B0200000000000000" pitchFamily="50" charset="-128"/>
                <a:ea typeface="+mn-ea"/>
                <a:cs typeface="+mn-cs"/>
              </a:defRPr>
            </a:pPr>
            <a:endParaRPr lang="ja-JP"/>
          </a:p>
        </c:txPr>
        <c:crossAx val="426693376"/>
        <c:crosses val="autoZero"/>
        <c:auto val="1"/>
        <c:lblAlgn val="ctr"/>
        <c:lblOffset val="100"/>
        <c:noMultiLvlLbl val="0"/>
      </c:catAx>
      <c:valAx>
        <c:axId val="42669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[Red]\(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 panose="020B0200000000000000" pitchFamily="50" charset="-128"/>
                <a:ea typeface="+mn-ea"/>
                <a:cs typeface="+mn-cs"/>
              </a:defRPr>
            </a:pPr>
            <a:endParaRPr lang="ja-JP"/>
          </a:p>
        </c:txPr>
        <c:crossAx val="42669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Noto Sans JP" panose="020B0200000000000000" pitchFamily="50" charset="-128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Noto Sans JP" panose="020B0200000000000000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</xdr:row>
      <xdr:rowOff>0</xdr:rowOff>
    </xdr:from>
    <xdr:to>
      <xdr:col>8</xdr:col>
      <xdr:colOff>50800</xdr:colOff>
      <xdr:row>31</xdr:row>
      <xdr:rowOff>31750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DBDA25E-99E8-C770-2AC5-4F979743EF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177800</xdr:colOff>
      <xdr:row>16</xdr:row>
      <xdr:rowOff>0</xdr:rowOff>
    </xdr:from>
    <xdr:to>
      <xdr:col>17</xdr:col>
      <xdr:colOff>533400</xdr:colOff>
      <xdr:row>31</xdr:row>
      <xdr:rowOff>31750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E6008D3-C19E-2D53-508B-FB753FA790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158750</xdr:rowOff>
    </xdr:from>
    <xdr:to>
      <xdr:col>4</xdr:col>
      <xdr:colOff>692150</xdr:colOff>
      <xdr:row>45</xdr:row>
      <xdr:rowOff>146050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A8E7E203-8F94-F0DE-8835-20327F14EE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819150</xdr:colOff>
      <xdr:row>31</xdr:row>
      <xdr:rowOff>158750</xdr:rowOff>
    </xdr:from>
    <xdr:to>
      <xdr:col>17</xdr:col>
      <xdr:colOff>533400</xdr:colOff>
      <xdr:row>45</xdr:row>
      <xdr:rowOff>146050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5262B0CC-9425-1EEC-25CE-4ECEB22F99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27</xdr:col>
      <xdr:colOff>406400</xdr:colOff>
      <xdr:row>16</xdr:row>
      <xdr:rowOff>158750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EC7FDAB-7517-5659-E492-90E69178A0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36</xdr:row>
      <xdr:rowOff>0</xdr:rowOff>
    </xdr:from>
    <xdr:to>
      <xdr:col>8</xdr:col>
      <xdr:colOff>393700</xdr:colOff>
      <xdr:row>50</xdr:row>
      <xdr:rowOff>114300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95EA62B-9C78-DB9B-B204-A214DAEAF3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0</xdr:rowOff>
    </xdr:from>
    <xdr:to>
      <xdr:col>18</xdr:col>
      <xdr:colOff>558800</xdr:colOff>
      <xdr:row>17</xdr:row>
      <xdr:rowOff>158750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66A3567-68E5-30E6-5266-597CED8930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3</xdr:row>
      <xdr:rowOff>0</xdr:rowOff>
    </xdr:from>
    <xdr:to>
      <xdr:col>25</xdr:col>
      <xdr:colOff>406400</xdr:colOff>
      <xdr:row>15</xdr:row>
      <xdr:rowOff>31750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24BC07-E086-66C9-46B3-E70E05286F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72F13-D5A5-40C9-85FA-6E7FF66CB9D8}">
  <sheetPr codeName="Sheet1">
    <tabColor rgb="FF1F3F7F"/>
  </sheetPr>
  <dimension ref="A1:H14"/>
  <sheetViews>
    <sheetView topLeftCell="A6" zoomScale="70" workbookViewId="0">
      <selection activeCell="K10" sqref="K10"/>
    </sheetView>
  </sheetViews>
  <sheetFormatPr defaultRowHeight="16.5" x14ac:dyDescent="0.5"/>
  <cols>
    <col min="1" max="1" width="16.6328125" customWidth="1"/>
    <col min="2" max="2" width="12.6328125" customWidth="1"/>
    <col min="3" max="3" width="3.6328125" customWidth="1"/>
    <col min="4" max="4" width="22.6328125" customWidth="1"/>
    <col min="5" max="5" width="12.6328125" customWidth="1"/>
    <col min="6" max="6" width="3.6328125" customWidth="1"/>
    <col min="7" max="7" width="16.6328125" customWidth="1"/>
    <col min="8" max="8" width="12.6328125" customWidth="1"/>
  </cols>
  <sheetData>
    <row r="1" spans="1:8" ht="22.5" x14ac:dyDescent="0.5">
      <c r="A1" s="1" t="s">
        <v>165</v>
      </c>
    </row>
    <row r="2" spans="1:8" x14ac:dyDescent="0.5">
      <c r="A2" s="4" t="s">
        <v>166</v>
      </c>
    </row>
    <row r="3" spans="1:8" x14ac:dyDescent="0.5">
      <c r="A3" s="23"/>
    </row>
    <row r="4" spans="1:8" x14ac:dyDescent="0.5">
      <c r="A4" t="s">
        <v>3</v>
      </c>
      <c r="B4" s="21">
        <f>IF(POS_ValDate="","Today (live)",POS_ValDate)</f>
      </c>
    </row>
    <row r="5" spans="1:8" x14ac:dyDescent="0.5">
      <c r="A5" t="s">
        <v>5</v>
      </c>
      <c r="B5" s="21">
        <f ca="1">IF(POS_RiskDate="","Set on Setup",POS_RiskDate)</f>
      </c>
    </row>
    <row r="6" spans="1:8" x14ac:dyDescent="0.5">
      <c r="A6" t="s">
        <v>167</v>
      </c>
      <c r="B6" s="22">
        <f ca="1">Setup!$D$1</f>
      </c>
    </row>
    <row r="8" spans="1:8" x14ac:dyDescent="0.5">
      <c r="A8" s="7" t="s">
        <v>168</v>
      </c>
      <c r="B8" s="7" t="s">
        <v>155</v>
      </c>
      <c r="D8" s="7" t="s">
        <v>169</v>
      </c>
      <c r="E8" s="7" t="s">
        <v>155</v>
      </c>
      <c r="G8" s="7" t="s">
        <v>173</v>
      </c>
      <c r="H8" s="7" t="s">
        <v>155</v>
      </c>
    </row>
    <row r="9" spans="1:8" x14ac:dyDescent="0.5">
      <c r="A9" t="s">
        <v>109</v>
      </c>
      <c r="B9" s="9">
        <f ca="1">SUM(POS_SwapDelta)</f>
      </c>
      <c r="D9" t="s">
        <v>170</v>
      </c>
      <c r="E9" s="9">
        <f ca="1">INDEX(_xlfn.ANCHORARRAY(PCA!$G$11),1)</f>
      </c>
      <c r="G9" t="s">
        <v>156</v>
      </c>
      <c r="H9" s="9">
        <f ca="1">Live!$K$5</f>
      </c>
    </row>
    <row r="10" spans="1:8" x14ac:dyDescent="0.5">
      <c r="A10" t="s">
        <v>110</v>
      </c>
      <c r="B10" s="9">
        <f ca="1">SUM(POS_BondDelta)</f>
      </c>
      <c r="D10" t="s">
        <v>171</v>
      </c>
      <c r="E10" s="9">
        <f ca="1">INDEX(_xlfn.ANCHORARRAY(PCA!$G$11),2)</f>
      </c>
      <c r="G10" t="s">
        <v>157</v>
      </c>
      <c r="H10" s="9">
        <f ca="1">Live!$K$6</f>
      </c>
    </row>
    <row r="11" spans="1:8" x14ac:dyDescent="0.5">
      <c r="A11" t="s">
        <v>111</v>
      </c>
      <c r="B11" s="9">
        <f ca="1">SUM(POS_NetDelta)</f>
      </c>
      <c r="D11" t="s">
        <v>172</v>
      </c>
      <c r="E11" s="9">
        <f ca="1">INDEX(_xlfn.ANCHORARRAY(PCA!$G$11),3)</f>
      </c>
      <c r="G11" t="s">
        <v>158</v>
      </c>
      <c r="H11" s="9">
        <f ca="1">Live!$K$7</f>
      </c>
    </row>
    <row r="12" spans="1:8" x14ac:dyDescent="0.5">
      <c r="A12" t="s">
        <v>113</v>
      </c>
      <c r="B12" s="9">
        <f ca="1">SUM(POS_NetWhatIf)</f>
      </c>
      <c r="D12" t="s">
        <v>132</v>
      </c>
      <c r="E12" s="9">
        <f ca="1">PCA!$G$16</f>
      </c>
      <c r="G12" t="s">
        <v>174</v>
      </c>
      <c r="H12" s="9">
        <f>Live!$K$8</f>
      </c>
    </row>
    <row r="13" spans="1:8" x14ac:dyDescent="0.5">
      <c r="D13" t="s">
        <v>75</v>
      </c>
      <c r="E13" s="9">
        <f ca="1">PCA!$G$17</f>
      </c>
      <c r="G13" t="s">
        <v>175</v>
      </c>
      <c r="H13" s="9">
        <f>Live!$K$9</f>
      </c>
    </row>
    <row r="14" spans="1:8" x14ac:dyDescent="0.5">
      <c r="G14" t="s">
        <v>75</v>
      </c>
      <c r="H14" s="9">
        <f ca="1">Live!$K$10</f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A08B6-9D8C-429B-8E9F-922C8DD95DC1}">
  <sheetPr codeName="Sheet2">
    <tabColor rgb="FF0070C0"/>
  </sheetPr>
  <dimension ref="A1:O40"/>
  <sheetViews>
    <sheetView zoomScale="61" workbookViewId="0">
      <selection activeCell="M24" sqref="M24"/>
    </sheetView>
  </sheetViews>
  <sheetFormatPr defaultRowHeight="16.5" x14ac:dyDescent="0.5"/>
  <cols>
    <col min="1" max="1" width="8.6328125" customWidth="1"/>
    <col min="2" max="8" width="12.6328125" customWidth="1"/>
    <col min="11" max="15" width="12.6328125" customWidth="1"/>
  </cols>
  <sheetData>
    <row r="1" spans="1:15" ht="22.5" x14ac:dyDescent="0.5">
      <c r="A1" s="1" t="s">
        <v>105</v>
      </c>
    </row>
    <row r="2" spans="1:15" x14ac:dyDescent="0.5">
      <c r="A2" s="4" t="s">
        <v>106</v>
      </c>
    </row>
    <row r="4" spans="1:15" ht="33" x14ac:dyDescent="0.5">
      <c r="A4" s="7" t="s">
        <v>13</v>
      </c>
      <c r="B4" s="7" t="s">
        <v>107</v>
      </c>
      <c r="C4" s="7" t="s">
        <v>108</v>
      </c>
      <c r="D4" s="7" t="s">
        <v>109</v>
      </c>
      <c r="E4" s="7" t="s">
        <v>110</v>
      </c>
      <c r="F4" s="7" t="s">
        <v>111</v>
      </c>
      <c r="G4" s="7" t="s">
        <v>112</v>
      </c>
      <c r="H4" s="7" t="s">
        <v>113</v>
      </c>
      <c r="I4" s="7" t="s">
        <v>16</v>
      </c>
      <c r="K4" s="7" t="s">
        <v>16</v>
      </c>
      <c r="L4" s="7" t="s">
        <v>109</v>
      </c>
      <c r="M4" s="7" t="s">
        <v>110</v>
      </c>
      <c r="N4" s="7" t="s">
        <v>111</v>
      </c>
      <c r="O4" s="7" t="s">
        <v>113</v>
      </c>
    </row>
    <row r="5" spans="1:15" x14ac:dyDescent="0.5">
      <c r="A5" cm="1">
        <f t="array" ref="A5:A38">POS_Pillars</f>
      </c>
      <c r="B5" s="9" cm="1">
        <f t="array" aca="1" ref="B5:B38" ca="1">POS_DerivDelta</f>
      </c>
      <c r="C5" s="9" cm="1">
        <f t="array" aca="1" ref="C5" ca="1">TRANSPOSE(MMULT(--TRANSPOSE(Trades!$A$5:$A$54="Done"),IF(ISNUMBER(_xlfn.DROP(_xlfn.ANCHORARRAY(Trades!$I$4),1,5)),_xlfn.DROP(_xlfn.ANCHORARRAY(Trades!$I$4),1,5),0)))</f>
      </c>
      <c r="D5" s="9" cm="1">
        <f t="array" aca="1" ref="D5:D38" ca="1">_xlfn.ANCHORARRAY(B5)+_xlfn.ANCHORARRAY(C5)</f>
      </c>
      <c r="E5" s="9" cm="1">
        <f t="array" aca="1" ref="E5" ca="1">TRANSPOSE(_xlfn.BYCOL(IF(ISNUMBER(_xlfn.DROP(_xlfn.ANCHORARRAY(Bonds!$F$4),1,8)),_xlfn.DROP(_xlfn.ANCHORARRAY(Bonds!$F$4),1,8),0),_xlfn.LAMBDA(_xlpm.c,SUM(_xlpm.c))))</f>
      </c>
      <c r="F5" s="9" cm="1">
        <f t="array" aca="1" ref="F5:F38" ca="1">_xlfn.ANCHORARRAY(D5)+_xlfn.ANCHORARRAY(E5)</f>
      </c>
      <c r="G5" s="9" cm="1">
        <f t="array" aca="1" ref="G5" ca="1">TRANSPOSE(MMULT(--TRANSPOSE(Trades!$A$5:$A$54="What-if"),IF(ISNUMBER(_xlfn.DROP(_xlfn.ANCHORARRAY(Trades!$I$4),1,5)),_xlfn.DROP(_xlfn.ANCHORARRAY(Trades!$I$4),1,5),0)))</f>
      </c>
      <c r="H5" s="9" cm="1">
        <f t="array" aca="1" ref="H5:H38" ca="1">_xlfn.ANCHORARRAY(F5)+_xlfn.ANCHORARRAY(G5)</f>
      </c>
      <c r="I5" cm="1">
        <f t="array" ref="I5:I38">POS_Buckets</f>
      </c>
      <c r="K5" cm="1">
        <f t="array" ref="K5:K10">{"0-1Y";"1-2Y";"2-5Y";"5-10Y";"10-20Y";"20Y+"}</f>
      </c>
      <c r="L5" s="9" cm="1">
        <f t="array" aca="1" ref="L5:L10" ca="1">SUMIFS(_xlfn.ANCHORARRAY(D5),_xlfn.ANCHORARRAY($I$5),_xlfn.ANCHORARRAY($K$5))</f>
      </c>
      <c r="M5" s="9" cm="1">
        <f t="array" aca="1" ref="M5:M10" ca="1">SUMIFS(_xlfn.ANCHORARRAY(E5),_xlfn.ANCHORARRAY($I$5),_xlfn.ANCHORARRAY($K$5))</f>
      </c>
      <c r="N5" s="9" cm="1">
        <f t="array" aca="1" ref="N5:N10" ca="1">SUMIFS(_xlfn.ANCHORARRAY(F5),_xlfn.ANCHORARRAY($I$5),_xlfn.ANCHORARRAY($K$5))</f>
      </c>
      <c r="O5" s="9" cm="1">
        <f t="array" aca="1" ref="O5:O10" ca="1">SUMIFS(_xlfn.ANCHORARRAY(H5),_xlfn.ANCHORARRAY($I$5),_xlfn.ANCHORARRAY($K$5))</f>
      </c>
    </row>
    <row r="6" spans="1:15" x14ac:dyDescent="0.5">
      <c r="B6" s="9">
        <f ca="1"/>
      </c>
      <c r="C6" s="9"/>
      <c r="D6" s="9">
        <f ca="1"/>
      </c>
      <c r="E6" s="9"/>
      <c r="F6" s="9">
        <f ca="1"/>
      </c>
      <c r="G6" s="9"/>
      <c r="H6" s="9">
        <f ca="1"/>
      </c>
      <c r="L6" s="9">
        <f ca="1"/>
      </c>
      <c r="M6" s="9">
        <f ca="1"/>
      </c>
      <c r="N6" s="9">
        <f ca="1"/>
      </c>
      <c r="O6" s="9">
        <f ca="1"/>
      </c>
    </row>
    <row r="7" spans="1:15" x14ac:dyDescent="0.5">
      <c r="B7" s="9">
        <f ca="1"/>
      </c>
      <c r="C7" s="9"/>
      <c r="D7" s="9">
        <f ca="1"/>
      </c>
      <c r="E7" s="9"/>
      <c r="F7" s="9">
        <f ca="1"/>
      </c>
      <c r="G7" s="9"/>
      <c r="H7" s="9">
        <f ca="1"/>
      </c>
      <c r="L7" s="9">
        <f ca="1"/>
      </c>
      <c r="M7" s="9">
        <f ca="1"/>
      </c>
      <c r="N7" s="9">
        <f ca="1"/>
      </c>
      <c r="O7" s="9">
        <f ca="1"/>
      </c>
    </row>
    <row r="8" spans="1:15" x14ac:dyDescent="0.5">
      <c r="B8" s="9">
        <f ca="1"/>
      </c>
      <c r="C8" s="9"/>
      <c r="D8" s="9">
        <f ca="1"/>
      </c>
      <c r="E8" s="9"/>
      <c r="F8" s="9">
        <f ca="1"/>
      </c>
      <c r="G8" s="9"/>
      <c r="H8" s="9">
        <f ca="1"/>
      </c>
      <c r="L8" s="9">
        <f ca="1"/>
      </c>
      <c r="M8" s="9">
        <f ca="1"/>
      </c>
      <c r="N8" s="9">
        <f ca="1"/>
      </c>
      <c r="O8" s="9">
        <f ca="1"/>
      </c>
    </row>
    <row r="9" spans="1:15" x14ac:dyDescent="0.5">
      <c r="B9" s="9">
        <f ca="1"/>
      </c>
      <c r="C9" s="9"/>
      <c r="D9" s="9">
        <f ca="1"/>
      </c>
      <c r="E9" s="9"/>
      <c r="F9" s="9">
        <f ca="1"/>
      </c>
      <c r="G9" s="9"/>
      <c r="H9" s="9">
        <f ca="1"/>
      </c>
      <c r="L9" s="9">
        <f ca="1"/>
      </c>
      <c r="M9" s="9">
        <f ca="1"/>
      </c>
      <c r="N9" s="9">
        <f ca="1"/>
      </c>
      <c r="O9" s="9">
        <f ca="1"/>
      </c>
    </row>
    <row r="10" spans="1:15" x14ac:dyDescent="0.5">
      <c r="B10" s="9">
        <f ca="1"/>
      </c>
      <c r="C10" s="9"/>
      <c r="D10" s="9">
        <f ca="1"/>
      </c>
      <c r="E10" s="9"/>
      <c r="F10" s="9">
        <f ca="1"/>
      </c>
      <c r="G10" s="9"/>
      <c r="H10" s="9">
        <f ca="1"/>
      </c>
      <c r="L10" s="9">
        <f ca="1"/>
      </c>
      <c r="M10" s="9">
        <f ca="1"/>
      </c>
      <c r="N10" s="9">
        <f ca="1"/>
      </c>
      <c r="O10" s="9">
        <f ca="1"/>
      </c>
    </row>
    <row r="11" spans="1:15" x14ac:dyDescent="0.5">
      <c r="B11" s="9">
        <f ca="1"/>
      </c>
      <c r="C11" s="9"/>
      <c r="D11" s="9">
        <f ca="1"/>
      </c>
      <c r="E11" s="9"/>
      <c r="F11" s="9">
        <f ca="1"/>
      </c>
      <c r="G11" s="9"/>
      <c r="H11" s="9">
        <f ca="1"/>
      </c>
      <c r="K11" s="15" t="s">
        <v>75</v>
      </c>
      <c r="L11" s="16">
        <f ca="1">SUM(_xlfn.ANCHORARRAY(L5))</f>
      </c>
      <c r="M11" s="16">
        <f ca="1">SUM(_xlfn.ANCHORARRAY(M5))</f>
      </c>
      <c r="N11" s="16">
        <f ca="1">SUM(_xlfn.ANCHORARRAY(N5))</f>
      </c>
      <c r="O11" s="16">
        <f ca="1">SUM(_xlfn.ANCHORARRAY(O5))</f>
      </c>
    </row>
    <row r="12" spans="1:15" x14ac:dyDescent="0.5">
      <c r="B12" s="9">
        <f ca="1"/>
      </c>
      <c r="C12" s="9"/>
      <c r="D12" s="9">
        <f ca="1"/>
      </c>
      <c r="E12" s="9"/>
      <c r="F12" s="9">
        <f ca="1"/>
      </c>
      <c r="G12" s="9"/>
      <c r="H12" s="9">
        <f ca="1"/>
      </c>
    </row>
    <row r="13" spans="1:15" x14ac:dyDescent="0.5">
      <c r="B13" s="9">
        <f ca="1"/>
      </c>
      <c r="C13" s="9"/>
      <c r="D13" s="9">
        <f ca="1"/>
      </c>
      <c r="E13" s="9"/>
      <c r="F13" s="9">
        <f ca="1"/>
      </c>
      <c r="G13" s="9"/>
      <c r="H13" s="9">
        <f ca="1"/>
      </c>
    </row>
    <row r="14" spans="1:15" x14ac:dyDescent="0.5">
      <c r="B14" s="9">
        <f ca="1"/>
      </c>
      <c r="C14" s="9"/>
      <c r="D14" s="9">
        <f ca="1"/>
      </c>
      <c r="E14" s="9"/>
      <c r="F14" s="9">
        <f ca="1"/>
      </c>
      <c r="G14" s="9"/>
      <c r="H14" s="9">
        <f ca="1"/>
      </c>
      <c r="K14" s="6" t="s">
        <v>114</v>
      </c>
    </row>
    <row r="15" spans="1:15" x14ac:dyDescent="0.5">
      <c r="B15" s="9">
        <f ca="1"/>
      </c>
      <c r="C15" s="9"/>
      <c r="D15" s="9">
        <f ca="1"/>
      </c>
      <c r="E15" s="9"/>
      <c r="F15" s="9">
        <f ca="1"/>
      </c>
      <c r="G15" s="9"/>
      <c r="H15" s="9">
        <f ca="1"/>
      </c>
      <c r="K15" s="7" t="s">
        <v>13</v>
      </c>
      <c r="L15" s="7" t="s">
        <v>111</v>
      </c>
    </row>
    <row r="16" spans="1:15" x14ac:dyDescent="0.5">
      <c r="B16" s="9">
        <f ca="1"/>
      </c>
      <c r="C16" s="9"/>
      <c r="D16" s="9">
        <f ca="1"/>
      </c>
      <c r="E16" s="9"/>
      <c r="F16" s="9">
        <f ca="1"/>
      </c>
      <c r="G16" s="9"/>
      <c r="H16" s="9">
        <f ca="1"/>
      </c>
      <c r="K16" cm="1">
        <f t="array" aca="1" ref="K16:L20" ca="1">_xlfn.TAKE(_xlfn.SORTBY(_xlfn.HSTACK(_xlfn.ANCHORARRAY(A5),_xlfn.ANCHORARRAY(F5)),ABS(_xlfn.ANCHORARRAY(F5)),-1),5)</f>
      </c>
      <c r="L16" s="9">
        <f ca="1"/>
      </c>
    </row>
    <row r="17" spans="1:12" x14ac:dyDescent="0.5">
      <c r="B17" s="9">
        <f ca="1"/>
      </c>
      <c r="C17" s="9"/>
      <c r="D17" s="9">
        <f ca="1"/>
      </c>
      <c r="E17" s="9"/>
      <c r="F17" s="9">
        <f ca="1"/>
      </c>
      <c r="G17" s="9"/>
      <c r="H17" s="9">
        <f ca="1"/>
      </c>
      <c r="K17">
        <f ca="1"/>
      </c>
      <c r="L17" s="9">
        <f ca="1"/>
      </c>
    </row>
    <row r="18" spans="1:12" x14ac:dyDescent="0.5">
      <c r="B18" s="9">
        <f ca="1"/>
      </c>
      <c r="C18" s="9"/>
      <c r="D18" s="9">
        <f ca="1"/>
      </c>
      <c r="E18" s="9"/>
      <c r="F18" s="9">
        <f ca="1"/>
      </c>
      <c r="G18" s="9"/>
      <c r="H18" s="9">
        <f ca="1"/>
      </c>
      <c r="K18">
        <f ca="1"/>
      </c>
      <c r="L18" s="9">
        <f ca="1"/>
      </c>
    </row>
    <row r="19" spans="1:12" x14ac:dyDescent="0.5">
      <c r="B19" s="9">
        <f ca="1"/>
      </c>
      <c r="C19" s="9"/>
      <c r="D19" s="9">
        <f ca="1"/>
      </c>
      <c r="E19" s="9"/>
      <c r="F19" s="9">
        <f ca="1"/>
      </c>
      <c r="G19" s="9"/>
      <c r="H19" s="9">
        <f ca="1"/>
      </c>
      <c r="K19">
        <f ca="1"/>
      </c>
      <c r="L19" s="9">
        <f ca="1"/>
      </c>
    </row>
    <row r="20" spans="1:12" x14ac:dyDescent="0.5">
      <c r="B20" s="9">
        <f ca="1"/>
      </c>
      <c r="C20" s="9"/>
      <c r="D20" s="9">
        <f ca="1"/>
      </c>
      <c r="E20" s="9"/>
      <c r="F20" s="9">
        <f ca="1"/>
      </c>
      <c r="G20" s="9"/>
      <c r="H20" s="9">
        <f ca="1"/>
      </c>
      <c r="K20">
        <f ca="1"/>
      </c>
      <c r="L20" s="9">
        <f ca="1"/>
      </c>
    </row>
    <row r="21" spans="1:12" x14ac:dyDescent="0.5">
      <c r="B21" s="9">
        <f ca="1"/>
      </c>
      <c r="C21" s="9"/>
      <c r="D21" s="9">
        <f ca="1"/>
      </c>
      <c r="E21" s="9"/>
      <c r="F21" s="9">
        <f ca="1"/>
      </c>
      <c r="G21" s="9"/>
      <c r="H21" s="9">
        <f ca="1"/>
      </c>
    </row>
    <row r="22" spans="1:12" x14ac:dyDescent="0.5">
      <c r="B22" s="9">
        <f ca="1"/>
      </c>
      <c r="C22" s="9"/>
      <c r="D22" s="9">
        <f ca="1"/>
      </c>
      <c r="E22" s="9"/>
      <c r="F22" s="9">
        <f ca="1"/>
      </c>
      <c r="G22" s="9"/>
      <c r="H22" s="9">
        <f ca="1"/>
      </c>
    </row>
    <row r="23" spans="1:12" x14ac:dyDescent="0.5">
      <c r="B23" s="9">
        <f ca="1"/>
      </c>
      <c r="C23" s="9"/>
      <c r="D23" s="9">
        <f ca="1"/>
      </c>
      <c r="E23" s="9"/>
      <c r="F23" s="9">
        <f ca="1"/>
      </c>
      <c r="G23" s="9"/>
      <c r="H23" s="9">
        <f ca="1"/>
      </c>
    </row>
    <row r="24" spans="1:12" x14ac:dyDescent="0.5">
      <c r="B24" s="9">
        <f ca="1"/>
      </c>
      <c r="C24" s="9"/>
      <c r="D24" s="9">
        <f ca="1"/>
      </c>
      <c r="E24" s="9"/>
      <c r="F24" s="9">
        <f ca="1"/>
      </c>
      <c r="G24" s="9"/>
      <c r="H24" s="9">
        <f ca="1"/>
      </c>
    </row>
    <row r="25" spans="1:12" x14ac:dyDescent="0.5">
      <c r="B25" s="9">
        <f ca="1"/>
      </c>
      <c r="C25" s="9"/>
      <c r="D25" s="9">
        <f ca="1"/>
      </c>
      <c r="E25" s="9"/>
      <c r="F25" s="9">
        <f ca="1"/>
      </c>
      <c r="G25" s="9"/>
      <c r="H25" s="9">
        <f ca="1"/>
      </c>
    </row>
    <row r="26" spans="1:12" x14ac:dyDescent="0.5">
      <c r="B26" s="9">
        <f ca="1"/>
      </c>
      <c r="C26" s="9"/>
      <c r="D26" s="9">
        <f ca="1"/>
      </c>
      <c r="E26" s="9"/>
      <c r="F26" s="9">
        <f ca="1"/>
      </c>
      <c r="G26" s="9"/>
      <c r="H26" s="9">
        <f ca="1"/>
      </c>
    </row>
    <row r="27" spans="1:12" x14ac:dyDescent="0.5">
      <c r="B27" s="9">
        <f ca="1"/>
      </c>
      <c r="C27" s="9"/>
      <c r="D27" s="9">
        <f ca="1"/>
      </c>
      <c r="E27" s="9"/>
      <c r="F27" s="9">
        <f ca="1"/>
      </c>
      <c r="G27" s="9"/>
      <c r="H27" s="9">
        <f ca="1"/>
      </c>
    </row>
    <row r="28" spans="1:12" x14ac:dyDescent="0.5">
      <c r="B28" s="9">
        <f ca="1"/>
      </c>
      <c r="C28" s="9"/>
      <c r="D28" s="9">
        <f ca="1"/>
      </c>
      <c r="E28" s="9"/>
      <c r="F28" s="9">
        <f ca="1"/>
      </c>
      <c r="G28" s="9"/>
      <c r="H28" s="9">
        <f ca="1"/>
      </c>
    </row>
    <row r="29" spans="1:12" x14ac:dyDescent="0.5">
      <c r="B29" s="9">
        <f ca="1"/>
      </c>
      <c r="C29" s="9"/>
      <c r="D29" s="9">
        <f ca="1"/>
      </c>
      <c r="E29" s="9"/>
      <c r="F29" s="9">
        <f ca="1"/>
      </c>
      <c r="G29" s="9"/>
      <c r="H29" s="9">
        <f ca="1"/>
      </c>
    </row>
    <row r="30" spans="1:12" x14ac:dyDescent="0.5">
      <c r="B30" s="9">
        <f ca="1"/>
      </c>
      <c r="C30" s="9"/>
      <c r="D30" s="9">
        <f ca="1"/>
      </c>
      <c r="E30" s="9"/>
      <c r="F30" s="9">
        <f ca="1"/>
      </c>
      <c r="G30" s="9"/>
      <c r="H30" s="9">
        <f ca="1"/>
      </c>
    </row>
    <row r="31" spans="1:12" x14ac:dyDescent="0.5">
      <c r="B31" s="9">
        <f ca="1"/>
      </c>
      <c r="C31" s="9"/>
      <c r="D31" s="9">
        <f ca="1"/>
      </c>
      <c r="E31" s="9"/>
      <c r="F31" s="9">
        <f ca="1"/>
      </c>
      <c r="G31" s="9"/>
      <c r="H31" s="9">
        <f ca="1"/>
      </c>
    </row>
    <row r="32" spans="1:12" x14ac:dyDescent="0.5">
      <c r="B32" s="9">
        <f ca="1"/>
      </c>
      <c r="C32" s="9"/>
      <c r="D32" s="9">
        <f ca="1"/>
      </c>
      <c r="E32" s="9"/>
      <c r="F32" s="9">
        <f ca="1"/>
      </c>
      <c r="G32" s="9"/>
      <c r="H32" s="9">
        <f ca="1"/>
      </c>
    </row>
    <row r="33" spans="1:9" x14ac:dyDescent="0.5">
      <c r="B33" s="9">
        <f ca="1"/>
      </c>
      <c r="C33" s="9"/>
      <c r="D33" s="9">
        <f ca="1"/>
      </c>
      <c r="E33" s="9"/>
      <c r="F33" s="9">
        <f ca="1"/>
      </c>
      <c r="G33" s="9"/>
      <c r="H33" s="9">
        <f ca="1"/>
      </c>
    </row>
    <row r="34" spans="1:9" x14ac:dyDescent="0.5">
      <c r="B34" s="9">
        <f ca="1"/>
      </c>
      <c r="C34" s="9"/>
      <c r="D34" s="9">
        <f ca="1"/>
      </c>
      <c r="E34" s="9"/>
      <c r="F34" s="9">
        <f ca="1"/>
      </c>
      <c r="G34" s="9"/>
      <c r="H34" s="9">
        <f ca="1"/>
      </c>
    </row>
    <row r="35" spans="1:9" x14ac:dyDescent="0.5">
      <c r="B35" s="9">
        <f ca="1"/>
      </c>
      <c r="C35" s="9"/>
      <c r="D35" s="9">
        <f ca="1"/>
      </c>
      <c r="E35" s="9"/>
      <c r="F35" s="9">
        <f ca="1"/>
      </c>
      <c r="G35" s="9"/>
      <c r="H35" s="9">
        <f ca="1"/>
      </c>
    </row>
    <row r="36" spans="1:9" x14ac:dyDescent="0.5">
      <c r="B36" s="9">
        <f ca="1"/>
      </c>
      <c r="C36" s="9"/>
      <c r="D36" s="9">
        <f ca="1"/>
      </c>
      <c r="E36" s="9"/>
      <c r="F36" s="9">
        <f ca="1"/>
      </c>
      <c r="G36" s="9"/>
      <c r="H36" s="9">
        <f ca="1"/>
      </c>
    </row>
    <row r="37" spans="1:9" x14ac:dyDescent="0.5">
      <c r="B37" s="9">
        <f ca="1"/>
      </c>
      <c r="C37" s="9"/>
      <c r="D37" s="9">
        <f ca="1"/>
      </c>
      <c r="E37" s="9"/>
      <c r="F37" s="9">
        <f ca="1"/>
      </c>
      <c r="G37" s="9"/>
      <c r="H37" s="9">
        <f ca="1"/>
      </c>
    </row>
    <row r="38" spans="1:9" x14ac:dyDescent="0.5">
      <c r="B38" s="9">
        <f ca="1"/>
      </c>
      <c r="C38" s="9"/>
      <c r="D38" s="9">
        <f ca="1"/>
      </c>
      <c r="E38" s="9"/>
      <c r="F38" s="9">
        <f ca="1"/>
      </c>
      <c r="G38" s="9"/>
      <c r="H38" s="9">
        <f ca="1"/>
      </c>
    </row>
    <row r="39" spans="1:9" x14ac:dyDescent="0.5">
      <c r="B39" s="9"/>
      <c r="C39" s="9"/>
      <c r="D39" s="9"/>
      <c r="E39" s="9"/>
      <c r="F39" s="9"/>
      <c r="G39" s="9"/>
      <c r="H39" s="9"/>
    </row>
    <row r="40" spans="1:9" x14ac:dyDescent="0.5">
      <c r="A40" s="15" t="s">
        <v>75</v>
      </c>
      <c r="B40" s="16">
        <f t="shared" ref="B40:H40" ca="1" si="0">SUM(_xlfn.ANCHORARRAY(B5))</f>
      </c>
      <c r="C40" s="16">
        <f t="shared" ca="1" si="0"/>
      </c>
      <c r="D40" s="16">
        <f t="shared" ca="1" si="0"/>
      </c>
      <c r="E40" s="16">
        <f t="shared" ca="1" si="0"/>
      </c>
      <c r="F40" s="16">
        <f t="shared" ca="1" si="0"/>
      </c>
      <c r="G40" s="16">
        <f t="shared" ca="1" si="0"/>
      </c>
      <c r="H40" s="16">
        <f t="shared" ca="1" si="0"/>
      </c>
    </row>
  </sheetData>
  <phoneticPr fontId="3"/>
  <conditionalFormatting sqref="B5:H38">
    <cfRule type="colorScale" priority="1">
      <colorScale>
        <cfvo type="min"/>
        <cfvo type="num" val="0"/>
        <cfvo type="max"/>
        <color rgb="FFF8696B"/>
        <color rgb="FFFFFFFF"/>
        <color rgb="FF5A8AC4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9A2A0-3426-4B7E-B1F0-162209147584}">
  <sheetPr codeName="Sheet3">
    <tabColor rgb="FF0070C0"/>
  </sheetPr>
  <dimension ref="A1:BG44"/>
  <sheetViews>
    <sheetView tabSelected="1" zoomScale="50" workbookViewId="0">
      <selection activeCell="Q19" sqref="Q19"/>
    </sheetView>
  </sheetViews>
  <sheetFormatPr defaultRowHeight="16.5" x14ac:dyDescent="0.5"/>
  <cols>
    <col min="1" max="1" width="18.6328125" customWidth="1"/>
    <col min="2" max="8" width="12.6328125" customWidth="1"/>
    <col min="10" max="13" width="11.6328125" customWidth="1"/>
    <col min="25" max="26" width="8.6328125" customWidth="1"/>
    <col min="27" max="61" width="7.6328125" customWidth="1"/>
  </cols>
  <sheetData>
    <row r="1" spans="1:59" ht="22.5" x14ac:dyDescent="0.5">
      <c r="A1" s="1" t="s">
        <v>115</v>
      </c>
    </row>
    <row r="2" spans="1:59" x14ac:dyDescent="0.5">
      <c r="A2" s="4" t="s">
        <v>116</v>
      </c>
    </row>
    <row r="4" spans="1:59" x14ac:dyDescent="0.5">
      <c r="A4" cm="1">
        <f t="array" ref="A4:B7">PosPcaWindow(POS_Pillars,POS_PcaUse,POS_Window,POS_WindowEnd)</f>
      </c>
      <c r="B4" s="11"/>
      <c r="D4" t="s">
        <v>117</v>
      </c>
      <c r="E4">
        <f>POS_K</f>
      </c>
    </row>
    <row r="5" spans="1:59" x14ac:dyDescent="0.5">
      <c r="B5" s="11"/>
    </row>
    <row r="6" spans="1:59" x14ac:dyDescent="0.5"/>
    <row r="7" spans="1:59" x14ac:dyDescent="0.5"/>
    <row r="8" spans="1:59" x14ac:dyDescent="0.5">
      <c r="Y8" t="s">
        <v>118</v>
      </c>
      <c r="AA8" t="s">
        <v>119</v>
      </c>
    </row>
    <row r="10" spans="1:59" ht="49.5" x14ac:dyDescent="0.5">
      <c r="A10" s="7" t="s">
        <v>120</v>
      </c>
      <c r="B10" s="7" t="s">
        <v>121</v>
      </c>
      <c r="C10" s="7" t="s">
        <v>122</v>
      </c>
      <c r="D10" s="7" t="s">
        <v>123</v>
      </c>
      <c r="E10" s="7" t="s">
        <v>124</v>
      </c>
      <c r="F10" s="7" t="s">
        <v>125</v>
      </c>
      <c r="G10" s="7" t="s">
        <v>126</v>
      </c>
      <c r="H10" s="7" t="s">
        <v>127</v>
      </c>
      <c r="J10" s="7" t="s">
        <v>13</v>
      </c>
      <c r="K10" s="7" t="s">
        <v>130</v>
      </c>
      <c r="L10" s="7" t="s">
        <v>131</v>
      </c>
      <c r="M10" s="7" t="s">
        <v>132</v>
      </c>
      <c r="Y10" cm="1">
        <f t="array" ref="Y10:Z42">PosPcaEigen(POS_Pillars,POS_PcaUse,POS_Window,POS_WindowEnd)</f>
      </c>
      <c r="AA10" cm="1">
        <f t="array" ref="AA10:BG44">PosPcaLoadings(POS_Pillars,POS_PcaUse,POS_Window,POS_WindowEnd)</f>
      </c>
    </row>
    <row r="11" spans="1:59" x14ac:dyDescent="0.5">
      <c r="A11" cm="1">
        <f t="array" ref="A11:A15">_xlfn.TAKE(_xlfn.DROP(_xlfn.ANCHORARRAY(PCA!$Y$10),1),5,1)</f>
      </c>
      <c r="B11" s="17" cm="1">
        <f t="array" ref="B11:B15">_xlfn.TAKE(POS_PcStd,5)</f>
      </c>
      <c r="C11" s="18" cm="1">
        <f t="array" ref="C11:C15">_xlfn.TAKE(POS_PcStd^2/SUM(POS_PcStd^2),5)</f>
      </c>
      <c r="D11" s="9" cm="1">
        <f t="array" aca="1" ref="D11" ca="1">_xlfn.TAKE(POS_PcExp(POS_NetDelta),5)</f>
      </c>
      <c r="E11" s="9" cm="1">
        <f t="array" aca="1" ref="E11:E15" ca="1">_xlfn.TAKE(POS_PcSigma(POS_SwapDelta),5)</f>
      </c>
      <c r="F11" s="9" cm="1">
        <f t="array" aca="1" ref="F11:F15" ca="1">_xlfn.TAKE(POS_PcSigma(POS_BondDelta),5)</f>
      </c>
      <c r="G11" s="9" cm="1">
        <f t="array" aca="1" ref="G11:G15" ca="1">_xlfn.TAKE(POS_PcSigma(POS_NetDelta),5)</f>
      </c>
      <c r="H11" s="9" cm="1">
        <f t="array" aca="1" ref="H11:H15" ca="1">_xlfn.TAKE(POS_PcSigma(POS_NetWhatIf),5)</f>
      </c>
      <c r="J11" cm="1">
        <f t="array" ref="J11:J44">POS_Pillars</f>
      </c>
      <c r="K11" s="9" cm="1">
        <f t="array" aca="1" ref="K11:K44" ca="1">POS_NetDelta</f>
      </c>
      <c r="L11" s="9" cm="1">
        <f t="array" aca="1" ref="L11" ca="1">MMULT(_xlfn.TAKE(POS_Loadings,,POS_K),_xlfn.TAKE(POS_PcExp(POS_NetDelta),POS_K))</f>
      </c>
      <c r="M11" s="9" cm="1">
        <f t="array" aca="1" ref="M11:M44" ca="1">_xlfn.ANCHORARRAY(K11)-_xlfn.ANCHORARRAY(L11)</f>
      </c>
    </row>
    <row r="12" spans="1:59" x14ac:dyDescent="0.5">
      <c r="B12" s="17"/>
      <c r="C12" s="18"/>
      <c r="D12" s="9"/>
      <c r="E12" s="9">
        <f ca="1"/>
      </c>
      <c r="F12" s="9">
        <f ca="1"/>
      </c>
      <c r="G12" s="9">
        <f ca="1"/>
      </c>
      <c r="H12" s="9">
        <f ca="1"/>
      </c>
      <c r="K12" s="9">
        <f ca="1"/>
      </c>
      <c r="L12" s="9"/>
      <c r="M12" s="9">
        <f ca="1"/>
      </c>
    </row>
    <row r="13" spans="1:59" x14ac:dyDescent="0.5">
      <c r="B13" s="17"/>
      <c r="C13" s="18"/>
      <c r="D13" s="9"/>
      <c r="E13" s="9">
        <f ca="1"/>
      </c>
      <c r="F13" s="9">
        <f ca="1"/>
      </c>
      <c r="G13" s="9">
        <f ca="1"/>
      </c>
      <c r="H13" s="9">
        <f ca="1"/>
      </c>
      <c r="K13" s="9">
        <f ca="1"/>
      </c>
      <c r="L13" s="9"/>
      <c r="M13" s="9">
        <f ca="1"/>
      </c>
    </row>
    <row r="14" spans="1:59" x14ac:dyDescent="0.5">
      <c r="B14" s="17"/>
      <c r="C14" s="18"/>
      <c r="D14" s="9"/>
      <c r="E14" s="9">
        <f ca="1"/>
      </c>
      <c r="F14" s="9">
        <f ca="1"/>
      </c>
      <c r="G14" s="9">
        <f ca="1"/>
      </c>
      <c r="H14" s="9">
        <f ca="1"/>
      </c>
      <c r="K14" s="9">
        <f ca="1"/>
      </c>
      <c r="L14" s="9"/>
      <c r="M14" s="9">
        <f ca="1"/>
      </c>
    </row>
    <row r="15" spans="1:59" x14ac:dyDescent="0.5">
      <c r="B15" s="17"/>
      <c r="C15" s="18"/>
      <c r="D15" s="9"/>
      <c r="E15" s="9">
        <f ca="1"/>
      </c>
      <c r="F15" s="9">
        <f ca="1"/>
      </c>
      <c r="G15" s="9">
        <f ca="1"/>
      </c>
      <c r="H15" s="9">
        <f ca="1"/>
      </c>
      <c r="K15" s="9">
        <f ca="1"/>
      </c>
      <c r="L15" s="9"/>
      <c r="M15" s="9">
        <f ca="1"/>
      </c>
    </row>
    <row r="16" spans="1:59" x14ac:dyDescent="0.5">
      <c r="A16" s="15" t="s">
        <v>128</v>
      </c>
      <c r="B16" s="15"/>
      <c r="C16" s="15"/>
      <c r="D16" s="16"/>
      <c r="E16" s="16">
        <f ca="1">SQRT(MAX(0,SUMSQ(POS_PcSigma(POS_SwapDelta))-SUMSQ(_xlfn.TAKE(POS_PcSigma(POS_SwapDelta),POS_K))))</f>
      </c>
      <c r="F16" s="16">
        <f ca="1">SQRT(MAX(0,SUMSQ(POS_PcSigma(POS_BondDelta))-SUMSQ(_xlfn.TAKE(POS_PcSigma(POS_BondDelta),POS_K))))</f>
      </c>
      <c r="G16" s="16">
        <f ca="1">SQRT(MAX(0,SUMSQ(POS_PcSigma(POS_NetDelta))-SUMSQ(_xlfn.TAKE(POS_PcSigma(POS_NetDelta),POS_K))))</f>
      </c>
      <c r="H16" s="16">
        <f ca="1">SQRT(MAX(0,SUMSQ(POS_PcSigma(POS_NetWhatIf))-SUMSQ(_xlfn.TAKE(POS_PcSigma(POS_NetWhatIf),POS_K))))</f>
      </c>
      <c r="K16" s="9">
        <f ca="1"/>
      </c>
      <c r="L16" s="9"/>
      <c r="M16" s="9">
        <f ca="1"/>
      </c>
    </row>
    <row r="17" spans="1:59" x14ac:dyDescent="0.5">
      <c r="A17" s="6" t="s">
        <v>129</v>
      </c>
      <c r="B17" s="6"/>
      <c r="C17" s="6"/>
      <c r="D17" s="10"/>
      <c r="E17" s="10">
        <f ca="1">SQRT(SUMSQ(POS_PcSigma(POS_SwapDelta)))</f>
      </c>
      <c r="F17" s="10">
        <f ca="1">SQRT(SUMSQ(POS_PcSigma(POS_BondDelta)))</f>
      </c>
      <c r="G17" s="10">
        <f ca="1">SQRT(SUMSQ(POS_PcSigma(POS_NetDelta)))</f>
      </c>
      <c r="H17" s="10">
        <f ca="1">SQRT(SUMSQ(POS_PcSigma(POS_NetWhatIf)))</f>
      </c>
      <c r="K17" s="9">
        <f ca="1"/>
      </c>
      <c r="L17" s="9"/>
      <c r="M17" s="9">
        <f ca="1"/>
      </c>
    </row>
    <row r="18" spans="1:59" x14ac:dyDescent="0.5">
      <c r="K18" s="9">
        <f ca="1"/>
      </c>
      <c r="L18" s="9"/>
      <c r="M18" s="9">
        <f ca="1"/>
      </c>
    </row>
    <row r="19" spans="1:59" x14ac:dyDescent="0.5">
      <c r="K19" s="9">
        <f ca="1"/>
      </c>
      <c r="L19" s="9"/>
      <c r="M19" s="9">
        <f ca="1"/>
      </c>
    </row>
    <row r="20" spans="1:59" x14ac:dyDescent="0.5">
      <c r="A20" s="6" t="s">
        <v>133</v>
      </c>
      <c r="K20" s="9">
        <f ca="1"/>
      </c>
      <c r="L20" s="9"/>
      <c r="M20" s="9">
        <f ca="1"/>
      </c>
    </row>
    <row r="21" spans="1:59" ht="33" x14ac:dyDescent="0.5">
      <c r="A21" s="7" t="s">
        <v>134</v>
      </c>
      <c r="B21" s="7" t="s">
        <v>135</v>
      </c>
      <c r="C21" s="7" t="s">
        <v>136</v>
      </c>
      <c r="K21" s="9">
        <f ca="1"/>
      </c>
      <c r="L21" s="9"/>
      <c r="M21" s="9">
        <f ca="1"/>
      </c>
    </row>
    <row r="22" spans="1:59" x14ac:dyDescent="0.5">
      <c r="A22" s="2" t="s">
        <v>36</v>
      </c>
      <c r="B22" s="9" cm="1">
        <f t="array" aca="1" ref="B22" ca="1">_xlfn.LET(_xlpm.l,_xlfn.CHOOSEROWS(_xlfn.TAKE(POS_Loadings,,3),_xlfn.XMATCH(A22:A24,POS_Pillars)),MMULT(MINVERSE(TRANSPOSE(_xlpm.l)),-_xlfn.TAKE(POS_PcExp(POS_NetDelta),3)))</f>
      </c>
      <c r="C22" cm="1">
        <f t="array" aca="1" ref="C22" ca="1">IF(_xlfn.ANCHORARRAY(B22)&gt;0,"PAY","REC")</f>
      </c>
      <c r="D22" s="4" t="s">
        <v>139</v>
      </c>
      <c r="K22" s="9">
        <f ca="1"/>
      </c>
      <c r="L22" s="9"/>
      <c r="M22" s="9">
        <f ca="1"/>
      </c>
    </row>
    <row r="23" spans="1:59" x14ac:dyDescent="0.5">
      <c r="A23" s="2" t="s">
        <v>46</v>
      </c>
      <c r="B23" s="9"/>
      <c r="K23" s="9">
        <f ca="1"/>
      </c>
      <c r="L23" s="9"/>
      <c r="M23" s="9">
        <f ca="1"/>
      </c>
    </row>
    <row r="24" spans="1:59" x14ac:dyDescent="0.5">
      <c r="A24" s="2" t="s">
        <v>54</v>
      </c>
      <c r="B24" s="9"/>
      <c r="K24" s="9">
        <f ca="1"/>
      </c>
      <c r="L24" s="9"/>
      <c r="M24" s="9">
        <f ca="1"/>
      </c>
    </row>
    <row r="25" spans="1:59" x14ac:dyDescent="0.5">
      <c r="B25" s="9"/>
      <c r="K25" s="9">
        <f ca="1"/>
      </c>
      <c r="L25" s="9"/>
      <c r="M25" s="9">
        <f ca="1"/>
      </c>
    </row>
    <row r="26" spans="1:59" x14ac:dyDescent="0.5">
      <c r="A26" t="s">
        <v>137</v>
      </c>
      <c r="B26" s="9">
        <f ca="1">SQRT(SUMSQ(POS_PcSigma(POS_NetDelta)))</f>
      </c>
      <c r="K26" s="9">
        <f ca="1"/>
      </c>
      <c r="L26" s="9"/>
      <c r="M26" s="9">
        <f ca="1"/>
      </c>
    </row>
    <row r="27" spans="1:59" x14ac:dyDescent="0.5">
      <c r="A27" t="s">
        <v>138</v>
      </c>
      <c r="B27" s="9">
        <f ca="1">SQRT(SUMSQ(POS_PcSigma(POS_Hedged)))</f>
      </c>
      <c r="K27" s="9">
        <f ca="1"/>
      </c>
      <c r="L27" s="9"/>
      <c r="M27" s="9">
        <f ca="1"/>
      </c>
    </row>
    <row r="28" spans="1:59" x14ac:dyDescent="0.5">
      <c r="K28" s="9">
        <f ca="1"/>
      </c>
      <c r="L28" s="9"/>
      <c r="M28" s="9">
        <f ca="1"/>
      </c>
    </row>
    <row r="29" spans="1:59" x14ac:dyDescent="0.5">
      <c r="K29" s="9">
        <f ca="1"/>
      </c>
      <c r="L29" s="9"/>
      <c r="M29" s="9">
        <f ca="1"/>
      </c>
    </row>
    <row r="30" spans="1:59" x14ac:dyDescent="0.5">
      <c r="A30" s="6" t="s">
        <v>140</v>
      </c>
      <c r="K30" s="9">
        <f ca="1"/>
      </c>
      <c r="L30" s="9"/>
      <c r="M30" s="9">
        <f ca="1"/>
      </c>
    </row>
    <row r="31" spans="1:59" x14ac:dyDescent="0.5">
      <c r="A31" s="7" t="s">
        <v>120</v>
      </c>
      <c r="B31" s="19">
        <v>-2</v>
      </c>
      <c r="C31" s="19">
        <v>-1</v>
      </c>
      <c r="D31" s="19">
        <v>1</v>
      </c>
      <c r="E31" s="19">
        <v>2</v>
      </c>
      <c r="K31" s="9">
        <f ca="1"/>
      </c>
      <c r="L31" s="9"/>
      <c r="M31" s="9">
        <f ca="1"/>
      </c>
    </row>
    <row r="32" spans="1:59" x14ac:dyDescent="0.5">
      <c r="A32" s="20">
        <v>1</v>
      </c>
      <c r="B32" s="9" cm="1">
        <f t="array" aca="1" ref="B32" ca="1">_xlfn.LET(_xlpm.k,$A32,_xlpm.c,B$31,_xlpm.s,INDEX(POS_PcStd,_xlpm.k),_xlpm.l,INDEX(POS_Loadings,,_xlpm.k),_xlpm.c*_xlpm.s*INDEX(POS_PcExp(POS_NetDelta),_xlpm.k)+0.5*(_xlpm.c*_xlpm.s)^2*INDEX(MMULT(TRANSPOSE(_xlpm.l),MMULT(POS_Gamma,_xlpm.l)),1,1))</f>
      </c>
      <c r="C32" s="9" cm="1">
        <f t="array" aca="1" ref="C32" ca="1">_xlfn.LET(_xlpm.k,$A32,_xlpm.c,C$31,_xlpm.s,INDEX(POS_PcStd,_xlpm.k),_xlpm.l,INDEX(POS_Loadings,,_xlpm.k),_xlpm.c*_xlpm.s*INDEX(POS_PcExp(POS_NetDelta),_xlpm.k)+0.5*(_xlpm.c*_xlpm.s)^2*INDEX(MMULT(TRANSPOSE(_xlpm.l),MMULT(POS_Gamma,_xlpm.l)),1,1))</f>
      </c>
      <c r="D32" s="9" cm="1">
        <f t="array" aca="1" ref="D32" ca="1">_xlfn.LET(_xlpm.k,$A32,_xlpm.c,D$31,_xlpm.s,INDEX(POS_PcStd,_xlpm.k),_xlpm.l,INDEX(POS_Loadings,,_xlpm.k),_xlpm.c*_xlpm.s*INDEX(POS_PcExp(POS_NetDelta),_xlpm.k)+0.5*(_xlpm.c*_xlpm.s)^2*INDEX(MMULT(TRANSPOSE(_xlpm.l),MMULT(POS_Gamma,_xlpm.l)),1,1))</f>
      </c>
      <c r="E32" s="9" cm="1">
        <f t="array" aca="1" ref="E32" ca="1">_xlfn.LET(_xlpm.k,$A32,_xlpm.c,E$31,_xlpm.s,INDEX(POS_PcStd,_xlpm.k),_xlpm.l,INDEX(POS_Loadings,,_xlpm.k),_xlpm.c*_xlpm.s*INDEX(POS_PcExp(POS_NetDelta),_xlpm.k)+0.5*(_xlpm.c*_xlpm.s)^2*INDEX(MMULT(TRANSPOSE(_xlpm.l),MMULT(POS_Gamma,_xlpm.l)),1,1))</f>
      </c>
      <c r="K32" s="9">
        <f ca="1"/>
      </c>
      <c r="L32" s="9"/>
      <c r="M32" s="9">
        <f ca="1"/>
      </c>
    </row>
    <row r="33" spans="1:59" x14ac:dyDescent="0.5">
      <c r="A33" s="20">
        <v>2</v>
      </c>
      <c r="B33" s="9" cm="1">
        <f t="array" aca="1" ref="B33" ca="1">_xlfn.LET(_xlpm.k,$A33,_xlpm.c,B$31,_xlpm.s,INDEX(POS_PcStd,_xlpm.k),_xlpm.l,INDEX(POS_Loadings,,_xlpm.k),_xlpm.c*_xlpm.s*INDEX(POS_PcExp(POS_NetDelta),_xlpm.k)+0.5*(_xlpm.c*_xlpm.s)^2*INDEX(MMULT(TRANSPOSE(_xlpm.l),MMULT(POS_Gamma,_xlpm.l)),1,1))</f>
      </c>
      <c r="C33" s="9" cm="1">
        <f t="array" aca="1" ref="C33" ca="1">_xlfn.LET(_xlpm.k,$A33,_xlpm.c,C$31,_xlpm.s,INDEX(POS_PcStd,_xlpm.k),_xlpm.l,INDEX(POS_Loadings,,_xlpm.k),_xlpm.c*_xlpm.s*INDEX(POS_PcExp(POS_NetDelta),_xlpm.k)+0.5*(_xlpm.c*_xlpm.s)^2*INDEX(MMULT(TRANSPOSE(_xlpm.l),MMULT(POS_Gamma,_xlpm.l)),1,1))</f>
      </c>
      <c r="D33" s="9" cm="1">
        <f t="array" aca="1" ref="D33" ca="1">_xlfn.LET(_xlpm.k,$A33,_xlpm.c,D$31,_xlpm.s,INDEX(POS_PcStd,_xlpm.k),_xlpm.l,INDEX(POS_Loadings,,_xlpm.k),_xlpm.c*_xlpm.s*INDEX(POS_PcExp(POS_NetDelta),_xlpm.k)+0.5*(_xlpm.c*_xlpm.s)^2*INDEX(MMULT(TRANSPOSE(_xlpm.l),MMULT(POS_Gamma,_xlpm.l)),1,1))</f>
      </c>
      <c r="E33" s="9" cm="1">
        <f t="array" aca="1" ref="E33" ca="1">_xlfn.LET(_xlpm.k,$A33,_xlpm.c,E$31,_xlpm.s,INDEX(POS_PcStd,_xlpm.k),_xlpm.l,INDEX(POS_Loadings,,_xlpm.k),_xlpm.c*_xlpm.s*INDEX(POS_PcExp(POS_NetDelta),_xlpm.k)+0.5*(_xlpm.c*_xlpm.s)^2*INDEX(MMULT(TRANSPOSE(_xlpm.l),MMULT(POS_Gamma,_xlpm.l)),1,1))</f>
      </c>
      <c r="K33" s="9">
        <f ca="1"/>
      </c>
      <c r="L33" s="9"/>
      <c r="M33" s="9">
        <f ca="1"/>
      </c>
    </row>
    <row r="34" spans="1:59" x14ac:dyDescent="0.5">
      <c r="A34" s="20">
        <v>3</v>
      </c>
      <c r="B34" s="9" cm="1">
        <f t="array" aca="1" ref="B34" ca="1">_xlfn.LET(_xlpm.k,$A34,_xlpm.c,B$31,_xlpm.s,INDEX(POS_PcStd,_xlpm.k),_xlpm.l,INDEX(POS_Loadings,,_xlpm.k),_xlpm.c*_xlpm.s*INDEX(POS_PcExp(POS_NetDelta),_xlpm.k)+0.5*(_xlpm.c*_xlpm.s)^2*INDEX(MMULT(TRANSPOSE(_xlpm.l),MMULT(POS_Gamma,_xlpm.l)),1,1))</f>
      </c>
      <c r="C34" s="9" cm="1">
        <f t="array" aca="1" ref="C34" ca="1">_xlfn.LET(_xlpm.k,$A34,_xlpm.c,C$31,_xlpm.s,INDEX(POS_PcStd,_xlpm.k),_xlpm.l,INDEX(POS_Loadings,,_xlpm.k),_xlpm.c*_xlpm.s*INDEX(POS_PcExp(POS_NetDelta),_xlpm.k)+0.5*(_xlpm.c*_xlpm.s)^2*INDEX(MMULT(TRANSPOSE(_xlpm.l),MMULT(POS_Gamma,_xlpm.l)),1,1))</f>
      </c>
      <c r="D34" s="9" cm="1">
        <f t="array" aca="1" ref="D34" ca="1">_xlfn.LET(_xlpm.k,$A34,_xlpm.c,D$31,_xlpm.s,INDEX(POS_PcStd,_xlpm.k),_xlpm.l,INDEX(POS_Loadings,,_xlpm.k),_xlpm.c*_xlpm.s*INDEX(POS_PcExp(POS_NetDelta),_xlpm.k)+0.5*(_xlpm.c*_xlpm.s)^2*INDEX(MMULT(TRANSPOSE(_xlpm.l),MMULT(POS_Gamma,_xlpm.l)),1,1))</f>
      </c>
      <c r="E34" s="9" cm="1">
        <f t="array" aca="1" ref="E34" ca="1">_xlfn.LET(_xlpm.k,$A34,_xlpm.c,E$31,_xlpm.s,INDEX(POS_PcStd,_xlpm.k),_xlpm.l,INDEX(POS_Loadings,,_xlpm.k),_xlpm.c*_xlpm.s*INDEX(POS_PcExp(POS_NetDelta),_xlpm.k)+0.5*(_xlpm.c*_xlpm.s)^2*INDEX(MMULT(TRANSPOSE(_xlpm.l),MMULT(POS_Gamma,_xlpm.l)),1,1))</f>
      </c>
      <c r="K34" s="9">
        <f ca="1"/>
      </c>
      <c r="L34" s="9"/>
      <c r="M34" s="9">
        <f ca="1"/>
      </c>
    </row>
    <row r="35" spans="1:59" x14ac:dyDescent="0.5">
      <c r="K35" s="9">
        <f ca="1"/>
      </c>
      <c r="L35" s="9"/>
      <c r="M35" s="9">
        <f ca="1"/>
      </c>
    </row>
    <row r="36" spans="1:59" x14ac:dyDescent="0.5">
      <c r="K36" s="9">
        <f ca="1"/>
      </c>
      <c r="L36" s="9"/>
      <c r="M36" s="9">
        <f ca="1"/>
      </c>
    </row>
    <row r="37" spans="1:59" x14ac:dyDescent="0.5">
      <c r="K37" s="9">
        <f ca="1"/>
      </c>
      <c r="L37" s="9"/>
      <c r="M37" s="9">
        <f ca="1"/>
      </c>
    </row>
    <row r="38" spans="1:59" x14ac:dyDescent="0.5">
      <c r="K38" s="9">
        <f ca="1"/>
      </c>
      <c r="L38" s="9"/>
      <c r="M38" s="9">
        <f ca="1"/>
      </c>
    </row>
    <row r="39" spans="1:59" x14ac:dyDescent="0.5">
      <c r="K39" s="9">
        <f ca="1"/>
      </c>
      <c r="L39" s="9"/>
      <c r="M39" s="9">
        <f ca="1"/>
      </c>
    </row>
    <row r="40" spans="1:59" x14ac:dyDescent="0.5">
      <c r="K40" s="9">
        <f ca="1"/>
      </c>
      <c r="L40" s="9"/>
      <c r="M40" s="9">
        <f ca="1"/>
      </c>
    </row>
    <row r="41" spans="1:59" x14ac:dyDescent="0.5">
      <c r="K41" s="9">
        <f ca="1"/>
      </c>
      <c r="L41" s="9"/>
      <c r="M41" s="9">
        <f ca="1"/>
      </c>
    </row>
    <row r="42" spans="1:59" x14ac:dyDescent="0.5">
      <c r="K42" s="9">
        <f ca="1"/>
      </c>
      <c r="L42" s="9"/>
      <c r="M42" s="9">
        <f ca="1"/>
      </c>
    </row>
    <row r="43" spans="1:59" x14ac:dyDescent="0.5">
      <c r="K43" s="9">
        <f ca="1"/>
      </c>
      <c r="L43" s="9"/>
      <c r="M43" s="9">
        <f ca="1"/>
      </c>
    </row>
    <row r="44" spans="1:59" x14ac:dyDescent="0.5">
      <c r="K44" s="9">
        <f ca="1"/>
      </c>
      <c r="L44" s="9"/>
      <c r="M44" s="9">
        <f ca="1"/>
      </c>
    </row>
  </sheetData>
  <phoneticPr fontId="3"/>
  <dataValidations count="1">
    <dataValidation type="list" allowBlank="1" showInputMessage="1" showErrorMessage="1" sqref="A22:A24" xr:uid="{54B8AD39-4F60-4944-BC34-493666BC7E63}">
      <formula1>POS_Pillars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BCF21-40BE-4C2B-8D45-03E23B9C7120}">
  <sheetPr codeName="Sheet4">
    <tabColor rgb="FF0070C0"/>
  </sheetPr>
  <dimension ref="A1:BI41"/>
  <sheetViews>
    <sheetView workbookViewId="0">
      <selection activeCell="E17" sqref="E17"/>
    </sheetView>
  </sheetViews>
  <sheetFormatPr defaultRowHeight="16.5" x14ac:dyDescent="0.5"/>
  <cols>
    <col min="1" max="1" width="10.6328125" customWidth="1"/>
    <col min="2" max="5" width="12.6328125" customWidth="1"/>
    <col min="27" max="61" width="7.6328125" customWidth="1"/>
  </cols>
  <sheetData>
    <row r="1" spans="1:61" ht="22.5" x14ac:dyDescent="0.5">
      <c r="A1" s="1" t="s">
        <v>141</v>
      </c>
    </row>
    <row r="2" spans="1:61" x14ac:dyDescent="0.5">
      <c r="A2" s="4" t="s">
        <v>142</v>
      </c>
      <c r="AA2" t="s">
        <v>143</v>
      </c>
    </row>
    <row r="4" spans="1:61" x14ac:dyDescent="0.5">
      <c r="A4" s="7" t="s">
        <v>144</v>
      </c>
      <c r="B4" s="7" t="s">
        <v>109</v>
      </c>
      <c r="C4" s="7" t="s">
        <v>110</v>
      </c>
      <c r="D4" s="7" t="s">
        <v>111</v>
      </c>
      <c r="E4" s="7" t="s">
        <v>113</v>
      </c>
      <c r="AA4" cm="1">
        <f t="array" aca="1" ref="AA4:BI38" ca="1">PosForwardJacobian(POS_Pillars,POS_Curve,POS_ValDate)</f>
      </c>
      <c r="AB4">
        <f ca="1"/>
      </c>
      <c r="AC4">
        <f ca="1"/>
      </c>
      <c r="AD4">
        <f ca="1"/>
      </c>
      <c r="AE4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  <c r="AP4">
        <f ca="1"/>
      </c>
      <c r="AQ4">
        <f ca="1"/>
      </c>
      <c r="AR4">
        <f ca="1"/>
      </c>
      <c r="AS4">
        <f ca="1"/>
      </c>
      <c r="AT4">
        <f ca="1"/>
      </c>
      <c r="AU4">
        <f ca="1"/>
      </c>
      <c r="AV4">
        <f ca="1"/>
      </c>
      <c r="AW4">
        <f ca="1"/>
      </c>
      <c r="AX4">
        <f ca="1"/>
      </c>
      <c r="AY4">
        <f ca="1"/>
      </c>
      <c r="AZ4">
        <f ca="1"/>
      </c>
      <c r="BA4">
        <f ca="1"/>
      </c>
      <c r="BB4">
        <f ca="1"/>
      </c>
      <c r="BC4">
        <f ca="1"/>
      </c>
      <c r="BD4">
        <f ca="1"/>
      </c>
      <c r="BE4">
        <f ca="1"/>
      </c>
      <c r="BF4">
        <f ca="1"/>
      </c>
      <c r="BG4">
        <f ca="1"/>
      </c>
      <c r="BH4">
        <f ca="1"/>
      </c>
      <c r="BI4">
        <f ca="1"/>
      </c>
    </row>
    <row r="5" spans="1:61" x14ac:dyDescent="0.5">
      <c r="A5" cm="1">
        <f t="array" aca="1" ref="A5:A38" ca="1">TRANSPOSE(_xlfn.DROP(_xlfn.TAKE(_xlfn.ANCHORARRAY(Forward!$AA$4),1),,1))</f>
      </c>
      <c r="B5" s="9" cm="1">
        <f t="array" aca="1" ref="B5" ca="1">MMULT(TRANSPOSE(POS_Jac),POS_SwapDelta)</f>
      </c>
      <c r="C5" s="9" cm="1">
        <f t="array" aca="1" ref="C5" ca="1">MMULT(TRANSPOSE(POS_Jac),POS_BondDelta)</f>
      </c>
      <c r="D5" s="9" cm="1">
        <f t="array" aca="1" ref="D5" ca="1">MMULT(TRANSPOSE(POS_Jac),POS_NetDelta)</f>
      </c>
      <c r="E5" s="9" cm="1">
        <f t="array" aca="1" ref="E5" ca="1">MMULT(TRANSPOSE(POS_Jac),POS_NetWhatIf)</f>
      </c>
      <c r="AA5">
        <f ca="1"/>
      </c>
      <c r="AB5">
        <f ca="1"/>
      </c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P5">
        <f ca="1"/>
      </c>
      <c r="AQ5">
        <f ca="1"/>
      </c>
      <c r="AR5">
        <f ca="1"/>
      </c>
      <c r="AS5">
        <f ca="1"/>
      </c>
      <c r="AT5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AZ5">
        <f ca="1"/>
      </c>
      <c r="BA5">
        <f ca="1"/>
      </c>
      <c r="BB5">
        <f ca="1"/>
      </c>
      <c r="BC5">
        <f ca="1"/>
      </c>
      <c r="BD5">
        <f ca="1"/>
      </c>
      <c r="BE5">
        <f ca="1"/>
      </c>
      <c r="BF5">
        <f ca="1"/>
      </c>
      <c r="BG5">
        <f ca="1"/>
      </c>
      <c r="BH5">
        <f ca="1"/>
      </c>
      <c r="BI5">
        <f ca="1"/>
      </c>
    </row>
    <row r="6" spans="1:61" x14ac:dyDescent="0.5">
      <c r="A6">
        <f ca="1"/>
      </c>
      <c r="B6" s="9"/>
      <c r="C6" s="9"/>
      <c r="D6" s="9"/>
      <c r="E6" s="9"/>
      <c r="AA6">
        <f ca="1"/>
      </c>
      <c r="AB6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P6">
        <f ca="1"/>
      </c>
      <c r="AQ6">
        <f ca="1"/>
      </c>
      <c r="AR6">
        <f ca="1"/>
      </c>
      <c r="AS6">
        <f ca="1"/>
      </c>
      <c r="AT6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AZ6">
        <f ca="1"/>
      </c>
      <c r="BA6">
        <f ca="1"/>
      </c>
      <c r="BB6">
        <f ca="1"/>
      </c>
      <c r="BC6">
        <f ca="1"/>
      </c>
      <c r="BD6">
        <f ca="1"/>
      </c>
      <c r="BE6">
        <f ca="1"/>
      </c>
      <c r="BF6">
        <f ca="1"/>
      </c>
      <c r="BG6">
        <f ca="1"/>
      </c>
      <c r="BH6">
        <f ca="1"/>
      </c>
      <c r="BI6">
        <f ca="1"/>
      </c>
    </row>
    <row r="7" spans="1:61" x14ac:dyDescent="0.5">
      <c r="A7">
        <f ca="1"/>
      </c>
      <c r="B7" s="9"/>
      <c r="C7" s="9"/>
      <c r="D7" s="9"/>
      <c r="E7" s="9"/>
      <c r="AA7">
        <f ca="1"/>
      </c>
      <c r="AB7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P7">
        <f ca="1"/>
      </c>
      <c r="AQ7">
        <f ca="1"/>
      </c>
      <c r="AR7">
        <f ca="1"/>
      </c>
      <c r="AS7">
        <f ca="1"/>
      </c>
      <c r="AT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AZ7">
        <f ca="1"/>
      </c>
      <c r="BA7">
        <f ca="1"/>
      </c>
      <c r="BB7">
        <f ca="1"/>
      </c>
      <c r="BC7">
        <f ca="1"/>
      </c>
      <c r="BD7">
        <f ca="1"/>
      </c>
      <c r="BE7">
        <f ca="1"/>
      </c>
      <c r="BF7">
        <f ca="1"/>
      </c>
      <c r="BG7">
        <f ca="1"/>
      </c>
      <c r="BH7">
        <f ca="1"/>
      </c>
      <c r="BI7">
        <f ca="1"/>
      </c>
    </row>
    <row r="8" spans="1:61" x14ac:dyDescent="0.5">
      <c r="A8">
        <f ca="1"/>
      </c>
      <c r="B8" s="9"/>
      <c r="C8" s="9"/>
      <c r="D8" s="9"/>
      <c r="E8" s="9"/>
      <c r="AA8">
        <f ca="1"/>
      </c>
      <c r="AB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P8">
        <f ca="1"/>
      </c>
      <c r="AQ8">
        <f ca="1"/>
      </c>
      <c r="AR8">
        <f ca="1"/>
      </c>
      <c r="AS8">
        <f ca="1"/>
      </c>
      <c r="AT8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AZ8">
        <f ca="1"/>
      </c>
      <c r="BA8">
        <f ca="1"/>
      </c>
      <c r="BB8">
        <f ca="1"/>
      </c>
      <c r="BC8">
        <f ca="1"/>
      </c>
      <c r="BD8">
        <f ca="1"/>
      </c>
      <c r="BE8">
        <f ca="1"/>
      </c>
      <c r="BF8">
        <f ca="1"/>
      </c>
      <c r="BG8">
        <f ca="1"/>
      </c>
      <c r="BH8">
        <f ca="1"/>
      </c>
      <c r="BI8">
        <f ca="1"/>
      </c>
    </row>
    <row r="9" spans="1:61" x14ac:dyDescent="0.5">
      <c r="A9">
        <f ca="1"/>
      </c>
      <c r="B9" s="9"/>
      <c r="C9" s="9"/>
      <c r="D9" s="9"/>
      <c r="E9" s="9"/>
      <c r="AA9">
        <f ca="1"/>
      </c>
      <c r="AB9">
        <f ca="1"/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P9">
        <f ca="1"/>
      </c>
      <c r="AQ9">
        <f ca="1"/>
      </c>
      <c r="AR9">
        <f ca="1"/>
      </c>
      <c r="AS9">
        <f ca="1"/>
      </c>
      <c r="AT9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AZ9">
        <f ca="1"/>
      </c>
      <c r="BA9">
        <f ca="1"/>
      </c>
      <c r="BB9">
        <f ca="1"/>
      </c>
      <c r="BC9">
        <f ca="1"/>
      </c>
      <c r="BD9">
        <f ca="1"/>
      </c>
      <c r="BE9">
        <f ca="1"/>
      </c>
      <c r="BF9">
        <f ca="1"/>
      </c>
      <c r="BG9">
        <f ca="1"/>
      </c>
      <c r="BH9">
        <f ca="1"/>
      </c>
      <c r="BI9">
        <f ca="1"/>
      </c>
    </row>
    <row r="10" spans="1:61" x14ac:dyDescent="0.5">
      <c r="A10">
        <f ca="1"/>
      </c>
      <c r="B10" s="9"/>
      <c r="C10" s="9"/>
      <c r="D10" s="9"/>
      <c r="E10" s="9"/>
      <c r="AA10">
        <f ca="1"/>
      </c>
      <c r="AB10">
        <f ca="1"/>
      </c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P10">
        <f ca="1"/>
      </c>
      <c r="AQ10">
        <f ca="1"/>
      </c>
      <c r="AR10">
        <f ca="1"/>
      </c>
      <c r="AS10">
        <f ca="1"/>
      </c>
      <c r="AT10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AZ10">
        <f ca="1"/>
      </c>
      <c r="BA10">
        <f ca="1"/>
      </c>
      <c r="BB10">
        <f ca="1"/>
      </c>
      <c r="BC10">
        <f ca="1"/>
      </c>
      <c r="BD10">
        <f ca="1"/>
      </c>
      <c r="BE10">
        <f ca="1"/>
      </c>
      <c r="BF10">
        <f ca="1"/>
      </c>
      <c r="BG10">
        <f ca="1"/>
      </c>
      <c r="BH10">
        <f ca="1"/>
      </c>
      <c r="BI10">
        <f ca="1"/>
      </c>
    </row>
    <row r="11" spans="1:61" x14ac:dyDescent="0.5">
      <c r="A11">
        <f ca="1"/>
      </c>
      <c r="B11" s="9"/>
      <c r="C11" s="9"/>
      <c r="D11" s="9"/>
      <c r="E11" s="9"/>
      <c r="AA11">
        <f ca="1"/>
      </c>
      <c r="AB11">
        <f ca="1"/>
      </c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P11">
        <f ca="1"/>
      </c>
      <c r="AQ11">
        <f ca="1"/>
      </c>
      <c r="AR11">
        <f ca="1"/>
      </c>
      <c r="AS11">
        <f ca="1"/>
      </c>
      <c r="AT11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AZ11">
        <f ca="1"/>
      </c>
      <c r="BA11">
        <f ca="1"/>
      </c>
      <c r="BB11">
        <f ca="1"/>
      </c>
      <c r="BC11">
        <f ca="1"/>
      </c>
      <c r="BD11">
        <f ca="1"/>
      </c>
      <c r="BE11">
        <f ca="1"/>
      </c>
      <c r="BF11">
        <f ca="1"/>
      </c>
      <c r="BG11">
        <f ca="1"/>
      </c>
      <c r="BH11">
        <f ca="1"/>
      </c>
      <c r="BI11">
        <f ca="1"/>
      </c>
    </row>
    <row r="12" spans="1:61" x14ac:dyDescent="0.5">
      <c r="A12">
        <f ca="1"/>
      </c>
      <c r="B12" s="9"/>
      <c r="C12" s="9"/>
      <c r="D12" s="9"/>
      <c r="E12" s="9"/>
      <c r="AA12">
        <f ca="1"/>
      </c>
      <c r="AB12">
        <f ca="1"/>
      </c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P12">
        <f ca="1"/>
      </c>
      <c r="AQ12">
        <f ca="1"/>
      </c>
      <c r="AR12">
        <f ca="1"/>
      </c>
      <c r="AS12">
        <f ca="1"/>
      </c>
      <c r="AT12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AZ12">
        <f ca="1"/>
      </c>
      <c r="BA12">
        <f ca="1"/>
      </c>
      <c r="BB12">
        <f ca="1"/>
      </c>
      <c r="BC12">
        <f ca="1"/>
      </c>
      <c r="BD12">
        <f ca="1"/>
      </c>
      <c r="BE12">
        <f ca="1"/>
      </c>
      <c r="BF12">
        <f ca="1"/>
      </c>
      <c r="BG12">
        <f ca="1"/>
      </c>
      <c r="BH12">
        <f ca="1"/>
      </c>
      <c r="BI12">
        <f ca="1"/>
      </c>
    </row>
    <row r="13" spans="1:61" x14ac:dyDescent="0.5">
      <c r="A13">
        <f ca="1"/>
      </c>
      <c r="B13" s="9"/>
      <c r="C13" s="9"/>
      <c r="D13" s="9"/>
      <c r="E13" s="9"/>
      <c r="AA13">
        <f ca="1"/>
      </c>
      <c r="AB13">
        <f ca="1"/>
      </c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P13">
        <f ca="1"/>
      </c>
      <c r="AQ13">
        <f ca="1"/>
      </c>
      <c r="AR13">
        <f ca="1"/>
      </c>
      <c r="AS13">
        <f ca="1"/>
      </c>
      <c r="AT13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AZ13">
        <f ca="1"/>
      </c>
      <c r="BA13">
        <f ca="1"/>
      </c>
      <c r="BB13">
        <f ca="1"/>
      </c>
      <c r="BC13">
        <f ca="1"/>
      </c>
      <c r="BD13">
        <f ca="1"/>
      </c>
      <c r="BE13">
        <f ca="1"/>
      </c>
      <c r="BF13">
        <f ca="1"/>
      </c>
      <c r="BG13">
        <f ca="1"/>
      </c>
      <c r="BH13">
        <f ca="1"/>
      </c>
      <c r="BI13">
        <f ca="1"/>
      </c>
    </row>
    <row r="14" spans="1:61" x14ac:dyDescent="0.5">
      <c r="A14">
        <f ca="1"/>
      </c>
      <c r="B14" s="9"/>
      <c r="C14" s="9"/>
      <c r="D14" s="9"/>
      <c r="E14" s="9"/>
      <c r="AA14">
        <f ca="1"/>
      </c>
      <c r="AB14">
        <f ca="1"/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P14">
        <f ca="1"/>
      </c>
      <c r="AQ14">
        <f ca="1"/>
      </c>
      <c r="AR14">
        <f ca="1"/>
      </c>
      <c r="AS14">
        <f ca="1"/>
      </c>
      <c r="AT14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AZ14">
        <f ca="1"/>
      </c>
      <c r="BA14">
        <f ca="1"/>
      </c>
      <c r="BB14">
        <f ca="1"/>
      </c>
      <c r="BC14">
        <f ca="1"/>
      </c>
      <c r="BD14">
        <f ca="1"/>
      </c>
      <c r="BE14">
        <f ca="1"/>
      </c>
      <c r="BF14">
        <f ca="1"/>
      </c>
      <c r="BG14">
        <f ca="1"/>
      </c>
      <c r="BH14">
        <f ca="1"/>
      </c>
      <c r="BI14">
        <f ca="1"/>
      </c>
    </row>
    <row r="15" spans="1:61" x14ac:dyDescent="0.5">
      <c r="A15">
        <f ca="1"/>
      </c>
      <c r="B15" s="9"/>
      <c r="C15" s="9"/>
      <c r="D15" s="9"/>
      <c r="E15" s="9"/>
      <c r="AA15">
        <f ca="1"/>
      </c>
      <c r="AB15">
        <f ca="1"/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P15">
        <f ca="1"/>
      </c>
      <c r="AQ15">
        <f ca="1"/>
      </c>
      <c r="AR15">
        <f ca="1"/>
      </c>
      <c r="AS15">
        <f ca="1"/>
      </c>
      <c r="AT15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AZ15">
        <f ca="1"/>
      </c>
      <c r="BA15">
        <f ca="1"/>
      </c>
      <c r="BB15">
        <f ca="1"/>
      </c>
      <c r="BC15">
        <f ca="1"/>
      </c>
      <c r="BD15">
        <f ca="1"/>
      </c>
      <c r="BE15">
        <f ca="1"/>
      </c>
      <c r="BF15">
        <f ca="1"/>
      </c>
      <c r="BG15">
        <f ca="1"/>
      </c>
      <c r="BH15">
        <f ca="1"/>
      </c>
      <c r="BI15">
        <f ca="1"/>
      </c>
    </row>
    <row r="16" spans="1:61" x14ac:dyDescent="0.5">
      <c r="A16">
        <f ca="1"/>
      </c>
      <c r="B16" s="9"/>
      <c r="C16" s="9"/>
      <c r="D16" s="9"/>
      <c r="E16" s="9"/>
      <c r="AA16">
        <f ca="1"/>
      </c>
      <c r="AB16">
        <f ca="1"/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P16">
        <f ca="1"/>
      </c>
      <c r="AQ16">
        <f ca="1"/>
      </c>
      <c r="AR16">
        <f ca="1"/>
      </c>
      <c r="AS16">
        <f ca="1"/>
      </c>
      <c r="AT16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AZ16">
        <f ca="1"/>
      </c>
      <c r="BA16">
        <f ca="1"/>
      </c>
      <c r="BB16">
        <f ca="1"/>
      </c>
      <c r="BC16">
        <f ca="1"/>
      </c>
      <c r="BD16">
        <f ca="1"/>
      </c>
      <c r="BE16">
        <f ca="1"/>
      </c>
      <c r="BF16">
        <f ca="1"/>
      </c>
      <c r="BG16">
        <f ca="1"/>
      </c>
      <c r="BH16">
        <f ca="1"/>
      </c>
      <c r="BI16">
        <f ca="1"/>
      </c>
    </row>
    <row r="17" spans="1:61" x14ac:dyDescent="0.5">
      <c r="A17">
        <f ca="1"/>
      </c>
      <c r="B17" s="9"/>
      <c r="C17" s="9"/>
      <c r="D17" s="9"/>
      <c r="E17" s="9"/>
      <c r="AA17">
        <f ca="1"/>
      </c>
      <c r="AB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P17">
        <f ca="1"/>
      </c>
      <c r="AQ17">
        <f ca="1"/>
      </c>
      <c r="AR17">
        <f ca="1"/>
      </c>
      <c r="AS17">
        <f ca="1"/>
      </c>
      <c r="AT1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AZ17">
        <f ca="1"/>
      </c>
      <c r="BA17">
        <f ca="1"/>
      </c>
      <c r="BB17">
        <f ca="1"/>
      </c>
      <c r="BC17">
        <f ca="1"/>
      </c>
      <c r="BD17">
        <f ca="1"/>
      </c>
      <c r="BE17">
        <f ca="1"/>
      </c>
      <c r="BF17">
        <f ca="1"/>
      </c>
      <c r="BG17">
        <f ca="1"/>
      </c>
      <c r="BH17">
        <f ca="1"/>
      </c>
      <c r="BI17">
        <f ca="1"/>
      </c>
    </row>
    <row r="18" spans="1:61" x14ac:dyDescent="0.5">
      <c r="A18">
        <f ca="1"/>
      </c>
      <c r="B18" s="9"/>
      <c r="C18" s="9"/>
      <c r="D18" s="9"/>
      <c r="E18" s="9"/>
      <c r="AA18">
        <f ca="1"/>
      </c>
      <c r="AB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P18">
        <f ca="1"/>
      </c>
      <c r="AQ18">
        <f ca="1"/>
      </c>
      <c r="AR18">
        <f ca="1"/>
      </c>
      <c r="AS18">
        <f ca="1"/>
      </c>
      <c r="AT18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AZ18">
        <f ca="1"/>
      </c>
      <c r="BA18">
        <f ca="1"/>
      </c>
      <c r="BB18">
        <f ca="1"/>
      </c>
      <c r="BC18">
        <f ca="1"/>
      </c>
      <c r="BD18">
        <f ca="1"/>
      </c>
      <c r="BE18">
        <f ca="1"/>
      </c>
      <c r="BF18">
        <f ca="1"/>
      </c>
      <c r="BG18">
        <f ca="1"/>
      </c>
      <c r="BH18">
        <f ca="1"/>
      </c>
      <c r="BI18">
        <f ca="1"/>
      </c>
    </row>
    <row r="19" spans="1:61" x14ac:dyDescent="0.5">
      <c r="A19">
        <f ca="1"/>
      </c>
      <c r="B19" s="9"/>
      <c r="C19" s="9"/>
      <c r="D19" s="9"/>
      <c r="E19" s="9"/>
      <c r="AA19">
        <f ca="1"/>
      </c>
      <c r="AB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P19">
        <f ca="1"/>
      </c>
      <c r="AQ19">
        <f ca="1"/>
      </c>
      <c r="AR19">
        <f ca="1"/>
      </c>
      <c r="AS19">
        <f ca="1"/>
      </c>
      <c r="AT19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AZ19">
        <f ca="1"/>
      </c>
      <c r="BA19">
        <f ca="1"/>
      </c>
      <c r="BB19">
        <f ca="1"/>
      </c>
      <c r="BC19">
        <f ca="1"/>
      </c>
      <c r="BD19">
        <f ca="1"/>
      </c>
      <c r="BE19">
        <f ca="1"/>
      </c>
      <c r="BF19">
        <f ca="1"/>
      </c>
      <c r="BG19">
        <f ca="1"/>
      </c>
      <c r="BH19">
        <f ca="1"/>
      </c>
      <c r="BI19">
        <f ca="1"/>
      </c>
    </row>
    <row r="20" spans="1:61" x14ac:dyDescent="0.5">
      <c r="A20">
        <f ca="1"/>
      </c>
      <c r="B20" s="9"/>
      <c r="C20" s="9"/>
      <c r="D20" s="9"/>
      <c r="E20" s="9"/>
      <c r="AA20">
        <f ca="1"/>
      </c>
      <c r="AB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P20">
        <f ca="1"/>
      </c>
      <c r="AQ20">
        <f ca="1"/>
      </c>
      <c r="AR20">
        <f ca="1"/>
      </c>
      <c r="AS20">
        <f ca="1"/>
      </c>
      <c r="AT20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AZ20">
        <f ca="1"/>
      </c>
      <c r="BA20">
        <f ca="1"/>
      </c>
      <c r="BB20">
        <f ca="1"/>
      </c>
      <c r="BC20">
        <f ca="1"/>
      </c>
      <c r="BD20">
        <f ca="1"/>
      </c>
      <c r="BE20">
        <f ca="1"/>
      </c>
      <c r="BF20">
        <f ca="1"/>
      </c>
      <c r="BG20">
        <f ca="1"/>
      </c>
      <c r="BH20">
        <f ca="1"/>
      </c>
      <c r="BI20">
        <f ca="1"/>
      </c>
    </row>
    <row r="21" spans="1:61" x14ac:dyDescent="0.5">
      <c r="A21">
        <f ca="1"/>
      </c>
      <c r="B21" s="9"/>
      <c r="C21" s="9"/>
      <c r="D21" s="9"/>
      <c r="E21" s="9"/>
      <c r="AA21">
        <f ca="1"/>
      </c>
      <c r="AB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P21">
        <f ca="1"/>
      </c>
      <c r="AQ21">
        <f ca="1"/>
      </c>
      <c r="AR21">
        <f ca="1"/>
      </c>
      <c r="AS21">
        <f ca="1"/>
      </c>
      <c r="AT21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AZ21">
        <f ca="1"/>
      </c>
      <c r="BA21">
        <f ca="1"/>
      </c>
      <c r="BB21">
        <f ca="1"/>
      </c>
      <c r="BC21">
        <f ca="1"/>
      </c>
      <c r="BD21">
        <f ca="1"/>
      </c>
      <c r="BE21">
        <f ca="1"/>
      </c>
      <c r="BF21">
        <f ca="1"/>
      </c>
      <c r="BG21">
        <f ca="1"/>
      </c>
      <c r="BH21">
        <f ca="1"/>
      </c>
      <c r="BI21">
        <f ca="1"/>
      </c>
    </row>
    <row r="22" spans="1:61" x14ac:dyDescent="0.5">
      <c r="A22">
        <f ca="1"/>
      </c>
      <c r="B22" s="9"/>
      <c r="C22" s="9"/>
      <c r="D22" s="9"/>
      <c r="E22" s="9"/>
      <c r="AA22">
        <f ca="1"/>
      </c>
      <c r="AB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P22">
        <f ca="1"/>
      </c>
      <c r="AQ22">
        <f ca="1"/>
      </c>
      <c r="AR22">
        <f ca="1"/>
      </c>
      <c r="AS22">
        <f ca="1"/>
      </c>
      <c r="AT22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AZ22">
        <f ca="1"/>
      </c>
      <c r="BA22">
        <f ca="1"/>
      </c>
      <c r="BB22">
        <f ca="1"/>
      </c>
      <c r="BC22">
        <f ca="1"/>
      </c>
      <c r="BD22">
        <f ca="1"/>
      </c>
      <c r="BE22">
        <f ca="1"/>
      </c>
      <c r="BF22">
        <f ca="1"/>
      </c>
      <c r="BG22">
        <f ca="1"/>
      </c>
      <c r="BH22">
        <f ca="1"/>
      </c>
      <c r="BI22">
        <f ca="1"/>
      </c>
    </row>
    <row r="23" spans="1:61" x14ac:dyDescent="0.5">
      <c r="A23">
        <f ca="1"/>
      </c>
      <c r="B23" s="9"/>
      <c r="C23" s="9"/>
      <c r="D23" s="9"/>
      <c r="E23" s="9"/>
      <c r="AA23">
        <f ca="1"/>
      </c>
      <c r="AB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P23">
        <f ca="1"/>
      </c>
      <c r="AQ23">
        <f ca="1"/>
      </c>
      <c r="AR23">
        <f ca="1"/>
      </c>
      <c r="AS23">
        <f ca="1"/>
      </c>
      <c r="AT23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AZ23">
        <f ca="1"/>
      </c>
      <c r="BA23">
        <f ca="1"/>
      </c>
      <c r="BB23">
        <f ca="1"/>
      </c>
      <c r="BC23">
        <f ca="1"/>
      </c>
      <c r="BD23">
        <f ca="1"/>
      </c>
      <c r="BE23">
        <f ca="1"/>
      </c>
      <c r="BF23">
        <f ca="1"/>
      </c>
      <c r="BG23">
        <f ca="1"/>
      </c>
      <c r="BH23">
        <f ca="1"/>
      </c>
      <c r="BI23">
        <f ca="1"/>
      </c>
    </row>
    <row r="24" spans="1:61" x14ac:dyDescent="0.5">
      <c r="A24">
        <f ca="1"/>
      </c>
      <c r="B24" s="9"/>
      <c r="C24" s="9"/>
      <c r="D24" s="9"/>
      <c r="E24" s="9"/>
      <c r="AA24">
        <f ca="1"/>
      </c>
      <c r="AB24">
        <f ca="1"/>
      </c>
      <c r="AC24">
        <f ca="1"/>
      </c>
      <c r="AD24">
        <f ca="1"/>
      </c>
      <c r="AE24">
        <f ca="1"/>
      </c>
      <c r="AF24">
        <f ca="1"/>
      </c>
      <c r="AG24">
        <f ca="1"/>
      </c>
      <c r="AH24">
        <f ca="1"/>
      </c>
      <c r="AI24">
        <f ca="1"/>
      </c>
      <c r="AJ24">
        <f ca="1"/>
      </c>
      <c r="AK24">
        <f ca="1"/>
      </c>
      <c r="AL24">
        <f ca="1"/>
      </c>
      <c r="AM24">
        <f ca="1"/>
      </c>
      <c r="AN24">
        <f ca="1"/>
      </c>
      <c r="AO24">
        <f ca="1"/>
      </c>
      <c r="AP24">
        <f ca="1"/>
      </c>
      <c r="AQ24">
        <f ca="1"/>
      </c>
      <c r="AR24">
        <f ca="1"/>
      </c>
      <c r="AS24">
        <f ca="1"/>
      </c>
      <c r="AT24">
        <f ca="1"/>
      </c>
      <c r="AU24">
        <f ca="1"/>
      </c>
      <c r="AV24">
        <f ca="1"/>
      </c>
      <c r="AW24">
        <f ca="1"/>
      </c>
      <c r="AX24">
        <f ca="1"/>
      </c>
      <c r="AY24">
        <f ca="1"/>
      </c>
      <c r="AZ24">
        <f ca="1"/>
      </c>
      <c r="BA24">
        <f ca="1"/>
      </c>
      <c r="BB24">
        <f ca="1"/>
      </c>
      <c r="BC24">
        <f ca="1"/>
      </c>
      <c r="BD24">
        <f ca="1"/>
      </c>
      <c r="BE24">
        <f ca="1"/>
      </c>
      <c r="BF24">
        <f ca="1"/>
      </c>
      <c r="BG24">
        <f ca="1"/>
      </c>
      <c r="BH24">
        <f ca="1"/>
      </c>
      <c r="BI24">
        <f ca="1"/>
      </c>
    </row>
    <row r="25" spans="1:61" x14ac:dyDescent="0.5">
      <c r="A25">
        <f ca="1"/>
      </c>
      <c r="B25" s="9"/>
      <c r="C25" s="9"/>
      <c r="D25" s="9"/>
      <c r="E25" s="9"/>
      <c r="AA25">
        <f ca="1"/>
      </c>
      <c r="AB25">
        <f ca="1"/>
      </c>
      <c r="AC25">
        <f ca="1"/>
      </c>
      <c r="AD25">
        <f ca="1"/>
      </c>
      <c r="AE25">
        <f ca="1"/>
      </c>
      <c r="AF25">
        <f ca="1"/>
      </c>
      <c r="AG25">
        <f ca="1"/>
      </c>
      <c r="AH25">
        <f ca="1"/>
      </c>
      <c r="AI25">
        <f ca="1"/>
      </c>
      <c r="AJ25">
        <f ca="1"/>
      </c>
      <c r="AK25">
        <f ca="1"/>
      </c>
      <c r="AL25">
        <f ca="1"/>
      </c>
      <c r="AM25">
        <f ca="1"/>
      </c>
      <c r="AN25">
        <f ca="1"/>
      </c>
      <c r="AO25">
        <f ca="1"/>
      </c>
      <c r="AP25">
        <f ca="1"/>
      </c>
      <c r="AQ25">
        <f ca="1"/>
      </c>
      <c r="AR25">
        <f ca="1"/>
      </c>
      <c r="AS25">
        <f ca="1"/>
      </c>
      <c r="AT25">
        <f ca="1"/>
      </c>
      <c r="AU25">
        <f ca="1"/>
      </c>
      <c r="AV25">
        <f ca="1"/>
      </c>
      <c r="AW25">
        <f ca="1"/>
      </c>
      <c r="AX25">
        <f ca="1"/>
      </c>
      <c r="AY25">
        <f ca="1"/>
      </c>
      <c r="AZ25">
        <f ca="1"/>
      </c>
      <c r="BA25">
        <f ca="1"/>
      </c>
      <c r="BB25">
        <f ca="1"/>
      </c>
      <c r="BC25">
        <f ca="1"/>
      </c>
      <c r="BD25">
        <f ca="1"/>
      </c>
      <c r="BE25">
        <f ca="1"/>
      </c>
      <c r="BF25">
        <f ca="1"/>
      </c>
      <c r="BG25">
        <f ca="1"/>
      </c>
      <c r="BH25">
        <f ca="1"/>
      </c>
      <c r="BI25">
        <f ca="1"/>
      </c>
    </row>
    <row r="26" spans="1:61" x14ac:dyDescent="0.5">
      <c r="A26">
        <f ca="1"/>
      </c>
      <c r="B26" s="9"/>
      <c r="C26" s="9"/>
      <c r="D26" s="9"/>
      <c r="E26" s="9"/>
      <c r="AA26">
        <f ca="1"/>
      </c>
      <c r="AB26">
        <f ca="1"/>
      </c>
      <c r="AC26">
        <f ca="1"/>
      </c>
      <c r="AD26">
        <f ca="1"/>
      </c>
      <c r="AE26">
        <f ca="1"/>
      </c>
      <c r="AF26">
        <f ca="1"/>
      </c>
      <c r="AG26">
        <f ca="1"/>
      </c>
      <c r="AH26">
        <f ca="1"/>
      </c>
      <c r="AI26">
        <f ca="1"/>
      </c>
      <c r="AJ26">
        <f ca="1"/>
      </c>
      <c r="AK26">
        <f ca="1"/>
      </c>
      <c r="AL26">
        <f ca="1"/>
      </c>
      <c r="AM26">
        <f ca="1"/>
      </c>
      <c r="AN26">
        <f ca="1"/>
      </c>
      <c r="AO26">
        <f ca="1"/>
      </c>
      <c r="AP26">
        <f ca="1"/>
      </c>
      <c r="AQ26">
        <f ca="1"/>
      </c>
      <c r="AR26">
        <f ca="1"/>
      </c>
      <c r="AS26">
        <f ca="1"/>
      </c>
      <c r="AT26">
        <f ca="1"/>
      </c>
      <c r="AU26">
        <f ca="1"/>
      </c>
      <c r="AV26">
        <f ca="1"/>
      </c>
      <c r="AW26">
        <f ca="1"/>
      </c>
      <c r="AX26">
        <f ca="1"/>
      </c>
      <c r="AY26">
        <f ca="1"/>
      </c>
      <c r="AZ26">
        <f ca="1"/>
      </c>
      <c r="BA26">
        <f ca="1"/>
      </c>
      <c r="BB26">
        <f ca="1"/>
      </c>
      <c r="BC26">
        <f ca="1"/>
      </c>
      <c r="BD26">
        <f ca="1"/>
      </c>
      <c r="BE26">
        <f ca="1"/>
      </c>
      <c r="BF26">
        <f ca="1"/>
      </c>
      <c r="BG26">
        <f ca="1"/>
      </c>
      <c r="BH26">
        <f ca="1"/>
      </c>
      <c r="BI26">
        <f ca="1"/>
      </c>
    </row>
    <row r="27" spans="1:61" x14ac:dyDescent="0.5">
      <c r="A27">
        <f ca="1"/>
      </c>
      <c r="B27" s="9"/>
      <c r="C27" s="9"/>
      <c r="D27" s="9"/>
      <c r="E27" s="9"/>
      <c r="AA27">
        <f ca="1"/>
      </c>
      <c r="AB27">
        <f ca="1"/>
      </c>
      <c r="AC27">
        <f ca="1"/>
      </c>
      <c r="AD27">
        <f ca="1"/>
      </c>
      <c r="AE27">
        <f ca="1"/>
      </c>
      <c r="AF27">
        <f ca="1"/>
      </c>
      <c r="AG27">
        <f ca="1"/>
      </c>
      <c r="AH27">
        <f ca="1"/>
      </c>
      <c r="AI27">
        <f ca="1"/>
      </c>
      <c r="AJ27">
        <f ca="1"/>
      </c>
      <c r="AK27">
        <f ca="1"/>
      </c>
      <c r="AL27">
        <f ca="1"/>
      </c>
      <c r="AM27">
        <f ca="1"/>
      </c>
      <c r="AN27">
        <f ca="1"/>
      </c>
      <c r="AO27">
        <f ca="1"/>
      </c>
      <c r="AP27">
        <f ca="1"/>
      </c>
      <c r="AQ27">
        <f ca="1"/>
      </c>
      <c r="AR27">
        <f ca="1"/>
      </c>
      <c r="AS27">
        <f ca="1"/>
      </c>
      <c r="AT27">
        <f ca="1"/>
      </c>
      <c r="AU27">
        <f ca="1"/>
      </c>
      <c r="AV27">
        <f ca="1"/>
      </c>
      <c r="AW27">
        <f ca="1"/>
      </c>
      <c r="AX27">
        <f ca="1"/>
      </c>
      <c r="AY27">
        <f ca="1"/>
      </c>
      <c r="AZ27">
        <f ca="1"/>
      </c>
      <c r="BA27">
        <f ca="1"/>
      </c>
      <c r="BB27">
        <f ca="1"/>
      </c>
      <c r="BC27">
        <f ca="1"/>
      </c>
      <c r="BD27">
        <f ca="1"/>
      </c>
      <c r="BE27">
        <f ca="1"/>
      </c>
      <c r="BF27">
        <f ca="1"/>
      </c>
      <c r="BG27">
        <f ca="1"/>
      </c>
      <c r="BH27">
        <f ca="1"/>
      </c>
      <c r="BI27">
        <f ca="1"/>
      </c>
    </row>
    <row r="28" spans="1:61" x14ac:dyDescent="0.5">
      <c r="A28">
        <f ca="1"/>
      </c>
      <c r="B28" s="9"/>
      <c r="C28" s="9"/>
      <c r="D28" s="9"/>
      <c r="E28" s="9"/>
      <c r="AA28">
        <f ca="1"/>
      </c>
      <c r="AB28">
        <f ca="1"/>
      </c>
      <c r="AC28">
        <f ca="1"/>
      </c>
      <c r="AD28">
        <f ca="1"/>
      </c>
      <c r="AE28">
        <f ca="1"/>
      </c>
      <c r="AF28">
        <f ca="1"/>
      </c>
      <c r="AG28">
        <f ca="1"/>
      </c>
      <c r="AH28">
        <f ca="1"/>
      </c>
      <c r="AI28">
        <f ca="1"/>
      </c>
      <c r="AJ28">
        <f ca="1"/>
      </c>
      <c r="AK28">
        <f ca="1"/>
      </c>
      <c r="AL28">
        <f ca="1"/>
      </c>
      <c r="AM28">
        <f ca="1"/>
      </c>
      <c r="AN28">
        <f ca="1"/>
      </c>
      <c r="AO28">
        <f ca="1"/>
      </c>
      <c r="AP28">
        <f ca="1"/>
      </c>
      <c r="AQ28">
        <f ca="1"/>
      </c>
      <c r="AR28">
        <f ca="1"/>
      </c>
      <c r="AS28">
        <f ca="1"/>
      </c>
      <c r="AT28">
        <f ca="1"/>
      </c>
      <c r="AU28">
        <f ca="1"/>
      </c>
      <c r="AV28">
        <f ca="1"/>
      </c>
      <c r="AW28">
        <f ca="1"/>
      </c>
      <c r="AX28">
        <f ca="1"/>
      </c>
      <c r="AY28">
        <f ca="1"/>
      </c>
      <c r="AZ28">
        <f ca="1"/>
      </c>
      <c r="BA28">
        <f ca="1"/>
      </c>
      <c r="BB28">
        <f ca="1"/>
      </c>
      <c r="BC28">
        <f ca="1"/>
      </c>
      <c r="BD28">
        <f ca="1"/>
      </c>
      <c r="BE28">
        <f ca="1"/>
      </c>
      <c r="BF28">
        <f ca="1"/>
      </c>
      <c r="BG28">
        <f ca="1"/>
      </c>
      <c r="BH28">
        <f ca="1"/>
      </c>
      <c r="BI28">
        <f ca="1"/>
      </c>
    </row>
    <row r="29" spans="1:61" x14ac:dyDescent="0.5">
      <c r="A29">
        <f ca="1"/>
      </c>
      <c r="B29" s="9"/>
      <c r="C29" s="9"/>
      <c r="D29" s="9"/>
      <c r="E29" s="9"/>
      <c r="AA29">
        <f ca="1"/>
      </c>
      <c r="AB29">
        <f ca="1"/>
      </c>
      <c r="AC29">
        <f ca="1"/>
      </c>
      <c r="AD29">
        <f ca="1"/>
      </c>
      <c r="AE29">
        <f ca="1"/>
      </c>
      <c r="AF29">
        <f ca="1"/>
      </c>
      <c r="AG29">
        <f ca="1"/>
      </c>
      <c r="AH29">
        <f ca="1"/>
      </c>
      <c r="AI29">
        <f ca="1"/>
      </c>
      <c r="AJ29">
        <f ca="1"/>
      </c>
      <c r="AK29">
        <f ca="1"/>
      </c>
      <c r="AL29">
        <f ca="1"/>
      </c>
      <c r="AM29">
        <f ca="1"/>
      </c>
      <c r="AN29">
        <f ca="1"/>
      </c>
      <c r="AO29">
        <f ca="1"/>
      </c>
      <c r="AP29">
        <f ca="1"/>
      </c>
      <c r="AQ29">
        <f ca="1"/>
      </c>
      <c r="AR29">
        <f ca="1"/>
      </c>
      <c r="AS29">
        <f ca="1"/>
      </c>
      <c r="AT29">
        <f ca="1"/>
      </c>
      <c r="AU29">
        <f ca="1"/>
      </c>
      <c r="AV29">
        <f ca="1"/>
      </c>
      <c r="AW29">
        <f ca="1"/>
      </c>
      <c r="AX29">
        <f ca="1"/>
      </c>
      <c r="AY29">
        <f ca="1"/>
      </c>
      <c r="AZ29">
        <f ca="1"/>
      </c>
      <c r="BA29">
        <f ca="1"/>
      </c>
      <c r="BB29">
        <f ca="1"/>
      </c>
      <c r="BC29">
        <f ca="1"/>
      </c>
      <c r="BD29">
        <f ca="1"/>
      </c>
      <c r="BE29">
        <f ca="1"/>
      </c>
      <c r="BF29">
        <f ca="1"/>
      </c>
      <c r="BG29">
        <f ca="1"/>
      </c>
      <c r="BH29">
        <f ca="1"/>
      </c>
      <c r="BI29">
        <f ca="1"/>
      </c>
    </row>
    <row r="30" spans="1:61" x14ac:dyDescent="0.5">
      <c r="A30">
        <f ca="1"/>
      </c>
      <c r="B30" s="9"/>
      <c r="C30" s="9"/>
      <c r="D30" s="9"/>
      <c r="E30" s="9"/>
      <c r="AA30">
        <f ca="1"/>
      </c>
      <c r="AB30">
        <f ca="1"/>
      </c>
      <c r="AC30">
        <f ca="1"/>
      </c>
      <c r="AD30">
        <f ca="1"/>
      </c>
      <c r="AE30">
        <f ca="1"/>
      </c>
      <c r="AF30">
        <f ca="1"/>
      </c>
      <c r="AG30">
        <f ca="1"/>
      </c>
      <c r="AH30">
        <f ca="1"/>
      </c>
      <c r="AI30">
        <f ca="1"/>
      </c>
      <c r="AJ30">
        <f ca="1"/>
      </c>
      <c r="AK30">
        <f ca="1"/>
      </c>
      <c r="AL30">
        <f ca="1"/>
      </c>
      <c r="AM30">
        <f ca="1"/>
      </c>
      <c r="AN30">
        <f ca="1"/>
      </c>
      <c r="AO30">
        <f ca="1"/>
      </c>
      <c r="AP30">
        <f ca="1"/>
      </c>
      <c r="AQ30">
        <f ca="1"/>
      </c>
      <c r="AR30">
        <f ca="1"/>
      </c>
      <c r="AS30">
        <f ca="1"/>
      </c>
      <c r="AT30">
        <f ca="1"/>
      </c>
      <c r="AU30">
        <f ca="1"/>
      </c>
      <c r="AV30">
        <f ca="1"/>
      </c>
      <c r="AW30">
        <f ca="1"/>
      </c>
      <c r="AX30">
        <f ca="1"/>
      </c>
      <c r="AY30">
        <f ca="1"/>
      </c>
      <c r="AZ30">
        <f ca="1"/>
      </c>
      <c r="BA30">
        <f ca="1"/>
      </c>
      <c r="BB30">
        <f ca="1"/>
      </c>
      <c r="BC30">
        <f ca="1"/>
      </c>
      <c r="BD30">
        <f ca="1"/>
      </c>
      <c r="BE30">
        <f ca="1"/>
      </c>
      <c r="BF30">
        <f ca="1"/>
      </c>
      <c r="BG30">
        <f ca="1"/>
      </c>
      <c r="BH30">
        <f ca="1"/>
      </c>
      <c r="BI30">
        <f ca="1"/>
      </c>
    </row>
    <row r="31" spans="1:61" x14ac:dyDescent="0.5">
      <c r="A31">
        <f ca="1"/>
      </c>
      <c r="B31" s="9"/>
      <c r="C31" s="9"/>
      <c r="D31" s="9"/>
      <c r="E31" s="9"/>
      <c r="AA31">
        <f ca="1"/>
      </c>
      <c r="AB31">
        <f ca="1"/>
      </c>
      <c r="AC31">
        <f ca="1"/>
      </c>
      <c r="AD31">
        <f ca="1"/>
      </c>
      <c r="AE31">
        <f ca="1"/>
      </c>
      <c r="AF31">
        <f ca="1"/>
      </c>
      <c r="AG31">
        <f ca="1"/>
      </c>
      <c r="AH31">
        <f ca="1"/>
      </c>
      <c r="AI31">
        <f ca="1"/>
      </c>
      <c r="AJ31">
        <f ca="1"/>
      </c>
      <c r="AK31">
        <f ca="1"/>
      </c>
      <c r="AL31">
        <f ca="1"/>
      </c>
      <c r="AM31">
        <f ca="1"/>
      </c>
      <c r="AN31">
        <f ca="1"/>
      </c>
      <c r="AO31">
        <f ca="1"/>
      </c>
      <c r="AP31">
        <f ca="1"/>
      </c>
      <c r="AQ31">
        <f ca="1"/>
      </c>
      <c r="AR31">
        <f ca="1"/>
      </c>
      <c r="AS31">
        <f ca="1"/>
      </c>
      <c r="AT31">
        <f ca="1"/>
      </c>
      <c r="AU31">
        <f ca="1"/>
      </c>
      <c r="AV31">
        <f ca="1"/>
      </c>
      <c r="AW31">
        <f ca="1"/>
      </c>
      <c r="AX31">
        <f ca="1"/>
      </c>
      <c r="AY31">
        <f ca="1"/>
      </c>
      <c r="AZ31">
        <f ca="1"/>
      </c>
      <c r="BA31">
        <f ca="1"/>
      </c>
      <c r="BB31">
        <f ca="1"/>
      </c>
      <c r="BC31">
        <f ca="1"/>
      </c>
      <c r="BD31">
        <f ca="1"/>
      </c>
      <c r="BE31">
        <f ca="1"/>
      </c>
      <c r="BF31">
        <f ca="1"/>
      </c>
      <c r="BG31">
        <f ca="1"/>
      </c>
      <c r="BH31">
        <f ca="1"/>
      </c>
      <c r="BI31">
        <f ca="1"/>
      </c>
    </row>
    <row r="32" spans="1:61" x14ac:dyDescent="0.5">
      <c r="A32">
        <f ca="1"/>
      </c>
      <c r="B32" s="9"/>
      <c r="C32" s="9"/>
      <c r="D32" s="9"/>
      <c r="E32" s="9"/>
      <c r="AA32">
        <f ca="1"/>
      </c>
      <c r="AB32">
        <f ca="1"/>
      </c>
      <c r="AC32">
        <f ca="1"/>
      </c>
      <c r="AD32">
        <f ca="1"/>
      </c>
      <c r="AE32">
        <f ca="1"/>
      </c>
      <c r="AF32">
        <f ca="1"/>
      </c>
      <c r="AG32">
        <f ca="1"/>
      </c>
      <c r="AH32">
        <f ca="1"/>
      </c>
      <c r="AI32">
        <f ca="1"/>
      </c>
      <c r="AJ32">
        <f ca="1"/>
      </c>
      <c r="AK32">
        <f ca="1"/>
      </c>
      <c r="AL32">
        <f ca="1"/>
      </c>
      <c r="AM32">
        <f ca="1"/>
      </c>
      <c r="AN32">
        <f ca="1"/>
      </c>
      <c r="AO32">
        <f ca="1"/>
      </c>
      <c r="AP32">
        <f ca="1"/>
      </c>
      <c r="AQ32">
        <f ca="1"/>
      </c>
      <c r="AR32">
        <f ca="1"/>
      </c>
      <c r="AS32">
        <f ca="1"/>
      </c>
      <c r="AT32">
        <f ca="1"/>
      </c>
      <c r="AU32">
        <f ca="1"/>
      </c>
      <c r="AV32">
        <f ca="1"/>
      </c>
      <c r="AW32">
        <f ca="1"/>
      </c>
      <c r="AX32">
        <f ca="1"/>
      </c>
      <c r="AY32">
        <f ca="1"/>
      </c>
      <c r="AZ32">
        <f ca="1"/>
      </c>
      <c r="BA32">
        <f ca="1"/>
      </c>
      <c r="BB32">
        <f ca="1"/>
      </c>
      <c r="BC32">
        <f ca="1"/>
      </c>
      <c r="BD32">
        <f ca="1"/>
      </c>
      <c r="BE32">
        <f ca="1"/>
      </c>
      <c r="BF32">
        <f ca="1"/>
      </c>
      <c r="BG32">
        <f ca="1"/>
      </c>
      <c r="BH32">
        <f ca="1"/>
      </c>
      <c r="BI32">
        <f ca="1"/>
      </c>
    </row>
    <row r="33" spans="1:61" x14ac:dyDescent="0.5">
      <c r="A33">
        <f ca="1"/>
      </c>
      <c r="B33" s="9"/>
      <c r="C33" s="9"/>
      <c r="D33" s="9"/>
      <c r="E33" s="9"/>
      <c r="AA33">
        <f ca="1"/>
      </c>
      <c r="AB33">
        <f ca="1"/>
      </c>
      <c r="AC33">
        <f ca="1"/>
      </c>
      <c r="AD33">
        <f ca="1"/>
      </c>
      <c r="AE33">
        <f ca="1"/>
      </c>
      <c r="AF33">
        <f ca="1"/>
      </c>
      <c r="AG33">
        <f ca="1"/>
      </c>
      <c r="AH33">
        <f ca="1"/>
      </c>
      <c r="AI33">
        <f ca="1"/>
      </c>
      <c r="AJ33">
        <f ca="1"/>
      </c>
      <c r="AK33">
        <f ca="1"/>
      </c>
      <c r="AL33">
        <f ca="1"/>
      </c>
      <c r="AM33">
        <f ca="1"/>
      </c>
      <c r="AN33">
        <f ca="1"/>
      </c>
      <c r="AO33">
        <f ca="1"/>
      </c>
      <c r="AP33">
        <f ca="1"/>
      </c>
      <c r="AQ33">
        <f ca="1"/>
      </c>
      <c r="AR33">
        <f ca="1"/>
      </c>
      <c r="AS33">
        <f ca="1"/>
      </c>
      <c r="AT33">
        <f ca="1"/>
      </c>
      <c r="AU33">
        <f ca="1"/>
      </c>
      <c r="AV33">
        <f ca="1"/>
      </c>
      <c r="AW33">
        <f ca="1"/>
      </c>
      <c r="AX33">
        <f ca="1"/>
      </c>
      <c r="AY33">
        <f ca="1"/>
      </c>
      <c r="AZ33">
        <f ca="1"/>
      </c>
      <c r="BA33">
        <f ca="1"/>
      </c>
      <c r="BB33">
        <f ca="1"/>
      </c>
      <c r="BC33">
        <f ca="1"/>
      </c>
      <c r="BD33">
        <f ca="1"/>
      </c>
      <c r="BE33">
        <f ca="1"/>
      </c>
      <c r="BF33">
        <f ca="1"/>
      </c>
      <c r="BG33">
        <f ca="1"/>
      </c>
      <c r="BH33">
        <f ca="1"/>
      </c>
      <c r="BI33">
        <f ca="1"/>
      </c>
    </row>
    <row r="34" spans="1:61" x14ac:dyDescent="0.5">
      <c r="A34">
        <f ca="1"/>
      </c>
      <c r="B34" s="9"/>
      <c r="C34" s="9"/>
      <c r="D34" s="9"/>
      <c r="E34" s="9"/>
      <c r="AA34">
        <f ca="1"/>
      </c>
      <c r="AB34">
        <f ca="1"/>
      </c>
      <c r="AC34">
        <f ca="1"/>
      </c>
      <c r="AD34">
        <f ca="1"/>
      </c>
      <c r="AE34">
        <f ca="1"/>
      </c>
      <c r="AF34">
        <f ca="1"/>
      </c>
      <c r="AG34">
        <f ca="1"/>
      </c>
      <c r="AH34">
        <f ca="1"/>
      </c>
      <c r="AI34">
        <f ca="1"/>
      </c>
      <c r="AJ34">
        <f ca="1"/>
      </c>
      <c r="AK34">
        <f ca="1"/>
      </c>
      <c r="AL34">
        <f ca="1"/>
      </c>
      <c r="AM34">
        <f ca="1"/>
      </c>
      <c r="AN34">
        <f ca="1"/>
      </c>
      <c r="AO34">
        <f ca="1"/>
      </c>
      <c r="AP34">
        <f ca="1"/>
      </c>
      <c r="AQ34">
        <f ca="1"/>
      </c>
      <c r="AR34">
        <f ca="1"/>
      </c>
      <c r="AS34">
        <f ca="1"/>
      </c>
      <c r="AT34">
        <f ca="1"/>
      </c>
      <c r="AU34">
        <f ca="1"/>
      </c>
      <c r="AV34">
        <f ca="1"/>
      </c>
      <c r="AW34">
        <f ca="1"/>
      </c>
      <c r="AX34">
        <f ca="1"/>
      </c>
      <c r="AY34">
        <f ca="1"/>
      </c>
      <c r="AZ34">
        <f ca="1"/>
      </c>
      <c r="BA34">
        <f ca="1"/>
      </c>
      <c r="BB34">
        <f ca="1"/>
      </c>
      <c r="BC34">
        <f ca="1"/>
      </c>
      <c r="BD34">
        <f ca="1"/>
      </c>
      <c r="BE34">
        <f ca="1"/>
      </c>
      <c r="BF34">
        <f ca="1"/>
      </c>
      <c r="BG34">
        <f ca="1"/>
      </c>
      <c r="BH34">
        <f ca="1"/>
      </c>
      <c r="BI34">
        <f ca="1"/>
      </c>
    </row>
    <row r="35" spans="1:61" x14ac:dyDescent="0.5">
      <c r="A35">
        <f ca="1"/>
      </c>
      <c r="B35" s="9"/>
      <c r="C35" s="9"/>
      <c r="D35" s="9"/>
      <c r="E35" s="9"/>
      <c r="AA35">
        <f ca="1"/>
      </c>
      <c r="AB35">
        <f ca="1"/>
      </c>
      <c r="AC35">
        <f ca="1"/>
      </c>
      <c r="AD35">
        <f ca="1"/>
      </c>
      <c r="AE35">
        <f ca="1"/>
      </c>
      <c r="AF35">
        <f ca="1"/>
      </c>
      <c r="AG35">
        <f ca="1"/>
      </c>
      <c r="AH35">
        <f ca="1"/>
      </c>
      <c r="AI35">
        <f ca="1"/>
      </c>
      <c r="AJ35">
        <f ca="1"/>
      </c>
      <c r="AK35">
        <f ca="1"/>
      </c>
      <c r="AL35">
        <f ca="1"/>
      </c>
      <c r="AM35">
        <f ca="1"/>
      </c>
      <c r="AN35">
        <f ca="1"/>
      </c>
      <c r="AO35">
        <f ca="1"/>
      </c>
      <c r="AP35">
        <f ca="1"/>
      </c>
      <c r="AQ35">
        <f ca="1"/>
      </c>
      <c r="AR35">
        <f ca="1"/>
      </c>
      <c r="AS35">
        <f ca="1"/>
      </c>
      <c r="AT35">
        <f ca="1"/>
      </c>
      <c r="AU35">
        <f ca="1"/>
      </c>
      <c r="AV35">
        <f ca="1"/>
      </c>
      <c r="AW35">
        <f ca="1"/>
      </c>
      <c r="AX35">
        <f ca="1"/>
      </c>
      <c r="AY35">
        <f ca="1"/>
      </c>
      <c r="AZ35">
        <f ca="1"/>
      </c>
      <c r="BA35">
        <f ca="1"/>
      </c>
      <c r="BB35">
        <f ca="1"/>
      </c>
      <c r="BC35">
        <f ca="1"/>
      </c>
      <c r="BD35">
        <f ca="1"/>
      </c>
      <c r="BE35">
        <f ca="1"/>
      </c>
      <c r="BF35">
        <f ca="1"/>
      </c>
      <c r="BG35">
        <f ca="1"/>
      </c>
      <c r="BH35">
        <f ca="1"/>
      </c>
      <c r="BI35">
        <f ca="1"/>
      </c>
    </row>
    <row r="36" spans="1:61" x14ac:dyDescent="0.5">
      <c r="A36">
        <f ca="1"/>
      </c>
      <c r="B36" s="9"/>
      <c r="C36" s="9"/>
      <c r="D36" s="9"/>
      <c r="E36" s="9"/>
      <c r="AA36">
        <f ca="1"/>
      </c>
      <c r="AB36">
        <f ca="1"/>
      </c>
      <c r="AC36">
        <f ca="1"/>
      </c>
      <c r="AD36">
        <f ca="1"/>
      </c>
      <c r="AE36">
        <f ca="1"/>
      </c>
      <c r="AF36">
        <f ca="1"/>
      </c>
      <c r="AG36">
        <f ca="1"/>
      </c>
      <c r="AH36">
        <f ca="1"/>
      </c>
      <c r="AI36">
        <f ca="1"/>
      </c>
      <c r="AJ36">
        <f ca="1"/>
      </c>
      <c r="AK36">
        <f ca="1"/>
      </c>
      <c r="AL36">
        <f ca="1"/>
      </c>
      <c r="AM36">
        <f ca="1"/>
      </c>
      <c r="AN36">
        <f ca="1"/>
      </c>
      <c r="AO36">
        <f ca="1"/>
      </c>
      <c r="AP36">
        <f ca="1"/>
      </c>
      <c r="AQ36">
        <f ca="1"/>
      </c>
      <c r="AR36">
        <f ca="1"/>
      </c>
      <c r="AS36">
        <f ca="1"/>
      </c>
      <c r="AT36">
        <f ca="1"/>
      </c>
      <c r="AU36">
        <f ca="1"/>
      </c>
      <c r="AV36">
        <f ca="1"/>
      </c>
      <c r="AW36">
        <f ca="1"/>
      </c>
      <c r="AX36">
        <f ca="1"/>
      </c>
      <c r="AY36">
        <f ca="1"/>
      </c>
      <c r="AZ36">
        <f ca="1"/>
      </c>
      <c r="BA36">
        <f ca="1"/>
      </c>
      <c r="BB36">
        <f ca="1"/>
      </c>
      <c r="BC36">
        <f ca="1"/>
      </c>
      <c r="BD36">
        <f ca="1"/>
      </c>
      <c r="BE36">
        <f ca="1"/>
      </c>
      <c r="BF36">
        <f ca="1"/>
      </c>
      <c r="BG36">
        <f ca="1"/>
      </c>
      <c r="BH36">
        <f ca="1"/>
      </c>
      <c r="BI36">
        <f ca="1"/>
      </c>
    </row>
    <row r="37" spans="1:61" x14ac:dyDescent="0.5">
      <c r="A37">
        <f ca="1"/>
      </c>
      <c r="B37" s="9"/>
      <c r="C37" s="9"/>
      <c r="D37" s="9"/>
      <c r="E37" s="9"/>
      <c r="AA37">
        <f ca="1"/>
      </c>
      <c r="AB37">
        <f ca="1"/>
      </c>
      <c r="AC37">
        <f ca="1"/>
      </c>
      <c r="AD37">
        <f ca="1"/>
      </c>
      <c r="AE37">
        <f ca="1"/>
      </c>
      <c r="AF37">
        <f ca="1"/>
      </c>
      <c r="AG37">
        <f ca="1"/>
      </c>
      <c r="AH37">
        <f ca="1"/>
      </c>
      <c r="AI37">
        <f ca="1"/>
      </c>
      <c r="AJ37">
        <f ca="1"/>
      </c>
      <c r="AK37">
        <f ca="1"/>
      </c>
      <c r="AL37">
        <f ca="1"/>
      </c>
      <c r="AM37">
        <f ca="1"/>
      </c>
      <c r="AN37">
        <f ca="1"/>
      </c>
      <c r="AO37">
        <f ca="1"/>
      </c>
      <c r="AP37">
        <f ca="1"/>
      </c>
      <c r="AQ37">
        <f ca="1"/>
      </c>
      <c r="AR37">
        <f ca="1"/>
      </c>
      <c r="AS37">
        <f ca="1"/>
      </c>
      <c r="AT37">
        <f ca="1"/>
      </c>
      <c r="AU37">
        <f ca="1"/>
      </c>
      <c r="AV37">
        <f ca="1"/>
      </c>
      <c r="AW37">
        <f ca="1"/>
      </c>
      <c r="AX37">
        <f ca="1"/>
      </c>
      <c r="AY37">
        <f ca="1"/>
      </c>
      <c r="AZ37">
        <f ca="1"/>
      </c>
      <c r="BA37">
        <f ca="1"/>
      </c>
      <c r="BB37">
        <f ca="1"/>
      </c>
      <c r="BC37">
        <f ca="1"/>
      </c>
      <c r="BD37">
        <f ca="1"/>
      </c>
      <c r="BE37">
        <f ca="1"/>
      </c>
      <c r="BF37">
        <f ca="1"/>
      </c>
      <c r="BG37">
        <f ca="1"/>
      </c>
      <c r="BH37">
        <f ca="1"/>
      </c>
      <c r="BI37">
        <f ca="1"/>
      </c>
    </row>
    <row r="38" spans="1:61" x14ac:dyDescent="0.5">
      <c r="A38">
        <f ca="1"/>
      </c>
      <c r="B38" s="9"/>
      <c r="C38" s="9"/>
      <c r="D38" s="9"/>
      <c r="E38" s="9"/>
      <c r="AA38">
        <f ca="1"/>
      </c>
      <c r="AB38">
        <f ca="1"/>
      </c>
      <c r="AC38">
        <f ca="1"/>
      </c>
      <c r="AD38">
        <f ca="1"/>
      </c>
      <c r="AE38">
        <f ca="1"/>
      </c>
      <c r="AF38">
        <f ca="1"/>
      </c>
      <c r="AG38">
        <f ca="1"/>
      </c>
      <c r="AH38">
        <f ca="1"/>
      </c>
      <c r="AI38">
        <f ca="1"/>
      </c>
      <c r="AJ38">
        <f ca="1"/>
      </c>
      <c r="AK38">
        <f ca="1"/>
      </c>
      <c r="AL38">
        <f ca="1"/>
      </c>
      <c r="AM38">
        <f ca="1"/>
      </c>
      <c r="AN38">
        <f ca="1"/>
      </c>
      <c r="AO38">
        <f ca="1"/>
      </c>
      <c r="AP38">
        <f ca="1"/>
      </c>
      <c r="AQ38">
        <f ca="1"/>
      </c>
      <c r="AR38">
        <f ca="1"/>
      </c>
      <c r="AS38">
        <f ca="1"/>
      </c>
      <c r="AT38">
        <f ca="1"/>
      </c>
      <c r="AU38">
        <f ca="1"/>
      </c>
      <c r="AV38">
        <f ca="1"/>
      </c>
      <c r="AW38">
        <f ca="1"/>
      </c>
      <c r="AX38">
        <f ca="1"/>
      </c>
      <c r="AY38">
        <f ca="1"/>
      </c>
      <c r="AZ38">
        <f ca="1"/>
      </c>
      <c r="BA38">
        <f ca="1"/>
      </c>
      <c r="BB38">
        <f ca="1"/>
      </c>
      <c r="BC38">
        <f ca="1"/>
      </c>
      <c r="BD38">
        <f ca="1"/>
      </c>
      <c r="BE38">
        <f ca="1"/>
      </c>
      <c r="BF38">
        <f ca="1"/>
      </c>
      <c r="BG38">
        <f ca="1"/>
      </c>
      <c r="BH38">
        <f ca="1"/>
      </c>
      <c r="BI38">
        <f ca="1"/>
      </c>
    </row>
    <row r="39" spans="1:61" x14ac:dyDescent="0.5">
      <c r="B39" s="9"/>
      <c r="C39" s="9"/>
      <c r="D39" s="9"/>
      <c r="E39" s="9"/>
    </row>
    <row r="40" spans="1:61" x14ac:dyDescent="0.5">
      <c r="A40" s="15" t="s">
        <v>75</v>
      </c>
      <c r="B40" s="16">
        <f ca="1">SUM(_xlfn.ANCHORARRAY(B5))</f>
      </c>
      <c r="C40" s="16">
        <f ca="1">SUM(_xlfn.ANCHORARRAY(C5))</f>
      </c>
      <c r="D40" s="16">
        <f ca="1">SUM(_xlfn.ANCHORARRAY(D5))</f>
      </c>
      <c r="E40" s="16">
        <f ca="1">SUM(_xlfn.ANCHORARRAY(E5))</f>
      </c>
    </row>
    <row r="41" spans="1:61" x14ac:dyDescent="0.5">
      <c r="A41" s="6" t="s">
        <v>145</v>
      </c>
      <c r="B41" s="10">
        <f ca="1">SUM(POS_SwapDelta)</f>
      </c>
      <c r="C41" s="10">
        <f ca="1">SUM(POS_BondDelta)</f>
      </c>
      <c r="D41" s="10">
        <f ca="1">SUM(POS_NetDelta)</f>
      </c>
      <c r="E41" s="10">
        <f ca="1">SUM(POS_NetWhatIf)</f>
      </c>
    </row>
  </sheetData>
  <phoneticPr fontId="3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EA919-DC19-4790-BB2E-04D69E7827D1}">
  <sheetPr codeName="Sheet5">
    <tabColor rgb="FF0070C0"/>
  </sheetPr>
  <dimension ref="A1:AM59"/>
  <sheetViews>
    <sheetView zoomScale="63" workbookViewId="0">
      <selection activeCell="K22" sqref="K22"/>
    </sheetView>
  </sheetViews>
  <sheetFormatPr defaultRowHeight="16.5" x14ac:dyDescent="0.5"/>
  <cols>
    <col min="1" max="1" width="12.6328125" customWidth="1"/>
    <col min="2" max="8" width="11.6328125" customWidth="1"/>
    <col min="10" max="10" width="20.6328125" customWidth="1"/>
    <col min="11" max="13" width="12.6328125" customWidth="1"/>
  </cols>
  <sheetData>
    <row r="1" spans="1:13" ht="22.5" x14ac:dyDescent="0.5">
      <c r="A1" s="1" t="s">
        <v>146</v>
      </c>
    </row>
    <row r="2" spans="1:13" x14ac:dyDescent="0.5">
      <c r="A2" s="4" t="s">
        <v>147</v>
      </c>
    </row>
    <row r="4" spans="1:13" x14ac:dyDescent="0.5">
      <c r="A4" s="7" t="s">
        <v>13</v>
      </c>
      <c r="B4" s="7" t="s">
        <v>148</v>
      </c>
      <c r="C4" s="7" t="s">
        <v>1</v>
      </c>
      <c r="D4" s="7" t="s">
        <v>149</v>
      </c>
      <c r="E4" s="7" t="s">
        <v>150</v>
      </c>
      <c r="F4" s="7" t="s">
        <v>151</v>
      </c>
      <c r="G4" s="7" t="s">
        <v>152</v>
      </c>
      <c r="H4" s="7" t="s">
        <v>153</v>
      </c>
      <c r="J4" s="7" t="s">
        <v>154</v>
      </c>
      <c r="K4" s="7" t="s">
        <v>155</v>
      </c>
    </row>
    <row r="5" spans="1:13" x14ac:dyDescent="0.5">
      <c r="A5" cm="1">
        <f t="array" ref="A5:A38">POS_Pillars</f>
      </c>
      <c r="B5" s="14" cm="1">
        <f t="array" aca="1" ref="B5:B38" ca="1">PosCloseRates(POS_Pillars,POS_RiskDate)</f>
      </c>
      <c r="C5" s="14" cm="1">
        <f t="array" aca="1" ref="C5:C38" ca="1">IFERROR(_xlfn.XLOOKUP(_xlfn.ANCHORARRAY(A5),INDEX(POS_LiveSwap,,1),INDEX(POS_LiveSwap,,2),""),"")</f>
      </c>
      <c r="D5" s="17" cm="1">
        <f t="array" aca="1" ref="D5:D38" ca="1">IF(ISNUMBER(_xlfn.ANCHORARRAY(B5))*ISNUMBER(_xlfn.ANCHORARRAY(C5)),(_xlfn.ANCHORARRAY(C5)-_xlfn.ANCHORARRAY(B5))*100,0)</f>
      </c>
      <c r="E5" s="9" cm="1">
        <f t="array" aca="1" ref="E5:E38" ca="1">POS_SodDelta+POS_BondDelta</f>
      </c>
      <c r="F5" s="9" cm="1">
        <f t="array" aca="1" ref="F5:F38" ca="1">_xlfn.ANCHORARRAY(E5)*_xlfn.ANCHORARRAY(D5)</f>
      </c>
      <c r="G5" s="9" cm="1">
        <f t="array" aca="1" ref="G5:G38" ca="1">0.5*_xlfn.ANCHORARRAY(D5)*MMULT(POS_Gamma,_xlfn.ANCHORARRAY(D5))</f>
      </c>
      <c r="H5" s="9" cm="1">
        <f t="array" aca="1" ref="H5:H38" ca="1">_xlfn.ANCHORARRAY(E5)+MMULT(POS_Gamma,_xlfn.ANCHORARRAY(D5))+_xlfn.ANCHORARRAY(Grid!$C$5)</f>
      </c>
      <c r="J5" t="s">
        <v>156</v>
      </c>
      <c r="K5" s="9">
        <f ca="1">SUM(_xlfn.ANCHORARRAY(F5))</f>
      </c>
    </row>
    <row r="6" spans="1:13" x14ac:dyDescent="0.5">
      <c r="B6" s="14">
        <f ca="1"/>
      </c>
      <c r="C6" s="14">
        <f ca="1"/>
      </c>
      <c r="D6" s="17">
        <f ca="1"/>
      </c>
      <c r="E6" s="9">
        <f ca="1"/>
      </c>
      <c r="F6" s="9">
        <f ca="1"/>
      </c>
      <c r="G6" s="9">
        <f ca="1"/>
      </c>
      <c r="H6" s="9">
        <f ca="1"/>
      </c>
      <c r="J6" t="s">
        <v>157</v>
      </c>
      <c r="K6" s="9">
        <f ca="1">SUM(_xlfn.ANCHORARRAY(G5))</f>
      </c>
    </row>
    <row r="7" spans="1:13" x14ac:dyDescent="0.5">
      <c r="B7" s="14">
        <f ca="1"/>
      </c>
      <c r="C7" s="14">
        <f ca="1"/>
      </c>
      <c r="D7" s="17">
        <f ca="1"/>
      </c>
      <c r="E7" s="9">
        <f ca="1"/>
      </c>
      <c r="F7" s="9">
        <f ca="1"/>
      </c>
      <c r="G7" s="9">
        <f ca="1"/>
      </c>
      <c r="H7" s="9">
        <f ca="1"/>
      </c>
      <c r="J7" t="s">
        <v>158</v>
      </c>
      <c r="K7" s="9" cm="1">
        <f t="array" aca="1" ref="K7" ca="1">SUM(POS_Vega*POS_VolMove)</f>
      </c>
    </row>
    <row r="8" spans="1:13" x14ac:dyDescent="0.5">
      <c r="B8" s="14">
        <f ca="1"/>
      </c>
      <c r="C8" s="14">
        <f ca="1"/>
      </c>
      <c r="D8" s="17">
        <f ca="1"/>
      </c>
      <c r="E8" s="9">
        <f ca="1"/>
      </c>
      <c r="F8" s="9">
        <f ca="1"/>
      </c>
      <c r="G8" s="9">
        <f ca="1"/>
      </c>
      <c r="H8" s="9">
        <f ca="1"/>
      </c>
      <c r="J8" t="s">
        <v>159</v>
      </c>
      <c r="K8" s="9">
        <f>SUMIFS(Others!$C$5:$C$54,Others!$B$5:$B$54,"Carry/Theta")</f>
      </c>
    </row>
    <row r="9" spans="1:13" x14ac:dyDescent="0.5">
      <c r="B9" s="14">
        <f ca="1"/>
      </c>
      <c r="C9" s="14">
        <f ca="1"/>
      </c>
      <c r="D9" s="17">
        <f ca="1"/>
      </c>
      <c r="E9" s="9">
        <f ca="1"/>
      </c>
      <c r="F9" s="9">
        <f ca="1"/>
      </c>
      <c r="G9" s="9">
        <f ca="1"/>
      </c>
      <c r="H9" s="9">
        <f ca="1"/>
      </c>
      <c r="J9" t="s">
        <v>160</v>
      </c>
      <c r="K9" s="9">
        <f>SUMIFS(Trades!$K$5:$K$54,Trades!$A$5:$A$54,"Done")</f>
      </c>
    </row>
    <row r="10" spans="1:13" x14ac:dyDescent="0.5">
      <c r="B10" s="14">
        <f ca="1"/>
      </c>
      <c r="C10" s="14">
        <f ca="1"/>
      </c>
      <c r="D10" s="17">
        <f ca="1"/>
      </c>
      <c r="E10" s="9">
        <f ca="1"/>
      </c>
      <c r="F10" s="9">
        <f ca="1"/>
      </c>
      <c r="G10" s="9">
        <f ca="1"/>
      </c>
      <c r="H10" s="9">
        <f ca="1"/>
      </c>
      <c r="J10" s="15" t="s">
        <v>75</v>
      </c>
      <c r="K10" s="16">
        <f ca="1">SUM(K5:K9)</f>
      </c>
    </row>
    <row r="11" spans="1:13" x14ac:dyDescent="0.5">
      <c r="B11" s="14">
        <f ca="1"/>
      </c>
      <c r="C11" s="14">
        <f ca="1"/>
      </c>
      <c r="D11" s="17">
        <f ca="1"/>
      </c>
      <c r="E11" s="9">
        <f ca="1"/>
      </c>
      <c r="F11" s="9">
        <f ca="1"/>
      </c>
      <c r="G11" s="9">
        <f ca="1"/>
      </c>
      <c r="H11" s="9">
        <f ca="1"/>
      </c>
    </row>
    <row r="12" spans="1:13" ht="33" x14ac:dyDescent="0.5">
      <c r="B12" s="14">
        <f ca="1"/>
      </c>
      <c r="C12" s="14">
        <f ca="1"/>
      </c>
      <c r="D12" s="17">
        <f ca="1"/>
      </c>
      <c r="E12" s="9">
        <f ca="1"/>
      </c>
      <c r="F12" s="9">
        <f ca="1"/>
      </c>
      <c r="G12" s="9">
        <f ca="1"/>
      </c>
      <c r="H12" s="9">
        <f ca="1"/>
      </c>
      <c r="J12" s="7" t="s">
        <v>120</v>
      </c>
      <c r="K12" s="7" t="s">
        <v>161</v>
      </c>
      <c r="L12" s="7" t="s">
        <v>162</v>
      </c>
      <c r="M12" s="7" t="s">
        <v>151</v>
      </c>
    </row>
    <row r="13" spans="1:13" x14ac:dyDescent="0.5">
      <c r="B13" s="14">
        <f ca="1"/>
      </c>
      <c r="C13" s="14">
        <f ca="1"/>
      </c>
      <c r="D13" s="17">
        <f ca="1"/>
      </c>
      <c r="E13" s="9">
        <f ca="1"/>
      </c>
      <c r="F13" s="9">
        <f ca="1"/>
      </c>
      <c r="G13" s="9">
        <f ca="1"/>
      </c>
      <c r="H13" s="9">
        <f ca="1"/>
      </c>
      <c r="J13" s="20">
        <v>1</v>
      </c>
      <c r="K13" s="17" cm="1">
        <f t="array" aca="1" ref="K13:K15" ca="1">_xlfn.TAKE(POS_PcExp(POS_Move),3)</f>
      </c>
      <c r="L13" s="17" cm="1">
        <f t="array" aca="1" ref="L13:L15" ca="1">_xlfn.ANCHORARRAY(K13)/_xlfn.TAKE(POS_PcStd,3)</f>
      </c>
      <c r="M13" s="9" cm="1">
        <f t="array" aca="1" ref="M13:M15" ca="1">_xlfn.TAKE(POS_PcExp(_xlfn.ANCHORARRAY(E5)),3)*_xlfn.ANCHORARRAY(K13)</f>
      </c>
    </row>
    <row r="14" spans="1:13" x14ac:dyDescent="0.5">
      <c r="B14" s="14">
        <f ca="1"/>
      </c>
      <c r="C14" s="14">
        <f ca="1"/>
      </c>
      <c r="D14" s="17">
        <f ca="1"/>
      </c>
      <c r="E14" s="9">
        <f ca="1"/>
      </c>
      <c r="F14" s="9">
        <f ca="1"/>
      </c>
      <c r="G14" s="9">
        <f ca="1"/>
      </c>
      <c r="H14" s="9">
        <f ca="1"/>
      </c>
      <c r="J14" s="20">
        <v>2</v>
      </c>
      <c r="K14" s="17">
        <f ca="1"/>
      </c>
      <c r="L14" s="17">
        <f ca="1"/>
      </c>
      <c r="M14" s="9">
        <f ca="1"/>
      </c>
    </row>
    <row r="15" spans="1:13" x14ac:dyDescent="0.5">
      <c r="B15" s="14">
        <f ca="1"/>
      </c>
      <c r="C15" s="14">
        <f ca="1"/>
      </c>
      <c r="D15" s="17">
        <f ca="1"/>
      </c>
      <c r="E15" s="9">
        <f ca="1"/>
      </c>
      <c r="F15" s="9">
        <f ca="1"/>
      </c>
      <c r="G15" s="9">
        <f ca="1"/>
      </c>
      <c r="H15" s="9">
        <f ca="1"/>
      </c>
      <c r="J15" s="20">
        <v>3</v>
      </c>
      <c r="K15" s="17">
        <f ca="1"/>
      </c>
      <c r="L15" s="17">
        <f ca="1"/>
      </c>
      <c r="M15" s="9">
        <f ca="1"/>
      </c>
    </row>
    <row r="16" spans="1:13" x14ac:dyDescent="0.5">
      <c r="B16" s="14">
        <f ca="1"/>
      </c>
      <c r="C16" s="14">
        <f ca="1"/>
      </c>
      <c r="D16" s="17">
        <f ca="1"/>
      </c>
      <c r="E16" s="9">
        <f ca="1"/>
      </c>
      <c r="F16" s="9">
        <f ca="1"/>
      </c>
      <c r="G16" s="9">
        <f ca="1"/>
      </c>
      <c r="H16" s="9">
        <f ca="1"/>
      </c>
      <c r="J16" t="s">
        <v>132</v>
      </c>
      <c r="M16" s="9">
        <f ca="1">K5-SUM(_xlfn.ANCHORARRAY(M13))</f>
      </c>
    </row>
    <row r="17" spans="1:8" x14ac:dyDescent="0.5">
      <c r="B17" s="14">
        <f ca="1"/>
      </c>
      <c r="C17" s="14">
        <f ca="1"/>
      </c>
      <c r="D17" s="17">
        <f ca="1"/>
      </c>
      <c r="E17" s="9">
        <f ca="1"/>
      </c>
      <c r="F17" s="9">
        <f ca="1"/>
      </c>
      <c r="G17" s="9">
        <f ca="1"/>
      </c>
      <c r="H17" s="9">
        <f ca="1"/>
      </c>
    </row>
    <row r="18" spans="1:8" x14ac:dyDescent="0.5">
      <c r="B18" s="14">
        <f ca="1"/>
      </c>
      <c r="C18" s="14">
        <f ca="1"/>
      </c>
      <c r="D18" s="17">
        <f ca="1"/>
      </c>
      <c r="E18" s="9">
        <f ca="1"/>
      </c>
      <c r="F18" s="9">
        <f ca="1"/>
      </c>
      <c r="G18" s="9">
        <f ca="1"/>
      </c>
      <c r="H18" s="9">
        <f ca="1"/>
      </c>
    </row>
    <row r="19" spans="1:8" x14ac:dyDescent="0.5">
      <c r="B19" s="14">
        <f ca="1"/>
      </c>
      <c r="C19" s="14">
        <f ca="1"/>
      </c>
      <c r="D19" s="17">
        <f ca="1"/>
      </c>
      <c r="E19" s="9">
        <f ca="1"/>
      </c>
      <c r="F19" s="9">
        <f ca="1"/>
      </c>
      <c r="G19" s="9">
        <f ca="1"/>
      </c>
      <c r="H19" s="9">
        <f ca="1"/>
      </c>
    </row>
    <row r="20" spans="1:8" x14ac:dyDescent="0.5">
      <c r="B20" s="14">
        <f ca="1"/>
      </c>
      <c r="C20" s="14">
        <f ca="1"/>
      </c>
      <c r="D20" s="17">
        <f ca="1"/>
      </c>
      <c r="E20" s="9">
        <f ca="1"/>
      </c>
      <c r="F20" s="9">
        <f ca="1"/>
      </c>
      <c r="G20" s="9">
        <f ca="1"/>
      </c>
      <c r="H20" s="9">
        <f ca="1"/>
      </c>
    </row>
    <row r="21" spans="1:8" x14ac:dyDescent="0.5">
      <c r="B21" s="14">
        <f ca="1"/>
      </c>
      <c r="C21" s="14">
        <f ca="1"/>
      </c>
      <c r="D21" s="17">
        <f ca="1"/>
      </c>
      <c r="E21" s="9">
        <f ca="1"/>
      </c>
      <c r="F21" s="9">
        <f ca="1"/>
      </c>
      <c r="G21" s="9">
        <f ca="1"/>
      </c>
      <c r="H21" s="9">
        <f ca="1"/>
      </c>
    </row>
    <row r="22" spans="1:8" x14ac:dyDescent="0.5">
      <c r="B22" s="14">
        <f ca="1"/>
      </c>
      <c r="C22" s="14">
        <f ca="1"/>
      </c>
      <c r="D22" s="17">
        <f ca="1"/>
      </c>
      <c r="E22" s="9">
        <f ca="1"/>
      </c>
      <c r="F22" s="9">
        <f ca="1"/>
      </c>
      <c r="G22" s="9">
        <f ca="1"/>
      </c>
      <c r="H22" s="9">
        <f ca="1"/>
      </c>
    </row>
    <row r="23" spans="1:8" x14ac:dyDescent="0.5">
      <c r="B23" s="14">
        <f ca="1"/>
      </c>
      <c r="C23" s="14">
        <f ca="1"/>
      </c>
      <c r="D23" s="17">
        <f ca="1"/>
      </c>
      <c r="E23" s="9">
        <f ca="1"/>
      </c>
      <c r="F23" s="9">
        <f ca="1"/>
      </c>
      <c r="G23" s="9">
        <f ca="1"/>
      </c>
      <c r="H23" s="9">
        <f ca="1"/>
      </c>
    </row>
    <row r="24" spans="1:8" x14ac:dyDescent="0.5">
      <c r="B24" s="14">
        <f ca="1"/>
      </c>
      <c r="C24" s="14">
        <f ca="1"/>
      </c>
      <c r="D24" s="17">
        <f ca="1"/>
      </c>
      <c r="E24" s="9">
        <f ca="1"/>
      </c>
      <c r="F24" s="9">
        <f ca="1"/>
      </c>
      <c r="G24" s="9">
        <f ca="1"/>
      </c>
      <c r="H24" s="9">
        <f ca="1"/>
      </c>
    </row>
    <row r="25" spans="1:8" x14ac:dyDescent="0.5">
      <c r="B25" s="14">
        <f ca="1"/>
      </c>
      <c r="C25" s="14">
        <f ca="1"/>
      </c>
      <c r="D25" s="17">
        <f ca="1"/>
      </c>
      <c r="E25" s="9">
        <f ca="1"/>
      </c>
      <c r="F25" s="9">
        <f ca="1"/>
      </c>
      <c r="G25" s="9">
        <f ca="1"/>
      </c>
      <c r="H25" s="9">
        <f ca="1"/>
      </c>
    </row>
    <row r="26" spans="1:8" x14ac:dyDescent="0.5">
      <c r="B26" s="14">
        <f ca="1"/>
      </c>
      <c r="C26" s="14">
        <f ca="1"/>
      </c>
      <c r="D26" s="17">
        <f ca="1"/>
      </c>
      <c r="E26" s="9">
        <f ca="1"/>
      </c>
      <c r="F26" s="9">
        <f ca="1"/>
      </c>
      <c r="G26" s="9">
        <f ca="1"/>
      </c>
      <c r="H26" s="9">
        <f ca="1"/>
      </c>
    </row>
    <row r="27" spans="1:8" x14ac:dyDescent="0.5">
      <c r="B27" s="14">
        <f ca="1"/>
      </c>
      <c r="C27" s="14">
        <f ca="1"/>
      </c>
      <c r="D27" s="17">
        <f ca="1"/>
      </c>
      <c r="E27" s="9">
        <f ca="1"/>
      </c>
      <c r="F27" s="9">
        <f ca="1"/>
      </c>
      <c r="G27" s="9">
        <f ca="1"/>
      </c>
      <c r="H27" s="9">
        <f ca="1"/>
      </c>
    </row>
    <row r="28" spans="1:8" x14ac:dyDescent="0.5">
      <c r="B28" s="14">
        <f ca="1"/>
      </c>
      <c r="C28" s="14">
        <f ca="1"/>
      </c>
      <c r="D28" s="17">
        <f ca="1"/>
      </c>
      <c r="E28" s="9">
        <f ca="1"/>
      </c>
      <c r="F28" s="9">
        <f ca="1"/>
      </c>
      <c r="G28" s="9">
        <f ca="1"/>
      </c>
      <c r="H28" s="9">
        <f ca="1"/>
      </c>
    </row>
    <row r="29" spans="1:8" x14ac:dyDescent="0.5">
      <c r="B29" s="14">
        <f ca="1"/>
      </c>
      <c r="C29" s="14">
        <f ca="1"/>
      </c>
      <c r="D29" s="17">
        <f ca="1"/>
      </c>
      <c r="E29" s="9">
        <f ca="1"/>
      </c>
      <c r="F29" s="9">
        <f ca="1"/>
      </c>
      <c r="G29" s="9">
        <f ca="1"/>
      </c>
      <c r="H29" s="9">
        <f ca="1"/>
      </c>
    </row>
    <row r="30" spans="1:8" x14ac:dyDescent="0.5">
      <c r="B30" s="14">
        <f ca="1"/>
      </c>
      <c r="C30" s="14">
        <f ca="1"/>
      </c>
      <c r="D30" s="17">
        <f ca="1"/>
      </c>
      <c r="E30" s="9">
        <f ca="1"/>
      </c>
      <c r="F30" s="9">
        <f ca="1"/>
      </c>
      <c r="G30" s="9">
        <f ca="1"/>
      </c>
      <c r="H30" s="9">
        <f ca="1"/>
      </c>
    </row>
    <row r="31" spans="1:8" x14ac:dyDescent="0.5">
      <c r="B31" s="14">
        <f ca="1"/>
      </c>
      <c r="C31" s="14">
        <f ca="1"/>
      </c>
      <c r="D31" s="17">
        <f ca="1"/>
      </c>
      <c r="E31" s="9">
        <f ca="1"/>
      </c>
      <c r="F31" s="9">
        <f ca="1"/>
      </c>
      <c r="G31" s="9">
        <f ca="1"/>
      </c>
      <c r="H31" s="9">
        <f ca="1"/>
      </c>
    </row>
    <row r="32" spans="1:8" x14ac:dyDescent="0.5">
      <c r="B32" s="14">
        <f ca="1"/>
      </c>
      <c r="C32" s="14">
        <f ca="1"/>
      </c>
      <c r="D32" s="17">
        <f ca="1"/>
      </c>
      <c r="E32" s="9">
        <f ca="1"/>
      </c>
      <c r="F32" s="9">
        <f ca="1"/>
      </c>
      <c r="G32" s="9">
        <f ca="1"/>
      </c>
      <c r="H32" s="9">
        <f ca="1"/>
      </c>
    </row>
    <row r="33" spans="1:39" x14ac:dyDescent="0.5">
      <c r="B33" s="14">
        <f ca="1"/>
      </c>
      <c r="C33" s="14">
        <f ca="1"/>
      </c>
      <c r="D33" s="17">
        <f ca="1"/>
      </c>
      <c r="E33" s="9">
        <f ca="1"/>
      </c>
      <c r="F33" s="9">
        <f ca="1"/>
      </c>
      <c r="G33" s="9">
        <f ca="1"/>
      </c>
      <c r="H33" s="9">
        <f ca="1"/>
      </c>
    </row>
    <row r="34" spans="1:39" x14ac:dyDescent="0.5">
      <c r="B34" s="14">
        <f ca="1"/>
      </c>
      <c r="C34" s="14">
        <f ca="1"/>
      </c>
      <c r="D34" s="17">
        <f ca="1"/>
      </c>
      <c r="E34" s="9">
        <f ca="1"/>
      </c>
      <c r="F34" s="9">
        <f ca="1"/>
      </c>
      <c r="G34" s="9">
        <f ca="1"/>
      </c>
      <c r="H34" s="9">
        <f ca="1"/>
      </c>
    </row>
    <row r="35" spans="1:39" x14ac:dyDescent="0.5">
      <c r="B35" s="14">
        <f ca="1"/>
      </c>
      <c r="C35" s="14">
        <f ca="1"/>
      </c>
      <c r="D35" s="17">
        <f ca="1"/>
      </c>
      <c r="E35" s="9">
        <f ca="1"/>
      </c>
      <c r="F35" s="9">
        <f ca="1"/>
      </c>
      <c r="G35" s="9">
        <f ca="1"/>
      </c>
      <c r="H35" s="9">
        <f ca="1"/>
      </c>
    </row>
    <row r="36" spans="1:39" x14ac:dyDescent="0.5">
      <c r="B36" s="14">
        <f ca="1"/>
      </c>
      <c r="C36" s="14">
        <f ca="1"/>
      </c>
      <c r="D36" s="17">
        <f ca="1"/>
      </c>
      <c r="E36" s="9">
        <f ca="1"/>
      </c>
      <c r="F36" s="9">
        <f ca="1"/>
      </c>
      <c r="G36" s="9">
        <f ca="1"/>
      </c>
      <c r="H36" s="9">
        <f ca="1"/>
      </c>
    </row>
    <row r="37" spans="1:39" x14ac:dyDescent="0.5">
      <c r="B37" s="14">
        <f ca="1"/>
      </c>
      <c r="C37" s="14">
        <f ca="1"/>
      </c>
      <c r="D37" s="17">
        <f ca="1"/>
      </c>
      <c r="E37" s="9">
        <f ca="1"/>
      </c>
      <c r="F37" s="9">
        <f ca="1"/>
      </c>
      <c r="G37" s="9">
        <f ca="1"/>
      </c>
      <c r="H37" s="9">
        <f ca="1"/>
      </c>
    </row>
    <row r="38" spans="1:39" x14ac:dyDescent="0.5">
      <c r="B38" s="14">
        <f ca="1"/>
      </c>
      <c r="C38" s="14">
        <f ca="1"/>
      </c>
      <c r="D38" s="17">
        <f ca="1"/>
      </c>
      <c r="E38" s="9">
        <f ca="1"/>
      </c>
      <c r="F38" s="9">
        <f ca="1"/>
      </c>
      <c r="G38" s="9">
        <f ca="1"/>
      </c>
      <c r="H38" s="9">
        <f ca="1"/>
      </c>
    </row>
    <row r="42" spans="1:39" x14ac:dyDescent="0.5">
      <c r="A42" s="6" t="s">
        <v>163</v>
      </c>
    </row>
    <row r="43" spans="1:39" x14ac:dyDescent="0.5">
      <c r="A43" s="7" t="s">
        <v>82</v>
      </c>
      <c r="B43" s="6" cm="1">
        <f t="array" ref="B43:M43">POS_VolTails</f>
      </c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O43" t="s">
        <v>164</v>
      </c>
      <c r="AB43" t="s">
        <v>65</v>
      </c>
    </row>
    <row r="44" spans="1:39" x14ac:dyDescent="0.5">
      <c r="A44" cm="1">
        <f t="array" aca="1" ref="A44:A59" ca="1">POS_VolExpiries</f>
      </c>
      <c r="B44" s="17" cm="1">
        <f t="array" aca="1" ref="B44:M59" ca="1">IF(ISNUMBER(_xlfn.ANCHORARRAY(O44))*ISNUMBER(_xlfn.ANCHORARRAY(AB44)),_xlfn.ANCHORARRAY(AB44)-_xlfn.ANCHORARRAY(O44),0)</f>
      </c>
      <c r="C44" s="17">
        <f ca="1"/>
      </c>
      <c r="D44" s="17">
        <f ca="1"/>
      </c>
      <c r="E44" s="17">
        <f ca="1"/>
      </c>
      <c r="F44" s="17">
        <f ca="1"/>
      </c>
      <c r="G44" s="17">
        <f ca="1"/>
      </c>
      <c r="H44" s="17">
        <f ca="1"/>
      </c>
      <c r="I44" s="17">
        <f ca="1"/>
      </c>
      <c r="J44" s="17">
        <f ca="1"/>
      </c>
      <c r="K44" s="17">
        <f ca="1"/>
      </c>
      <c r="L44" s="17">
        <f ca="1"/>
      </c>
      <c r="M44" s="17">
        <f ca="1"/>
      </c>
      <c r="O44" cm="1">
        <f t="array" aca="1" ref="O44:Z59" ca="1">PosCloseVols(POS_VolExpiries,POS_VolTails,POS_RiskDate)</f>
      </c>
      <c r="P44">
        <f ca="1"/>
      </c>
      <c r="Q44">
        <f ca="1"/>
      </c>
      <c r="R44">
        <f ca="1"/>
      </c>
      <c r="S44">
        <f ca="1"/>
      </c>
      <c r="T44">
        <f ca="1"/>
      </c>
      <c r="U44">
        <f ca="1"/>
      </c>
      <c r="V44">
        <f ca="1"/>
      </c>
      <c r="W44">
        <f ca="1"/>
      </c>
      <c r="X44">
        <f ca="1"/>
      </c>
      <c r="Y44">
        <f ca="1"/>
      </c>
      <c r="Z44">
        <f ca="1"/>
      </c>
      <c r="AB44" cm="1">
        <f t="array" aca="1" ref="AB44:AM59" ca="1">IFERROR(_xlfn.XLOOKUP(POS_VolExpiries&amp;"x"&amp;POS_VolTails,INDEX(POS_LiveVol,,1),INDEX(POS_LiveVol,,3),""),"")</f>
      </c>
      <c r="AC44">
        <f ca="1"/>
      </c>
      <c r="AD44">
        <f ca="1"/>
      </c>
      <c r="AE44">
        <f ca="1"/>
      </c>
      <c r="AF44">
        <f ca="1"/>
      </c>
      <c r="AG44">
        <f ca="1"/>
      </c>
      <c r="AH44">
        <f ca="1"/>
      </c>
      <c r="AI44">
        <f ca="1"/>
      </c>
      <c r="AJ44">
        <f ca="1"/>
      </c>
      <c r="AK44">
        <f ca="1"/>
      </c>
      <c r="AL44">
        <f ca="1"/>
      </c>
      <c r="AM44">
        <f ca="1"/>
      </c>
    </row>
    <row r="45" spans="1:39" x14ac:dyDescent="0.5">
      <c r="A45">
        <f ca="1"/>
      </c>
      <c r="B45" s="17">
        <f ca="1"/>
      </c>
      <c r="C45" s="17">
        <f ca="1"/>
      </c>
      <c r="D45" s="17">
        <f ca="1"/>
      </c>
      <c r="E45" s="17">
        <f ca="1"/>
      </c>
      <c r="F45" s="17">
        <f ca="1"/>
      </c>
      <c r="G45" s="17">
        <f ca="1"/>
      </c>
      <c r="H45" s="17">
        <f ca="1"/>
      </c>
      <c r="I45" s="17">
        <f ca="1"/>
      </c>
      <c r="J45" s="17">
        <f ca="1"/>
      </c>
      <c r="K45" s="17">
        <f ca="1"/>
      </c>
      <c r="L45" s="17">
        <f ca="1"/>
      </c>
      <c r="M45" s="17">
        <f ca="1"/>
      </c>
      <c r="O45">
        <f ca="1"/>
      </c>
      <c r="P45">
        <f ca="1"/>
      </c>
      <c r="Q45">
        <f ca="1"/>
      </c>
      <c r="R45">
        <f ca="1"/>
      </c>
      <c r="S45">
        <f ca="1"/>
      </c>
      <c r="T45">
        <f ca="1"/>
      </c>
      <c r="U45">
        <f ca="1"/>
      </c>
      <c r="V45">
        <f ca="1"/>
      </c>
      <c r="W45">
        <f ca="1"/>
      </c>
      <c r="X45">
        <f ca="1"/>
      </c>
      <c r="Y45">
        <f ca="1"/>
      </c>
      <c r="Z45">
        <f ca="1"/>
      </c>
      <c r="AB45">
        <f ca="1"/>
      </c>
      <c r="AC45">
        <f ca="1"/>
      </c>
      <c r="AD45">
        <f ca="1"/>
      </c>
      <c r="AE45">
        <f ca="1"/>
      </c>
      <c r="AF45">
        <f ca="1"/>
      </c>
      <c r="AG45">
        <f ca="1"/>
      </c>
      <c r="AH45">
        <f ca="1"/>
      </c>
      <c r="AI45">
        <f ca="1"/>
      </c>
      <c r="AJ45">
        <f ca="1"/>
      </c>
      <c r="AK45">
        <f ca="1"/>
      </c>
      <c r="AL45">
        <f ca="1"/>
      </c>
      <c r="AM45">
        <f ca="1"/>
      </c>
    </row>
    <row r="46" spans="1:39" x14ac:dyDescent="0.5">
      <c r="A46">
        <f ca="1"/>
      </c>
      <c r="B46" s="17">
        <f ca="1"/>
      </c>
      <c r="C46" s="17">
        <f ca="1"/>
      </c>
      <c r="D46" s="17">
        <f ca="1"/>
      </c>
      <c r="E46" s="17">
        <f ca="1"/>
      </c>
      <c r="F46" s="17">
        <f ca="1"/>
      </c>
      <c r="G46" s="17">
        <f ca="1"/>
      </c>
      <c r="H46" s="17">
        <f ca="1"/>
      </c>
      <c r="I46" s="17">
        <f ca="1"/>
      </c>
      <c r="J46" s="17">
        <f ca="1"/>
      </c>
      <c r="K46" s="17">
        <f ca="1"/>
      </c>
      <c r="L46" s="17">
        <f ca="1"/>
      </c>
      <c r="M46" s="17">
        <f ca="1"/>
      </c>
      <c r="O46">
        <f ca="1"/>
      </c>
      <c r="P46">
        <f ca="1"/>
      </c>
      <c r="Q46">
        <f ca="1"/>
      </c>
      <c r="R46">
        <f ca="1"/>
      </c>
      <c r="S46">
        <f ca="1"/>
      </c>
      <c r="T46">
        <f ca="1"/>
      </c>
      <c r="U46">
        <f ca="1"/>
      </c>
      <c r="V46">
        <f ca="1"/>
      </c>
      <c r="W46">
        <f ca="1"/>
      </c>
      <c r="X46">
        <f ca="1"/>
      </c>
      <c r="Y46">
        <f ca="1"/>
      </c>
      <c r="Z46">
        <f ca="1"/>
      </c>
      <c r="AB46">
        <f ca="1"/>
      </c>
      <c r="AC46">
        <f ca="1"/>
      </c>
      <c r="AD46">
        <f ca="1"/>
      </c>
      <c r="AE46">
        <f ca="1"/>
      </c>
      <c r="AF46">
        <f ca="1"/>
      </c>
      <c r="AG46">
        <f ca="1"/>
      </c>
      <c r="AH46">
        <f ca="1"/>
      </c>
      <c r="AI46">
        <f ca="1"/>
      </c>
      <c r="AJ46">
        <f ca="1"/>
      </c>
      <c r="AK46">
        <f ca="1"/>
      </c>
      <c r="AL46">
        <f ca="1"/>
      </c>
      <c r="AM46">
        <f ca="1"/>
      </c>
    </row>
    <row r="47" spans="1:39" x14ac:dyDescent="0.5">
      <c r="A47">
        <f ca="1"/>
      </c>
      <c r="B47" s="17">
        <f ca="1"/>
      </c>
      <c r="C47" s="17">
        <f ca="1"/>
      </c>
      <c r="D47" s="17">
        <f ca="1"/>
      </c>
      <c r="E47" s="17">
        <f ca="1"/>
      </c>
      <c r="F47" s="17">
        <f ca="1"/>
      </c>
      <c r="G47" s="17">
        <f ca="1"/>
      </c>
      <c r="H47" s="17">
        <f ca="1"/>
      </c>
      <c r="I47" s="17">
        <f ca="1"/>
      </c>
      <c r="J47" s="17">
        <f ca="1"/>
      </c>
      <c r="K47" s="17">
        <f ca="1"/>
      </c>
      <c r="L47" s="17">
        <f ca="1"/>
      </c>
      <c r="M47" s="17">
        <f ca="1"/>
      </c>
      <c r="O47">
        <f ca="1"/>
      </c>
      <c r="P47">
        <f ca="1"/>
      </c>
      <c r="Q47">
        <f ca="1"/>
      </c>
      <c r="R47">
        <f ca="1"/>
      </c>
      <c r="S47">
        <f ca="1"/>
      </c>
      <c r="T47">
        <f ca="1"/>
      </c>
      <c r="U47">
        <f ca="1"/>
      </c>
      <c r="V47">
        <f ca="1"/>
      </c>
      <c r="W47">
        <f ca="1"/>
      </c>
      <c r="X47">
        <f ca="1"/>
      </c>
      <c r="Y47">
        <f ca="1"/>
      </c>
      <c r="Z47">
        <f ca="1"/>
      </c>
      <c r="AB47">
        <f ca="1"/>
      </c>
      <c r="AC47">
        <f ca="1"/>
      </c>
      <c r="AD47">
        <f ca="1"/>
      </c>
      <c r="AE47">
        <f ca="1"/>
      </c>
      <c r="AF47">
        <f ca="1"/>
      </c>
      <c r="AG47">
        <f ca="1"/>
      </c>
      <c r="AH47">
        <f ca="1"/>
      </c>
      <c r="AI47">
        <f ca="1"/>
      </c>
      <c r="AJ47">
        <f ca="1"/>
      </c>
      <c r="AK47">
        <f ca="1"/>
      </c>
      <c r="AL47">
        <f ca="1"/>
      </c>
      <c r="AM47">
        <f ca="1"/>
      </c>
    </row>
    <row r="48" spans="1:39" x14ac:dyDescent="0.5">
      <c r="A48">
        <f ca="1"/>
      </c>
      <c r="B48" s="17">
        <f ca="1"/>
      </c>
      <c r="C48" s="17">
        <f ca="1"/>
      </c>
      <c r="D48" s="17">
        <f ca="1"/>
      </c>
      <c r="E48" s="17">
        <f ca="1"/>
      </c>
      <c r="F48" s="17">
        <f ca="1"/>
      </c>
      <c r="G48" s="17">
        <f ca="1"/>
      </c>
      <c r="H48" s="17">
        <f ca="1"/>
      </c>
      <c r="I48" s="17">
        <f ca="1"/>
      </c>
      <c r="J48" s="17">
        <f ca="1"/>
      </c>
      <c r="K48" s="17">
        <f ca="1"/>
      </c>
      <c r="L48" s="17">
        <f ca="1"/>
      </c>
      <c r="M48" s="17">
        <f ca="1"/>
      </c>
      <c r="O48">
        <f ca="1"/>
      </c>
      <c r="P48">
        <f ca="1"/>
      </c>
      <c r="Q48">
        <f ca="1"/>
      </c>
      <c r="R48">
        <f ca="1"/>
      </c>
      <c r="S48">
        <f ca="1"/>
      </c>
      <c r="T48">
        <f ca="1"/>
      </c>
      <c r="U48">
        <f ca="1"/>
      </c>
      <c r="V48">
        <f ca="1"/>
      </c>
      <c r="W48">
        <f ca="1"/>
      </c>
      <c r="X48">
        <f ca="1"/>
      </c>
      <c r="Y48">
        <f ca="1"/>
      </c>
      <c r="Z48">
        <f ca="1"/>
      </c>
      <c r="AB48">
        <f ca="1"/>
      </c>
      <c r="AC48">
        <f ca="1"/>
      </c>
      <c r="AD48">
        <f ca="1"/>
      </c>
      <c r="AE48">
        <f ca="1"/>
      </c>
      <c r="AF48">
        <f ca="1"/>
      </c>
      <c r="AG48">
        <f ca="1"/>
      </c>
      <c r="AH48">
        <f ca="1"/>
      </c>
      <c r="AI48">
        <f ca="1"/>
      </c>
      <c r="AJ48">
        <f ca="1"/>
      </c>
      <c r="AK48">
        <f ca="1"/>
      </c>
      <c r="AL48">
        <f ca="1"/>
      </c>
      <c r="AM48">
        <f ca="1"/>
      </c>
    </row>
    <row r="49" spans="1:39" x14ac:dyDescent="0.5">
      <c r="A49">
        <f ca="1"/>
      </c>
      <c r="B49" s="17">
        <f ca="1"/>
      </c>
      <c r="C49" s="17">
        <f ca="1"/>
      </c>
      <c r="D49" s="17">
        <f ca="1"/>
      </c>
      <c r="E49" s="17">
        <f ca="1"/>
      </c>
      <c r="F49" s="17">
        <f ca="1"/>
      </c>
      <c r="G49" s="17">
        <f ca="1"/>
      </c>
      <c r="H49" s="17">
        <f ca="1"/>
      </c>
      <c r="I49" s="17">
        <f ca="1"/>
      </c>
      <c r="J49" s="17">
        <f ca="1"/>
      </c>
      <c r="K49" s="17">
        <f ca="1"/>
      </c>
      <c r="L49" s="17">
        <f ca="1"/>
      </c>
      <c r="M49" s="17">
        <f ca="1"/>
      </c>
      <c r="O49">
        <f ca="1"/>
      </c>
      <c r="P49">
        <f ca="1"/>
      </c>
      <c r="Q49">
        <f ca="1"/>
      </c>
      <c r="R49">
        <f ca="1"/>
      </c>
      <c r="S49">
        <f ca="1"/>
      </c>
      <c r="T49">
        <f ca="1"/>
      </c>
      <c r="U49">
        <f ca="1"/>
      </c>
      <c r="V49">
        <f ca="1"/>
      </c>
      <c r="W49">
        <f ca="1"/>
      </c>
      <c r="X49">
        <f ca="1"/>
      </c>
      <c r="Y49">
        <f ca="1"/>
      </c>
      <c r="Z49">
        <f ca="1"/>
      </c>
      <c r="AB49">
        <f ca="1"/>
      </c>
      <c r="AC49">
        <f ca="1"/>
      </c>
      <c r="AD49">
        <f ca="1"/>
      </c>
      <c r="AE49">
        <f ca="1"/>
      </c>
      <c r="AF49">
        <f ca="1"/>
      </c>
      <c r="AG49">
        <f ca="1"/>
      </c>
      <c r="AH49">
        <f ca="1"/>
      </c>
      <c r="AI49">
        <f ca="1"/>
      </c>
      <c r="AJ49">
        <f ca="1"/>
      </c>
      <c r="AK49">
        <f ca="1"/>
      </c>
      <c r="AL49">
        <f ca="1"/>
      </c>
      <c r="AM49">
        <f ca="1"/>
      </c>
    </row>
    <row r="50" spans="1:39" x14ac:dyDescent="0.5">
      <c r="A50">
        <f ca="1"/>
      </c>
      <c r="B50" s="17">
        <f ca="1"/>
      </c>
      <c r="C50" s="17">
        <f ca="1"/>
      </c>
      <c r="D50" s="17">
        <f ca="1"/>
      </c>
      <c r="E50" s="17">
        <f ca="1"/>
      </c>
      <c r="F50" s="17">
        <f ca="1"/>
      </c>
      <c r="G50" s="17">
        <f ca="1"/>
      </c>
      <c r="H50" s="17">
        <f ca="1"/>
      </c>
      <c r="I50" s="17">
        <f ca="1"/>
      </c>
      <c r="J50" s="17">
        <f ca="1"/>
      </c>
      <c r="K50" s="17">
        <f ca="1"/>
      </c>
      <c r="L50" s="17">
        <f ca="1"/>
      </c>
      <c r="M50" s="17">
        <f ca="1"/>
      </c>
      <c r="O50">
        <f ca="1"/>
      </c>
      <c r="P50">
        <f ca="1"/>
      </c>
      <c r="Q50">
        <f ca="1"/>
      </c>
      <c r="R50">
        <f ca="1"/>
      </c>
      <c r="S50">
        <f ca="1"/>
      </c>
      <c r="T50">
        <f ca="1"/>
      </c>
      <c r="U50">
        <f ca="1"/>
      </c>
      <c r="V50">
        <f ca="1"/>
      </c>
      <c r="W50">
        <f ca="1"/>
      </c>
      <c r="X50">
        <f ca="1"/>
      </c>
      <c r="Y50">
        <f ca="1"/>
      </c>
      <c r="Z50">
        <f ca="1"/>
      </c>
      <c r="AB50">
        <f ca="1"/>
      </c>
      <c r="AC50">
        <f ca="1"/>
      </c>
      <c r="AD50">
        <f ca="1"/>
      </c>
      <c r="AE50">
        <f ca="1"/>
      </c>
      <c r="AF50">
        <f ca="1"/>
      </c>
      <c r="AG50">
        <f ca="1"/>
      </c>
      <c r="AH50">
        <f ca="1"/>
      </c>
      <c r="AI50">
        <f ca="1"/>
      </c>
      <c r="AJ50">
        <f ca="1"/>
      </c>
      <c r="AK50">
        <f ca="1"/>
      </c>
      <c r="AL50">
        <f ca="1"/>
      </c>
      <c r="AM50">
        <f ca="1"/>
      </c>
    </row>
    <row r="51" spans="1:39" x14ac:dyDescent="0.5">
      <c r="A51">
        <f ca="1"/>
      </c>
      <c r="B51" s="17">
        <f ca="1"/>
      </c>
      <c r="C51" s="17">
        <f ca="1"/>
      </c>
      <c r="D51" s="17">
        <f ca="1"/>
      </c>
      <c r="E51" s="17">
        <f ca="1"/>
      </c>
      <c r="F51" s="17">
        <f ca="1"/>
      </c>
      <c r="G51" s="17">
        <f ca="1"/>
      </c>
      <c r="H51" s="17">
        <f ca="1"/>
      </c>
      <c r="I51" s="17">
        <f ca="1"/>
      </c>
      <c r="J51" s="17">
        <f ca="1"/>
      </c>
      <c r="K51" s="17">
        <f ca="1"/>
      </c>
      <c r="L51" s="17">
        <f ca="1"/>
      </c>
      <c r="M51" s="17">
        <f ca="1"/>
      </c>
      <c r="O51">
        <f ca="1"/>
      </c>
      <c r="P51">
        <f ca="1"/>
      </c>
      <c r="Q51">
        <f ca="1"/>
      </c>
      <c r="R51">
        <f ca="1"/>
      </c>
      <c r="S51">
        <f ca="1"/>
      </c>
      <c r="T51">
        <f ca="1"/>
      </c>
      <c r="U51">
        <f ca="1"/>
      </c>
      <c r="V51">
        <f ca="1"/>
      </c>
      <c r="W51">
        <f ca="1"/>
      </c>
      <c r="X51">
        <f ca="1"/>
      </c>
      <c r="Y51">
        <f ca="1"/>
      </c>
      <c r="Z51">
        <f ca="1"/>
      </c>
      <c r="AB51">
        <f ca="1"/>
      </c>
      <c r="AC51">
        <f ca="1"/>
      </c>
      <c r="AD51">
        <f ca="1"/>
      </c>
      <c r="AE51">
        <f ca="1"/>
      </c>
      <c r="AF51">
        <f ca="1"/>
      </c>
      <c r="AG51">
        <f ca="1"/>
      </c>
      <c r="AH51">
        <f ca="1"/>
      </c>
      <c r="AI51">
        <f ca="1"/>
      </c>
      <c r="AJ51">
        <f ca="1"/>
      </c>
      <c r="AK51">
        <f ca="1"/>
      </c>
      <c r="AL51">
        <f ca="1"/>
      </c>
      <c r="AM51">
        <f ca="1"/>
      </c>
    </row>
    <row r="52" spans="1:39" x14ac:dyDescent="0.5">
      <c r="A52">
        <f ca="1"/>
      </c>
      <c r="B52" s="17">
        <f ca="1"/>
      </c>
      <c r="C52" s="17">
        <f ca="1"/>
      </c>
      <c r="D52" s="17">
        <f ca="1"/>
      </c>
      <c r="E52" s="17">
        <f ca="1"/>
      </c>
      <c r="F52" s="17">
        <f ca="1"/>
      </c>
      <c r="G52" s="17">
        <f ca="1"/>
      </c>
      <c r="H52" s="17">
        <f ca="1"/>
      </c>
      <c r="I52" s="17">
        <f ca="1"/>
      </c>
      <c r="J52" s="17">
        <f ca="1"/>
      </c>
      <c r="K52" s="17">
        <f ca="1"/>
      </c>
      <c r="L52" s="17">
        <f ca="1"/>
      </c>
      <c r="M52" s="17">
        <f ca="1"/>
      </c>
      <c r="O52">
        <f ca="1"/>
      </c>
      <c r="P52">
        <f ca="1"/>
      </c>
      <c r="Q52">
        <f ca="1"/>
      </c>
      <c r="R52">
        <f ca="1"/>
      </c>
      <c r="S52">
        <f ca="1"/>
      </c>
      <c r="T52">
        <f ca="1"/>
      </c>
      <c r="U52">
        <f ca="1"/>
      </c>
      <c r="V52">
        <f ca="1"/>
      </c>
      <c r="W52">
        <f ca="1"/>
      </c>
      <c r="X52">
        <f ca="1"/>
      </c>
      <c r="Y52">
        <f ca="1"/>
      </c>
      <c r="Z52">
        <f ca="1"/>
      </c>
      <c r="AB52">
        <f ca="1"/>
      </c>
      <c r="AC52">
        <f ca="1"/>
      </c>
      <c r="AD52">
        <f ca="1"/>
      </c>
      <c r="AE52">
        <f ca="1"/>
      </c>
      <c r="AF52">
        <f ca="1"/>
      </c>
      <c r="AG52">
        <f ca="1"/>
      </c>
      <c r="AH52">
        <f ca="1"/>
      </c>
      <c r="AI52">
        <f ca="1"/>
      </c>
      <c r="AJ52">
        <f ca="1"/>
      </c>
      <c r="AK52">
        <f ca="1"/>
      </c>
      <c r="AL52">
        <f ca="1"/>
      </c>
      <c r="AM52">
        <f ca="1"/>
      </c>
    </row>
    <row r="53" spans="1:39" x14ac:dyDescent="0.5">
      <c r="A53">
        <f ca="1"/>
      </c>
      <c r="B53" s="17">
        <f ca="1"/>
      </c>
      <c r="C53" s="17">
        <f ca="1"/>
      </c>
      <c r="D53" s="17">
        <f ca="1"/>
      </c>
      <c r="E53" s="17">
        <f ca="1"/>
      </c>
      <c r="F53" s="17">
        <f ca="1"/>
      </c>
      <c r="G53" s="17">
        <f ca="1"/>
      </c>
      <c r="H53" s="17">
        <f ca="1"/>
      </c>
      <c r="I53" s="17">
        <f ca="1"/>
      </c>
      <c r="J53" s="17">
        <f ca="1"/>
      </c>
      <c r="K53" s="17">
        <f ca="1"/>
      </c>
      <c r="L53" s="17">
        <f ca="1"/>
      </c>
      <c r="M53" s="17">
        <f ca="1"/>
      </c>
      <c r="O53">
        <f ca="1"/>
      </c>
      <c r="P53">
        <f ca="1"/>
      </c>
      <c r="Q53">
        <f ca="1"/>
      </c>
      <c r="R53">
        <f ca="1"/>
      </c>
      <c r="S53">
        <f ca="1"/>
      </c>
      <c r="T53">
        <f ca="1"/>
      </c>
      <c r="U53">
        <f ca="1"/>
      </c>
      <c r="V53">
        <f ca="1"/>
      </c>
      <c r="W53">
        <f ca="1"/>
      </c>
      <c r="X53">
        <f ca="1"/>
      </c>
      <c r="Y53">
        <f ca="1"/>
      </c>
      <c r="Z53">
        <f ca="1"/>
      </c>
      <c r="AB53">
        <f ca="1"/>
      </c>
      <c r="AC53">
        <f ca="1"/>
      </c>
      <c r="AD53">
        <f ca="1"/>
      </c>
      <c r="AE53">
        <f ca="1"/>
      </c>
      <c r="AF53">
        <f ca="1"/>
      </c>
      <c r="AG53">
        <f ca="1"/>
      </c>
      <c r="AH53">
        <f ca="1"/>
      </c>
      <c r="AI53">
        <f ca="1"/>
      </c>
      <c r="AJ53">
        <f ca="1"/>
      </c>
      <c r="AK53">
        <f ca="1"/>
      </c>
      <c r="AL53">
        <f ca="1"/>
      </c>
      <c r="AM53">
        <f ca="1"/>
      </c>
    </row>
    <row r="54" spans="1:39" x14ac:dyDescent="0.5">
      <c r="A54">
        <f ca="1"/>
      </c>
      <c r="B54" s="17">
        <f ca="1"/>
      </c>
      <c r="C54" s="17">
        <f ca="1"/>
      </c>
      <c r="D54" s="17">
        <f ca="1"/>
      </c>
      <c r="E54" s="17">
        <f ca="1"/>
      </c>
      <c r="F54" s="17">
        <f ca="1"/>
      </c>
      <c r="G54" s="17">
        <f ca="1"/>
      </c>
      <c r="H54" s="17">
        <f ca="1"/>
      </c>
      <c r="I54" s="17">
        <f ca="1"/>
      </c>
      <c r="J54" s="17">
        <f ca="1"/>
      </c>
      <c r="K54" s="17">
        <f ca="1"/>
      </c>
      <c r="L54" s="17">
        <f ca="1"/>
      </c>
      <c r="M54" s="17">
        <f ca="1"/>
      </c>
      <c r="O54">
        <f ca="1"/>
      </c>
      <c r="P54">
        <f ca="1"/>
      </c>
      <c r="Q54">
        <f ca="1"/>
      </c>
      <c r="R54">
        <f ca="1"/>
      </c>
      <c r="S54">
        <f ca="1"/>
      </c>
      <c r="T54">
        <f ca="1"/>
      </c>
      <c r="U54">
        <f ca="1"/>
      </c>
      <c r="V54">
        <f ca="1"/>
      </c>
      <c r="W54">
        <f ca="1"/>
      </c>
      <c r="X54">
        <f ca="1"/>
      </c>
      <c r="Y54">
        <f ca="1"/>
      </c>
      <c r="Z54">
        <f ca="1"/>
      </c>
      <c r="AB54">
        <f ca="1"/>
      </c>
      <c r="AC54">
        <f ca="1"/>
      </c>
      <c r="AD54">
        <f ca="1"/>
      </c>
      <c r="AE54">
        <f ca="1"/>
      </c>
      <c r="AF54">
        <f ca="1"/>
      </c>
      <c r="AG54">
        <f ca="1"/>
      </c>
      <c r="AH54">
        <f ca="1"/>
      </c>
      <c r="AI54">
        <f ca="1"/>
      </c>
      <c r="AJ54">
        <f ca="1"/>
      </c>
      <c r="AK54">
        <f ca="1"/>
      </c>
      <c r="AL54">
        <f ca="1"/>
      </c>
      <c r="AM54">
        <f ca="1"/>
      </c>
    </row>
    <row r="55" spans="1:39" x14ac:dyDescent="0.5">
      <c r="A55">
        <f ca="1"/>
      </c>
      <c r="B55" s="17">
        <f ca="1"/>
      </c>
      <c r="C55" s="17">
        <f ca="1"/>
      </c>
      <c r="D55" s="17">
        <f ca="1"/>
      </c>
      <c r="E55" s="17">
        <f ca="1"/>
      </c>
      <c r="F55" s="17">
        <f ca="1"/>
      </c>
      <c r="G55" s="17">
        <f ca="1"/>
      </c>
      <c r="H55" s="17">
        <f ca="1"/>
      </c>
      <c r="I55" s="17">
        <f ca="1"/>
      </c>
      <c r="J55" s="17">
        <f ca="1"/>
      </c>
      <c r="K55" s="17">
        <f ca="1"/>
      </c>
      <c r="L55" s="17">
        <f ca="1"/>
      </c>
      <c r="M55" s="17">
        <f ca="1"/>
      </c>
      <c r="O55">
        <f ca="1"/>
      </c>
      <c r="P55">
        <f ca="1"/>
      </c>
      <c r="Q55">
        <f ca="1"/>
      </c>
      <c r="R55">
        <f ca="1"/>
      </c>
      <c r="S55">
        <f ca="1"/>
      </c>
      <c r="T55">
        <f ca="1"/>
      </c>
      <c r="U55">
        <f ca="1"/>
      </c>
      <c r="V55">
        <f ca="1"/>
      </c>
      <c r="W55">
        <f ca="1"/>
      </c>
      <c r="X55">
        <f ca="1"/>
      </c>
      <c r="Y55">
        <f ca="1"/>
      </c>
      <c r="Z55">
        <f ca="1"/>
      </c>
      <c r="AB55">
        <f ca="1"/>
      </c>
      <c r="AC55">
        <f ca="1"/>
      </c>
      <c r="AD55">
        <f ca="1"/>
      </c>
      <c r="AE55">
        <f ca="1"/>
      </c>
      <c r="AF55">
        <f ca="1"/>
      </c>
      <c r="AG55">
        <f ca="1"/>
      </c>
      <c r="AH55">
        <f ca="1"/>
      </c>
      <c r="AI55">
        <f ca="1"/>
      </c>
      <c r="AJ55">
        <f ca="1"/>
      </c>
      <c r="AK55">
        <f ca="1"/>
      </c>
      <c r="AL55">
        <f ca="1"/>
      </c>
      <c r="AM55">
        <f ca="1"/>
      </c>
    </row>
    <row r="56" spans="1:39" x14ac:dyDescent="0.5">
      <c r="A56">
        <f ca="1"/>
      </c>
      <c r="B56" s="17">
        <f ca="1"/>
      </c>
      <c r="C56" s="17">
        <f ca="1"/>
      </c>
      <c r="D56" s="17">
        <f ca="1"/>
      </c>
      <c r="E56" s="17">
        <f ca="1"/>
      </c>
      <c r="F56" s="17">
        <f ca="1"/>
      </c>
      <c r="G56" s="17">
        <f ca="1"/>
      </c>
      <c r="H56" s="17">
        <f ca="1"/>
      </c>
      <c r="I56" s="17">
        <f ca="1"/>
      </c>
      <c r="J56" s="17">
        <f ca="1"/>
      </c>
      <c r="K56" s="17">
        <f ca="1"/>
      </c>
      <c r="L56" s="17">
        <f ca="1"/>
      </c>
      <c r="M56" s="17">
        <f ca="1"/>
      </c>
      <c r="O56">
        <f ca="1"/>
      </c>
      <c r="P56">
        <f ca="1"/>
      </c>
      <c r="Q56">
        <f ca="1"/>
      </c>
      <c r="R56">
        <f ca="1"/>
      </c>
      <c r="S56">
        <f ca="1"/>
      </c>
      <c r="T56">
        <f ca="1"/>
      </c>
      <c r="U56">
        <f ca="1"/>
      </c>
      <c r="V56">
        <f ca="1"/>
      </c>
      <c r="W56">
        <f ca="1"/>
      </c>
      <c r="X56">
        <f ca="1"/>
      </c>
      <c r="Y56">
        <f ca="1"/>
      </c>
      <c r="Z56">
        <f ca="1"/>
      </c>
      <c r="AB56">
        <f ca="1"/>
      </c>
      <c r="AC56">
        <f ca="1"/>
      </c>
      <c r="AD56">
        <f ca="1"/>
      </c>
      <c r="AE56">
        <f ca="1"/>
      </c>
      <c r="AF56">
        <f ca="1"/>
      </c>
      <c r="AG56">
        <f ca="1"/>
      </c>
      <c r="AH56">
        <f ca="1"/>
      </c>
      <c r="AI56">
        <f ca="1"/>
      </c>
      <c r="AJ56">
        <f ca="1"/>
      </c>
      <c r="AK56">
        <f ca="1"/>
      </c>
      <c r="AL56">
        <f ca="1"/>
      </c>
      <c r="AM56">
        <f ca="1"/>
      </c>
    </row>
    <row r="57" spans="1:39" x14ac:dyDescent="0.5">
      <c r="A57">
        <f ca="1"/>
      </c>
      <c r="B57" s="17">
        <f ca="1"/>
      </c>
      <c r="C57" s="17">
        <f ca="1"/>
      </c>
      <c r="D57" s="17">
        <f ca="1"/>
      </c>
      <c r="E57" s="17">
        <f ca="1"/>
      </c>
      <c r="F57" s="17">
        <f ca="1"/>
      </c>
      <c r="G57" s="17">
        <f ca="1"/>
      </c>
      <c r="H57" s="17">
        <f ca="1"/>
      </c>
      <c r="I57" s="17">
        <f ca="1"/>
      </c>
      <c r="J57" s="17">
        <f ca="1"/>
      </c>
      <c r="K57" s="17">
        <f ca="1"/>
      </c>
      <c r="L57" s="17">
        <f ca="1"/>
      </c>
      <c r="M57" s="17">
        <f ca="1"/>
      </c>
      <c r="O57">
        <f ca="1"/>
      </c>
      <c r="P57">
        <f ca="1"/>
      </c>
      <c r="Q57">
        <f ca="1"/>
      </c>
      <c r="R57">
        <f ca="1"/>
      </c>
      <c r="S57">
        <f ca="1"/>
      </c>
      <c r="T57">
        <f ca="1"/>
      </c>
      <c r="U57">
        <f ca="1"/>
      </c>
      <c r="V57">
        <f ca="1"/>
      </c>
      <c r="W57">
        <f ca="1"/>
      </c>
      <c r="X57">
        <f ca="1"/>
      </c>
      <c r="Y57">
        <f ca="1"/>
      </c>
      <c r="Z57">
        <f ca="1"/>
      </c>
      <c r="AB57">
        <f ca="1"/>
      </c>
      <c r="AC57">
        <f ca="1"/>
      </c>
      <c r="AD57">
        <f ca="1"/>
      </c>
      <c r="AE57">
        <f ca="1"/>
      </c>
      <c r="AF57">
        <f ca="1"/>
      </c>
      <c r="AG57">
        <f ca="1"/>
      </c>
      <c r="AH57">
        <f ca="1"/>
      </c>
      <c r="AI57">
        <f ca="1"/>
      </c>
      <c r="AJ57">
        <f ca="1"/>
      </c>
      <c r="AK57">
        <f ca="1"/>
      </c>
      <c r="AL57">
        <f ca="1"/>
      </c>
      <c r="AM57">
        <f ca="1"/>
      </c>
    </row>
    <row r="58" spans="1:39" x14ac:dyDescent="0.5">
      <c r="A58">
        <f ca="1"/>
      </c>
      <c r="B58" s="17">
        <f ca="1"/>
      </c>
      <c r="C58" s="17">
        <f ca="1"/>
      </c>
      <c r="D58" s="17">
        <f ca="1"/>
      </c>
      <c r="E58" s="17">
        <f ca="1"/>
      </c>
      <c r="F58" s="17">
        <f ca="1"/>
      </c>
      <c r="G58" s="17">
        <f ca="1"/>
      </c>
      <c r="H58" s="17">
        <f ca="1"/>
      </c>
      <c r="I58" s="17">
        <f ca="1"/>
      </c>
      <c r="J58" s="17">
        <f ca="1"/>
      </c>
      <c r="K58" s="17">
        <f ca="1"/>
      </c>
      <c r="L58" s="17">
        <f ca="1"/>
      </c>
      <c r="M58" s="17">
        <f ca="1"/>
      </c>
      <c r="O58">
        <f ca="1"/>
      </c>
      <c r="P58">
        <f ca="1"/>
      </c>
      <c r="Q58">
        <f ca="1"/>
      </c>
      <c r="R58">
        <f ca="1"/>
      </c>
      <c r="S58">
        <f ca="1"/>
      </c>
      <c r="T58">
        <f ca="1"/>
      </c>
      <c r="U58">
        <f ca="1"/>
      </c>
      <c r="V58">
        <f ca="1"/>
      </c>
      <c r="W58">
        <f ca="1"/>
      </c>
      <c r="X58">
        <f ca="1"/>
      </c>
      <c r="Y58">
        <f ca="1"/>
      </c>
      <c r="Z58">
        <f ca="1"/>
      </c>
      <c r="AB58">
        <f ca="1"/>
      </c>
      <c r="AC58">
        <f ca="1"/>
      </c>
      <c r="AD58">
        <f ca="1"/>
      </c>
      <c r="AE58">
        <f ca="1"/>
      </c>
      <c r="AF58">
        <f ca="1"/>
      </c>
      <c r="AG58">
        <f ca="1"/>
      </c>
      <c r="AH58">
        <f ca="1"/>
      </c>
      <c r="AI58">
        <f ca="1"/>
      </c>
      <c r="AJ58">
        <f ca="1"/>
      </c>
      <c r="AK58">
        <f ca="1"/>
      </c>
      <c r="AL58">
        <f ca="1"/>
      </c>
      <c r="AM58">
        <f ca="1"/>
      </c>
    </row>
    <row r="59" spans="1:39" x14ac:dyDescent="0.5">
      <c r="A59">
        <f ca="1"/>
      </c>
      <c r="B59" s="17">
        <f ca="1"/>
      </c>
      <c r="C59" s="17">
        <f ca="1"/>
      </c>
      <c r="D59" s="17">
        <f ca="1"/>
      </c>
      <c r="E59" s="17">
        <f ca="1"/>
      </c>
      <c r="F59" s="17">
        <f ca="1"/>
      </c>
      <c r="G59" s="17">
        <f ca="1"/>
      </c>
      <c r="H59" s="17">
        <f ca="1"/>
      </c>
      <c r="I59" s="17">
        <f ca="1"/>
      </c>
      <c r="J59" s="17">
        <f ca="1"/>
      </c>
      <c r="K59" s="17">
        <f ca="1"/>
      </c>
      <c r="L59" s="17">
        <f ca="1"/>
      </c>
      <c r="M59" s="17">
        <f ca="1"/>
      </c>
      <c r="O59">
        <f ca="1"/>
      </c>
      <c r="P59">
        <f ca="1"/>
      </c>
      <c r="Q59">
        <f ca="1"/>
      </c>
      <c r="R59">
        <f ca="1"/>
      </c>
      <c r="S59">
        <f ca="1"/>
      </c>
      <c r="T59">
        <f ca="1"/>
      </c>
      <c r="U59">
        <f ca="1"/>
      </c>
      <c r="V59">
        <f ca="1"/>
      </c>
      <c r="W59">
        <f ca="1"/>
      </c>
      <c r="X59">
        <f ca="1"/>
      </c>
      <c r="Y59">
        <f ca="1"/>
      </c>
      <c r="Z59">
        <f ca="1"/>
      </c>
      <c r="AB59">
        <f ca="1"/>
      </c>
      <c r="AC59">
        <f ca="1"/>
      </c>
      <c r="AD59">
        <f ca="1"/>
      </c>
      <c r="AE59">
        <f ca="1"/>
      </c>
      <c r="AF59">
        <f ca="1"/>
      </c>
      <c r="AG59">
        <f ca="1"/>
      </c>
      <c r="AH59">
        <f ca="1"/>
      </c>
      <c r="AI59">
        <f ca="1"/>
      </c>
      <c r="AJ59">
        <f ca="1"/>
      </c>
      <c r="AK59">
        <f ca="1"/>
      </c>
      <c r="AL59">
        <f ca="1"/>
      </c>
      <c r="AM59">
        <f ca="1"/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43F5B-B2C8-4C34-BEE4-DDE8D52E3B77}">
  <sheetPr codeName="Sheet6">
    <tabColor rgb="FFFFC000"/>
  </sheetPr>
  <dimension ref="A1:G38"/>
  <sheetViews>
    <sheetView zoomScale="69" workbookViewId="0">
      <selection activeCell="L17" sqref="L17"/>
    </sheetView>
  </sheetViews>
  <sheetFormatPr defaultRowHeight="16.5" x14ac:dyDescent="0.5"/>
  <cols>
    <col min="1" max="1" width="8.6328125" customWidth="1"/>
    <col min="2" max="7" width="12.6328125" customWidth="1"/>
  </cols>
  <sheetData>
    <row r="1" spans="1:7" ht="22.5" x14ac:dyDescent="0.5">
      <c r="A1" s="1" t="s">
        <v>68</v>
      </c>
    </row>
    <row r="2" spans="1:7" x14ac:dyDescent="0.5">
      <c r="A2" s="4" t="s">
        <v>69</v>
      </c>
    </row>
    <row r="4" spans="1:7" ht="33" x14ac:dyDescent="0.5">
      <c r="A4" s="7" t="s">
        <v>13</v>
      </c>
      <c r="B4" s="7" t="s">
        <v>70</v>
      </c>
      <c r="C4" s="7" t="s">
        <v>71</v>
      </c>
      <c r="D4" s="7" t="s">
        <v>72</v>
      </c>
      <c r="E4" s="7" t="s">
        <v>73</v>
      </c>
      <c r="F4" s="7" t="s">
        <v>74</v>
      </c>
      <c r="G4" s="7" t="s">
        <v>75</v>
      </c>
    </row>
    <row r="5" spans="1:7" x14ac:dyDescent="0.5">
      <c r="A5" cm="1">
        <f t="array" ref="A5:A38">POS_Pillars</f>
      </c>
      <c r="B5" s="8"/>
      <c r="C5" s="8"/>
      <c r="D5" s="8"/>
      <c r="E5" s="8"/>
      <c r="F5" s="8"/>
      <c r="G5" s="9" cm="1">
        <f t="array" ref="G5:G38">_xlfn.BYROW(IF(ISNUMBER(B5:F38),B5:F38,0),_xlfn.LAMBDA(_xlpm.r,SUM(_xlpm.r)))</f>
      </c>
    </row>
    <row r="6" spans="1:7" x14ac:dyDescent="0.5">
      <c r="B6" s="8"/>
      <c r="C6" s="8"/>
      <c r="D6" s="8"/>
      <c r="E6" s="8"/>
      <c r="F6" s="8"/>
      <c r="G6" s="9"/>
    </row>
    <row r="7" spans="1:7" x14ac:dyDescent="0.5">
      <c r="B7" s="8"/>
      <c r="C7" s="8"/>
      <c r="D7" s="8"/>
      <c r="E7" s="8"/>
      <c r="F7" s="8"/>
      <c r="G7" s="9"/>
    </row>
    <row r="8" spans="1:7" x14ac:dyDescent="0.5">
      <c r="B8" s="8"/>
      <c r="C8" s="8"/>
      <c r="D8" s="8"/>
      <c r="E8" s="8"/>
      <c r="F8" s="8"/>
      <c r="G8" s="9"/>
    </row>
    <row r="9" spans="1:7" x14ac:dyDescent="0.5">
      <c r="B9" s="8"/>
      <c r="C9" s="8"/>
      <c r="D9" s="8"/>
      <c r="E9" s="8"/>
      <c r="F9" s="8"/>
      <c r="G9" s="9"/>
    </row>
    <row r="10" spans="1:7" x14ac:dyDescent="0.5">
      <c r="B10" s="8"/>
      <c r="C10" s="8"/>
      <c r="D10" s="8"/>
      <c r="E10" s="8"/>
      <c r="F10" s="8"/>
      <c r="G10" s="9"/>
    </row>
    <row r="11" spans="1:7" x14ac:dyDescent="0.5">
      <c r="B11" s="8"/>
      <c r="C11" s="8"/>
      <c r="D11" s="8"/>
      <c r="E11" s="8"/>
      <c r="F11" s="8"/>
      <c r="G11" s="9"/>
    </row>
    <row r="12" spans="1:7" x14ac:dyDescent="0.5">
      <c r="B12" s="8"/>
      <c r="C12" s="8"/>
      <c r="D12" s="8"/>
      <c r="E12" s="8"/>
      <c r="F12" s="8"/>
      <c r="G12" s="9"/>
    </row>
    <row r="13" spans="1:7" x14ac:dyDescent="0.5">
      <c r="B13" s="8"/>
      <c r="C13" s="8"/>
      <c r="D13" s="8"/>
      <c r="E13" s="8"/>
      <c r="F13" s="8"/>
      <c r="G13" s="9"/>
    </row>
    <row r="14" spans="1:7" x14ac:dyDescent="0.5">
      <c r="B14" s="8"/>
      <c r="C14" s="8"/>
      <c r="D14" s="8"/>
      <c r="E14" s="8"/>
      <c r="F14" s="8"/>
      <c r="G14" s="9"/>
    </row>
    <row r="15" spans="1:7" x14ac:dyDescent="0.5">
      <c r="B15" s="8"/>
      <c r="C15" s="8"/>
      <c r="D15" s="8"/>
      <c r="E15" s="8"/>
      <c r="F15" s="8"/>
      <c r="G15" s="9"/>
    </row>
    <row r="16" spans="1:7" x14ac:dyDescent="0.5">
      <c r="B16" s="8"/>
      <c r="C16" s="8"/>
      <c r="D16" s="8"/>
      <c r="E16" s="8"/>
      <c r="F16" s="8"/>
      <c r="G16" s="9"/>
    </row>
    <row r="17" spans="1:7" x14ac:dyDescent="0.5">
      <c r="B17" s="8"/>
      <c r="C17" s="8"/>
      <c r="D17" s="8"/>
      <c r="E17" s="8"/>
      <c r="F17" s="8"/>
      <c r="G17" s="9"/>
    </row>
    <row r="18" spans="1:7" x14ac:dyDescent="0.5">
      <c r="B18" s="8"/>
      <c r="C18" s="8"/>
      <c r="D18" s="8"/>
      <c r="E18" s="8"/>
      <c r="F18" s="8"/>
      <c r="G18" s="9"/>
    </row>
    <row r="19" spans="1:7" x14ac:dyDescent="0.5">
      <c r="B19" s="8"/>
      <c r="C19" s="8"/>
      <c r="D19" s="8"/>
      <c r="E19" s="8"/>
      <c r="F19" s="8"/>
      <c r="G19" s="9"/>
    </row>
    <row r="20" spans="1:7" x14ac:dyDescent="0.5">
      <c r="B20" s="8"/>
      <c r="C20" s="8"/>
      <c r="D20" s="8"/>
      <c r="E20" s="8"/>
      <c r="F20" s="8"/>
      <c r="G20" s="9"/>
    </row>
    <row r="21" spans="1:7" x14ac:dyDescent="0.5">
      <c r="B21" s="8"/>
      <c r="C21" s="8"/>
      <c r="D21" s="8"/>
      <c r="E21" s="8"/>
      <c r="F21" s="8"/>
      <c r="G21" s="9"/>
    </row>
    <row r="22" spans="1:7" x14ac:dyDescent="0.5">
      <c r="B22" s="8"/>
      <c r="C22" s="8"/>
      <c r="D22" s="8"/>
      <c r="E22" s="8"/>
      <c r="F22" s="8"/>
      <c r="G22" s="9"/>
    </row>
    <row r="23" spans="1:7" x14ac:dyDescent="0.5">
      <c r="B23" s="8"/>
      <c r="C23" s="8"/>
      <c r="D23" s="8"/>
      <c r="E23" s="8"/>
      <c r="F23" s="8"/>
      <c r="G23" s="9"/>
    </row>
    <row r="24" spans="1:7" x14ac:dyDescent="0.5">
      <c r="B24" s="8"/>
      <c r="C24" s="8"/>
      <c r="D24" s="8"/>
      <c r="E24" s="8"/>
      <c r="F24" s="8"/>
      <c r="G24" s="9"/>
    </row>
    <row r="25" spans="1:7" x14ac:dyDescent="0.5">
      <c r="B25" s="8"/>
      <c r="C25" s="8"/>
      <c r="D25" s="8"/>
      <c r="E25" s="8"/>
      <c r="F25" s="8"/>
      <c r="G25" s="9"/>
    </row>
    <row r="26" spans="1:7" x14ac:dyDescent="0.5">
      <c r="B26" s="8"/>
      <c r="C26" s="8"/>
      <c r="D26" s="8"/>
      <c r="E26" s="8"/>
      <c r="F26" s="8"/>
      <c r="G26" s="9"/>
    </row>
    <row r="27" spans="1:7" x14ac:dyDescent="0.5">
      <c r="B27" s="8"/>
      <c r="C27" s="8"/>
      <c r="D27" s="8"/>
      <c r="E27" s="8"/>
      <c r="F27" s="8"/>
      <c r="G27" s="9"/>
    </row>
    <row r="28" spans="1:7" x14ac:dyDescent="0.5">
      <c r="B28" s="8"/>
      <c r="C28" s="8"/>
      <c r="D28" s="8"/>
      <c r="E28" s="8"/>
      <c r="F28" s="8"/>
      <c r="G28" s="9"/>
    </row>
    <row r="29" spans="1:7" x14ac:dyDescent="0.5">
      <c r="B29" s="8"/>
      <c r="C29" s="8"/>
      <c r="D29" s="8"/>
      <c r="E29" s="8"/>
      <c r="F29" s="8"/>
      <c r="G29" s="9"/>
    </row>
    <row r="30" spans="1:7" x14ac:dyDescent="0.5">
      <c r="B30" s="8"/>
      <c r="C30" s="8"/>
      <c r="D30" s="8"/>
      <c r="E30" s="8"/>
      <c r="F30" s="8"/>
      <c r="G30" s="9"/>
    </row>
    <row r="31" spans="1:7" x14ac:dyDescent="0.5">
      <c r="B31" s="8"/>
      <c r="C31" s="8"/>
      <c r="D31" s="8"/>
      <c r="E31" s="8"/>
      <c r="F31" s="8"/>
      <c r="G31" s="9"/>
    </row>
    <row r="32" spans="1:7" x14ac:dyDescent="0.5">
      <c r="B32" s="8"/>
      <c r="C32" s="8"/>
      <c r="D32" s="8"/>
      <c r="E32" s="8"/>
      <c r="F32" s="8"/>
      <c r="G32" s="9"/>
    </row>
    <row r="33" spans="1:7" x14ac:dyDescent="0.5">
      <c r="B33" s="8"/>
      <c r="C33" s="8"/>
      <c r="D33" s="8"/>
      <c r="E33" s="8"/>
      <c r="F33" s="8"/>
      <c r="G33" s="9"/>
    </row>
    <row r="34" spans="1:7" x14ac:dyDescent="0.5">
      <c r="B34" s="8"/>
      <c r="C34" s="8"/>
      <c r="D34" s="8"/>
      <c r="E34" s="8"/>
      <c r="F34" s="8"/>
      <c r="G34" s="9"/>
    </row>
    <row r="35" spans="1:7" x14ac:dyDescent="0.5">
      <c r="B35" s="8"/>
      <c r="C35" s="8"/>
      <c r="D35" s="8"/>
      <c r="E35" s="8"/>
      <c r="F35" s="8"/>
      <c r="G35" s="9"/>
    </row>
    <row r="36" spans="1:7" x14ac:dyDescent="0.5">
      <c r="B36" s="8"/>
      <c r="C36" s="8"/>
      <c r="D36" s="8"/>
      <c r="E36" s="8"/>
      <c r="F36" s="8"/>
      <c r="G36" s="9"/>
    </row>
    <row r="37" spans="1:7" x14ac:dyDescent="0.5">
      <c r="B37" s="8"/>
      <c r="C37" s="8"/>
      <c r="D37" s="8"/>
      <c r="E37" s="8"/>
      <c r="F37" s="8"/>
      <c r="G37" s="9"/>
    </row>
    <row r="38" spans="1:7" x14ac:dyDescent="0.5">
      <c r="B38" s="8"/>
      <c r="C38" s="8"/>
      <c r="D38" s="8"/>
      <c r="E38" s="8"/>
      <c r="F38" s="8"/>
      <c r="G38" s="9"/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5D741-C212-4C4D-B295-E7BE0FD4D31B}">
  <sheetPr codeName="Sheet7">
    <tabColor rgb="FFFFC000"/>
  </sheetPr>
  <dimension ref="A1:AK38"/>
  <sheetViews>
    <sheetView zoomScale="40" zoomScaleNormal="40" workbookViewId="0">
      <selection activeCell="Y54" sqref="Y54"/>
    </sheetView>
  </sheetViews>
  <sheetFormatPr defaultRowHeight="16.5" x14ac:dyDescent="0.5"/>
  <cols>
    <col min="1" max="1" width="8.6328125" customWidth="1"/>
    <col min="2" max="2" width="10.6328125" customWidth="1"/>
    <col min="4" max="37" width="7.6328125" customWidth="1"/>
  </cols>
  <sheetData>
    <row r="1" spans="1:37" ht="22.5" x14ac:dyDescent="0.5">
      <c r="A1" s="1" t="s">
        <v>76</v>
      </c>
    </row>
    <row r="2" spans="1:37" x14ac:dyDescent="0.5">
      <c r="A2" s="4" t="s">
        <v>77</v>
      </c>
    </row>
    <row r="3" spans="1:37" x14ac:dyDescent="0.5">
      <c r="D3" t="s">
        <v>79</v>
      </c>
    </row>
    <row r="4" spans="1:37" x14ac:dyDescent="0.5">
      <c r="A4" s="7" t="s">
        <v>13</v>
      </c>
      <c r="B4" s="7" t="s">
        <v>78</v>
      </c>
      <c r="D4" s="6" cm="1">
        <f t="array" ref="D4:AK4">TRANSPOSE(POS_Pillars)</f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</row>
    <row r="5" spans="1:37" x14ac:dyDescent="0.5">
      <c r="A5" cm="1">
        <f t="array" ref="A5:A38">POS_Pillars</f>
      </c>
      <c r="B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</row>
    <row r="6" spans="1:37" x14ac:dyDescent="0.5">
      <c r="B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</row>
    <row r="7" spans="1:37" x14ac:dyDescent="0.5">
      <c r="B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</row>
    <row r="8" spans="1:37" x14ac:dyDescent="0.5">
      <c r="B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</row>
    <row r="9" spans="1:37" x14ac:dyDescent="0.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</row>
    <row r="10" spans="1:37" x14ac:dyDescent="0.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</row>
    <row r="11" spans="1:37" x14ac:dyDescent="0.5">
      <c r="B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</row>
    <row r="12" spans="1:37" x14ac:dyDescent="0.5">
      <c r="B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</row>
    <row r="13" spans="1:37" x14ac:dyDescent="0.5">
      <c r="B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</row>
    <row r="14" spans="1:37" x14ac:dyDescent="0.5">
      <c r="B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</row>
    <row r="15" spans="1:37" x14ac:dyDescent="0.5">
      <c r="B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</row>
    <row r="16" spans="1:37" x14ac:dyDescent="0.5">
      <c r="B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</row>
    <row r="17" spans="1:37" x14ac:dyDescent="0.5">
      <c r="B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x14ac:dyDescent="0.5">
      <c r="B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</row>
    <row r="19" spans="1:37" x14ac:dyDescent="0.5">
      <c r="B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</row>
    <row r="20" spans="1:37" x14ac:dyDescent="0.5">
      <c r="B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</row>
    <row r="21" spans="1:37" x14ac:dyDescent="0.5">
      <c r="B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</row>
    <row r="22" spans="1:37" x14ac:dyDescent="0.5">
      <c r="B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</row>
    <row r="23" spans="1:37" x14ac:dyDescent="0.5">
      <c r="B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</row>
    <row r="24" spans="1:37" x14ac:dyDescent="0.5">
      <c r="B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</row>
    <row r="25" spans="1:37" x14ac:dyDescent="0.5">
      <c r="B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</row>
    <row r="26" spans="1:37" x14ac:dyDescent="0.5">
      <c r="B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</row>
    <row r="27" spans="1:37" x14ac:dyDescent="0.5">
      <c r="B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</row>
    <row r="28" spans="1:37" x14ac:dyDescent="0.5">
      <c r="B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</row>
    <row r="29" spans="1:37" x14ac:dyDescent="0.5">
      <c r="B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</row>
    <row r="30" spans="1:37" x14ac:dyDescent="0.5">
      <c r="B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</row>
    <row r="31" spans="1:37" x14ac:dyDescent="0.5">
      <c r="B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</row>
    <row r="32" spans="1:37" x14ac:dyDescent="0.5">
      <c r="B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</row>
    <row r="33" spans="1:37" x14ac:dyDescent="0.5">
      <c r="B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</row>
    <row r="34" spans="1:37" x14ac:dyDescent="0.5">
      <c r="B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</row>
    <row r="35" spans="1:37" x14ac:dyDescent="0.5">
      <c r="B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</row>
    <row r="36" spans="1:37" x14ac:dyDescent="0.5">
      <c r="B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</row>
    <row r="37" spans="1:37" x14ac:dyDescent="0.5">
      <c r="B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</row>
    <row r="38" spans="1:37" x14ac:dyDescent="0.5">
      <c r="B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</row>
  </sheetData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2AA9D-603D-47BC-A621-32B9F15785A4}">
  <sheetPr codeName="Sheet8">
    <tabColor rgb="FFFFC000"/>
  </sheetPr>
  <dimension ref="A1:N22"/>
  <sheetViews>
    <sheetView workbookViewId="0"/>
  </sheetViews>
  <sheetFormatPr defaultRowHeight="16.5" x14ac:dyDescent="0.5"/>
  <cols>
    <col min="1" max="1" width="12.6328125" customWidth="1"/>
    <col min="2" max="14" width="8.6328125" customWidth="1"/>
  </cols>
  <sheetData>
    <row r="1" spans="1:14" ht="22.5" x14ac:dyDescent="0.5">
      <c r="A1" s="1" t="s">
        <v>80</v>
      </c>
    </row>
    <row r="2" spans="1:14" x14ac:dyDescent="0.5">
      <c r="A2" s="4" t="s">
        <v>81</v>
      </c>
    </row>
    <row r="4" spans="1:14" x14ac:dyDescent="0.5">
      <c r="A4" s="7" t="s">
        <v>82</v>
      </c>
      <c r="B4" s="7" t="s">
        <v>83</v>
      </c>
      <c r="C4" s="7" t="s">
        <v>84</v>
      </c>
      <c r="D4" s="7" t="s">
        <v>85</v>
      </c>
      <c r="E4" s="7" t="s">
        <v>39</v>
      </c>
      <c r="F4" s="7" t="s">
        <v>40</v>
      </c>
      <c r="G4" s="7" t="s">
        <v>41</v>
      </c>
      <c r="H4" s="7" t="s">
        <v>43</v>
      </c>
      <c r="I4" s="7" t="s">
        <v>44</v>
      </c>
      <c r="J4" s="7" t="s">
        <v>45</v>
      </c>
      <c r="K4" s="7" t="s">
        <v>46</v>
      </c>
      <c r="L4" s="7" t="s">
        <v>50</v>
      </c>
      <c r="M4" s="7" t="s">
        <v>51</v>
      </c>
      <c r="N4" s="7" t="s">
        <v>75</v>
      </c>
    </row>
    <row r="5" spans="1:14" x14ac:dyDescent="0.5">
      <c r="A5" s="6" cm="1">
        <f t="array" ref="A5:A20">{"1M";"2M";"3M";"6M";"9M";"1Y";"2Y";"3Y";"4Y";"5Y";"6Y";"7Y";"9Y";"10Y";"15Y";"20Y"}</f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9" cm="1">
        <f t="array" ref="N5:N20">_xlfn.BYROW(IF(ISNUMBER(B5:M20),B5:M20,0),_xlfn.LAMBDA(_xlpm.r,SUM(_xlpm.r)))</f>
      </c>
    </row>
    <row r="6" spans="1:14" x14ac:dyDescent="0.5">
      <c r="A6" s="6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9"/>
    </row>
    <row r="7" spans="1:14" x14ac:dyDescent="0.5">
      <c r="A7" s="6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9"/>
    </row>
    <row r="8" spans="1:14" x14ac:dyDescent="0.5">
      <c r="A8" s="6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9"/>
    </row>
    <row r="9" spans="1:14" x14ac:dyDescent="0.5">
      <c r="A9" s="6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9"/>
    </row>
    <row r="10" spans="1:14" x14ac:dyDescent="0.5">
      <c r="A10" s="6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9"/>
    </row>
    <row r="11" spans="1:14" x14ac:dyDescent="0.5">
      <c r="A11" s="6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9"/>
    </row>
    <row r="12" spans="1:14" x14ac:dyDescent="0.5">
      <c r="A12" s="6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9"/>
    </row>
    <row r="13" spans="1:14" x14ac:dyDescent="0.5">
      <c r="A13" s="6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9"/>
    </row>
    <row r="14" spans="1:14" x14ac:dyDescent="0.5">
      <c r="A14" s="6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9"/>
    </row>
    <row r="15" spans="1:14" x14ac:dyDescent="0.5">
      <c r="A15" s="6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9"/>
    </row>
    <row r="16" spans="1:14" x14ac:dyDescent="0.5">
      <c r="A16" s="6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9"/>
    </row>
    <row r="17" spans="1:14" x14ac:dyDescent="0.5">
      <c r="A17" s="6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9"/>
    </row>
    <row r="18" spans="1:14" x14ac:dyDescent="0.5">
      <c r="A18" s="6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9"/>
    </row>
    <row r="19" spans="1:14" x14ac:dyDescent="0.5">
      <c r="A19" s="6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9"/>
    </row>
    <row r="20" spans="1:14" x14ac:dyDescent="0.5">
      <c r="A20" s="6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9"/>
    </row>
    <row r="21" spans="1:14" x14ac:dyDescent="0.5"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</row>
    <row r="22" spans="1:14" x14ac:dyDescent="0.5">
      <c r="A22" s="6"/>
      <c r="B22" s="10" cm="1">
        <f t="array" ref="B22:M22">_xlfn.BYCOL(IF(ISNUMBER(B5:M20),B5:M20,0),_xlfn.LAMBDA(_xlpm.c,SUM(_xlpm.c)))</f>
      </c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>
        <f>SUM(_xlfn.ANCHORARRAY(N5))</f>
      </c>
    </row>
  </sheetData>
  <phoneticPr fontId="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2E0B5-1CF6-44B3-939C-FD9F3A28F9DF}">
  <sheetPr codeName="Sheet9">
    <tabColor rgb="FFFFC000"/>
  </sheetPr>
  <dimension ref="A1:AU104"/>
  <sheetViews>
    <sheetView workbookViewId="0"/>
  </sheetViews>
  <sheetFormatPr defaultRowHeight="16.5" x14ac:dyDescent="0.5"/>
  <cols>
    <col min="1" max="4" width="10.6328125" customWidth="1"/>
    <col min="6" max="12" width="10.6328125" customWidth="1"/>
    <col min="13" max="13" width="24.6328125" customWidth="1"/>
    <col min="14" max="47" width="7.6328125" customWidth="1"/>
  </cols>
  <sheetData>
    <row r="1" spans="1:47" ht="22.5" x14ac:dyDescent="0.5">
      <c r="A1" s="1" t="s">
        <v>86</v>
      </c>
    </row>
    <row r="2" spans="1:47" x14ac:dyDescent="0.5">
      <c r="A2" s="4" t="s">
        <v>87</v>
      </c>
    </row>
    <row r="4" spans="1:47" ht="33" x14ac:dyDescent="0.5">
      <c r="A4" s="7" t="s">
        <v>88</v>
      </c>
      <c r="B4" s="7" t="s">
        <v>89</v>
      </c>
      <c r="C4" s="7" t="s">
        <v>90</v>
      </c>
      <c r="D4" s="7" t="s">
        <v>91</v>
      </c>
      <c r="F4" s="6" cm="1">
        <f t="array" aca="1" ref="F4" ca="1">PosBondRisk(A5:C104,POS_Pillars,POS_Curve,POS_ValDate)</f>
      </c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</row>
    <row r="5" spans="1:47" x14ac:dyDescent="0.5">
      <c r="A5" s="2"/>
      <c r="B5" s="2"/>
      <c r="C5" s="2"/>
      <c r="F5" s="11"/>
      <c r="G5" s="12"/>
      <c r="H5" s="12"/>
      <c r="I5" s="11"/>
      <c r="J5" s="12"/>
      <c r="K5" s="13"/>
      <c r="L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</row>
    <row r="6" spans="1:47" x14ac:dyDescent="0.5">
      <c r="A6" s="2"/>
      <c r="B6" s="2"/>
      <c r="C6" s="2"/>
      <c r="F6" s="11"/>
      <c r="G6" s="12"/>
      <c r="H6" s="12"/>
      <c r="I6" s="11"/>
      <c r="J6" s="12"/>
      <c r="K6" s="13"/>
      <c r="L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</row>
    <row r="7" spans="1:47" x14ac:dyDescent="0.5">
      <c r="A7" s="2"/>
      <c r="B7" s="2"/>
      <c r="C7" s="2"/>
      <c r="F7" s="11"/>
      <c r="G7" s="12"/>
      <c r="H7" s="12"/>
      <c r="I7" s="11"/>
      <c r="J7" s="12"/>
      <c r="K7" s="13"/>
      <c r="L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</row>
    <row r="8" spans="1:47" x14ac:dyDescent="0.5">
      <c r="A8" s="2"/>
      <c r="B8" s="2"/>
      <c r="C8" s="2"/>
      <c r="F8" s="11"/>
      <c r="G8" s="12"/>
      <c r="H8" s="12"/>
      <c r="I8" s="11"/>
      <c r="J8" s="12"/>
      <c r="K8" s="13"/>
      <c r="L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</row>
    <row r="9" spans="1:47" x14ac:dyDescent="0.5">
      <c r="A9" s="2"/>
      <c r="B9" s="2"/>
      <c r="C9" s="2"/>
      <c r="F9" s="11"/>
      <c r="G9" s="12"/>
      <c r="H9" s="12"/>
      <c r="I9" s="11"/>
      <c r="J9" s="12"/>
      <c r="K9" s="13"/>
      <c r="L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</row>
    <row r="10" spans="1:47" x14ac:dyDescent="0.5">
      <c r="A10" s="2"/>
      <c r="B10" s="2"/>
      <c r="C10" s="2"/>
      <c r="F10" s="11"/>
      <c r="G10" s="12"/>
      <c r="H10" s="12"/>
      <c r="I10" s="11"/>
      <c r="J10" s="12"/>
      <c r="K10" s="13"/>
      <c r="L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</row>
    <row r="11" spans="1:47" x14ac:dyDescent="0.5">
      <c r="A11" s="2"/>
      <c r="B11" s="2"/>
      <c r="C11" s="2"/>
      <c r="F11" s="11"/>
      <c r="G11" s="12"/>
      <c r="H11" s="12"/>
      <c r="I11" s="11"/>
      <c r="J11" s="12"/>
      <c r="K11" s="13"/>
      <c r="L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</row>
    <row r="12" spans="1:47" x14ac:dyDescent="0.5">
      <c r="A12" s="2"/>
      <c r="B12" s="2"/>
      <c r="C12" s="2"/>
      <c r="F12" s="11"/>
      <c r="G12" s="12"/>
      <c r="H12" s="12"/>
      <c r="I12" s="11"/>
      <c r="J12" s="12"/>
      <c r="K12" s="13"/>
      <c r="L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</row>
    <row r="13" spans="1:47" x14ac:dyDescent="0.5">
      <c r="A13" s="2"/>
      <c r="B13" s="2"/>
      <c r="C13" s="2"/>
      <c r="F13" s="11"/>
      <c r="G13" s="12"/>
      <c r="H13" s="12"/>
      <c r="I13" s="11"/>
      <c r="J13" s="12"/>
      <c r="K13" s="13"/>
      <c r="L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</row>
    <row r="14" spans="1:47" x14ac:dyDescent="0.5">
      <c r="A14" s="2"/>
      <c r="B14" s="2"/>
      <c r="C14" s="2"/>
      <c r="F14" s="11"/>
      <c r="G14" s="12"/>
      <c r="H14" s="12"/>
      <c r="I14" s="11"/>
      <c r="J14" s="12"/>
      <c r="K14" s="13"/>
      <c r="L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</row>
    <row r="15" spans="1:47" x14ac:dyDescent="0.5">
      <c r="A15" s="2"/>
      <c r="B15" s="2"/>
      <c r="C15" s="2"/>
      <c r="F15" s="11"/>
      <c r="G15" s="12"/>
      <c r="H15" s="12"/>
      <c r="I15" s="11"/>
      <c r="J15" s="12"/>
      <c r="K15" s="13"/>
      <c r="L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</row>
    <row r="16" spans="1:47" x14ac:dyDescent="0.5">
      <c r="A16" s="2"/>
      <c r="B16" s="2"/>
      <c r="C16" s="2"/>
      <c r="F16" s="11"/>
      <c r="G16" s="12"/>
      <c r="H16" s="12"/>
      <c r="I16" s="11"/>
      <c r="J16" s="12"/>
      <c r="K16" s="13"/>
      <c r="L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</row>
    <row r="17" spans="1:47" x14ac:dyDescent="0.5">
      <c r="A17" s="2"/>
      <c r="B17" s="2"/>
      <c r="C17" s="2"/>
      <c r="F17" s="11"/>
      <c r="G17" s="12"/>
      <c r="H17" s="12"/>
      <c r="I17" s="11"/>
      <c r="J17" s="12"/>
      <c r="K17" s="13"/>
      <c r="L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</row>
    <row r="18" spans="1:47" x14ac:dyDescent="0.5">
      <c r="A18" s="2"/>
      <c r="B18" s="2"/>
      <c r="C18" s="2"/>
      <c r="F18" s="11"/>
      <c r="G18" s="12"/>
      <c r="H18" s="12"/>
      <c r="I18" s="11"/>
      <c r="J18" s="12"/>
      <c r="K18" s="13"/>
      <c r="L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</row>
    <row r="19" spans="1:47" x14ac:dyDescent="0.5">
      <c r="A19" s="2"/>
      <c r="B19" s="2"/>
      <c r="C19" s="2"/>
      <c r="F19" s="11"/>
      <c r="G19" s="12"/>
      <c r="H19" s="12"/>
      <c r="I19" s="11"/>
      <c r="J19" s="12"/>
      <c r="K19" s="13"/>
      <c r="L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</row>
    <row r="20" spans="1:47" x14ac:dyDescent="0.5">
      <c r="A20" s="2"/>
      <c r="B20" s="2"/>
      <c r="C20" s="2"/>
      <c r="F20" s="11"/>
      <c r="G20" s="12"/>
      <c r="H20" s="12"/>
      <c r="I20" s="11"/>
      <c r="J20" s="12"/>
      <c r="K20" s="13"/>
      <c r="L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</row>
    <row r="21" spans="1:47" x14ac:dyDescent="0.5">
      <c r="A21" s="2"/>
      <c r="B21" s="2"/>
      <c r="C21" s="2"/>
      <c r="F21" s="11"/>
      <c r="G21" s="12"/>
      <c r="H21" s="12"/>
      <c r="I21" s="11"/>
      <c r="J21" s="12"/>
      <c r="K21" s="13"/>
      <c r="L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</row>
    <row r="22" spans="1:47" x14ac:dyDescent="0.5">
      <c r="A22" s="2"/>
      <c r="B22" s="2"/>
      <c r="C22" s="2"/>
      <c r="F22" s="11"/>
      <c r="G22" s="12"/>
      <c r="H22" s="12"/>
      <c r="I22" s="11"/>
      <c r="J22" s="12"/>
      <c r="K22" s="13"/>
      <c r="L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</row>
    <row r="23" spans="1:47" x14ac:dyDescent="0.5">
      <c r="A23" s="2"/>
      <c r="B23" s="2"/>
      <c r="C23" s="2"/>
      <c r="F23" s="11"/>
      <c r="G23" s="12"/>
      <c r="H23" s="12"/>
      <c r="I23" s="11"/>
      <c r="J23" s="12"/>
      <c r="K23" s="13"/>
      <c r="L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x14ac:dyDescent="0.5">
      <c r="A24" s="2"/>
      <c r="B24" s="2"/>
      <c r="C24" s="2"/>
      <c r="F24" s="11"/>
      <c r="G24" s="12"/>
      <c r="H24" s="12"/>
      <c r="I24" s="11"/>
      <c r="J24" s="12"/>
      <c r="K24" s="13"/>
      <c r="L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</row>
    <row r="25" spans="1:47" x14ac:dyDescent="0.5">
      <c r="A25" s="2"/>
      <c r="B25" s="2"/>
      <c r="C25" s="2"/>
      <c r="F25" s="11"/>
      <c r="G25" s="12"/>
      <c r="H25" s="12"/>
      <c r="I25" s="11"/>
      <c r="J25" s="12"/>
      <c r="K25" s="13"/>
      <c r="L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</row>
    <row r="26" spans="1:47" x14ac:dyDescent="0.5">
      <c r="A26" s="2"/>
      <c r="B26" s="2"/>
      <c r="C26" s="2"/>
      <c r="F26" s="11"/>
      <c r="G26" s="12"/>
      <c r="H26" s="12"/>
      <c r="I26" s="11"/>
      <c r="J26" s="12"/>
      <c r="K26" s="13"/>
      <c r="L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</row>
    <row r="27" spans="1:47" x14ac:dyDescent="0.5">
      <c r="A27" s="2"/>
      <c r="B27" s="2"/>
      <c r="C27" s="2"/>
      <c r="F27" s="11"/>
      <c r="G27" s="12"/>
      <c r="H27" s="12"/>
      <c r="I27" s="11"/>
      <c r="J27" s="12"/>
      <c r="K27" s="13"/>
      <c r="L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47" x14ac:dyDescent="0.5">
      <c r="A28" s="2"/>
      <c r="B28" s="2"/>
      <c r="C28" s="2"/>
      <c r="F28" s="11"/>
      <c r="G28" s="12"/>
      <c r="H28" s="12"/>
      <c r="I28" s="11"/>
      <c r="J28" s="12"/>
      <c r="K28" s="13"/>
      <c r="L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</row>
    <row r="29" spans="1:47" x14ac:dyDescent="0.5">
      <c r="A29" s="2"/>
      <c r="B29" s="2"/>
      <c r="C29" s="2"/>
      <c r="F29" s="11"/>
      <c r="G29" s="12"/>
      <c r="H29" s="12"/>
      <c r="I29" s="11"/>
      <c r="J29" s="12"/>
      <c r="K29" s="13"/>
      <c r="L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47" x14ac:dyDescent="0.5">
      <c r="A30" s="2"/>
      <c r="B30" s="2"/>
      <c r="C30" s="2"/>
      <c r="F30" s="11"/>
      <c r="G30" s="12"/>
      <c r="H30" s="12"/>
      <c r="I30" s="11"/>
      <c r="J30" s="12"/>
      <c r="K30" s="13"/>
      <c r="L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</row>
    <row r="31" spans="1:47" x14ac:dyDescent="0.5">
      <c r="A31" s="2"/>
      <c r="B31" s="2"/>
      <c r="C31" s="2"/>
      <c r="F31" s="11"/>
      <c r="G31" s="12"/>
      <c r="H31" s="12"/>
      <c r="I31" s="11"/>
      <c r="J31" s="12"/>
      <c r="K31" s="13"/>
      <c r="L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</row>
    <row r="32" spans="1:47" x14ac:dyDescent="0.5">
      <c r="A32" s="2"/>
      <c r="B32" s="2"/>
      <c r="C32" s="2"/>
      <c r="F32" s="11"/>
      <c r="G32" s="12"/>
      <c r="H32" s="12"/>
      <c r="I32" s="11"/>
      <c r="J32" s="12"/>
      <c r="K32" s="13"/>
      <c r="L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</row>
    <row r="33" spans="1:47" x14ac:dyDescent="0.5">
      <c r="A33" s="2"/>
      <c r="B33" s="2"/>
      <c r="C33" s="2"/>
      <c r="F33" s="11"/>
      <c r="G33" s="12"/>
      <c r="H33" s="12"/>
      <c r="I33" s="11"/>
      <c r="J33" s="12"/>
      <c r="K33" s="13"/>
      <c r="L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</row>
    <row r="34" spans="1:47" x14ac:dyDescent="0.5">
      <c r="A34" s="2"/>
      <c r="B34" s="2"/>
      <c r="C34" s="2"/>
      <c r="F34" s="11"/>
      <c r="G34" s="12"/>
      <c r="H34" s="12"/>
      <c r="I34" s="11"/>
      <c r="J34" s="12"/>
      <c r="K34" s="13"/>
      <c r="L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</row>
    <row r="35" spans="1:47" x14ac:dyDescent="0.5">
      <c r="A35" s="2"/>
      <c r="B35" s="2"/>
      <c r="C35" s="2"/>
      <c r="F35" s="11"/>
      <c r="G35" s="12"/>
      <c r="H35" s="12"/>
      <c r="I35" s="11"/>
      <c r="J35" s="12"/>
      <c r="K35" s="13"/>
      <c r="L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</row>
    <row r="36" spans="1:47" x14ac:dyDescent="0.5">
      <c r="A36" s="2"/>
      <c r="B36" s="2"/>
      <c r="C36" s="2"/>
      <c r="F36" s="11"/>
      <c r="G36" s="12"/>
      <c r="H36" s="12"/>
      <c r="I36" s="11"/>
      <c r="J36" s="12"/>
      <c r="K36" s="13"/>
      <c r="L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</row>
    <row r="37" spans="1:47" x14ac:dyDescent="0.5">
      <c r="A37" s="2"/>
      <c r="B37" s="2"/>
      <c r="C37" s="2"/>
      <c r="F37" s="11"/>
      <c r="G37" s="12"/>
      <c r="H37" s="12"/>
      <c r="I37" s="11"/>
      <c r="J37" s="12"/>
      <c r="K37" s="13"/>
      <c r="L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</row>
    <row r="38" spans="1:47" x14ac:dyDescent="0.5">
      <c r="A38" s="2"/>
      <c r="B38" s="2"/>
      <c r="C38" s="2"/>
      <c r="F38" s="11"/>
      <c r="G38" s="12"/>
      <c r="H38" s="12"/>
      <c r="I38" s="11"/>
      <c r="J38" s="12"/>
      <c r="K38" s="13"/>
      <c r="L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</row>
    <row r="39" spans="1:47" x14ac:dyDescent="0.5">
      <c r="A39" s="2"/>
      <c r="B39" s="2"/>
      <c r="C39" s="2"/>
      <c r="F39" s="11"/>
      <c r="G39" s="12"/>
      <c r="H39" s="12"/>
      <c r="I39" s="11"/>
      <c r="J39" s="12"/>
      <c r="K39" s="13"/>
      <c r="L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</row>
    <row r="40" spans="1:47" x14ac:dyDescent="0.5">
      <c r="A40" s="2"/>
      <c r="B40" s="2"/>
      <c r="C40" s="2"/>
      <c r="F40" s="11"/>
      <c r="G40" s="12"/>
      <c r="H40" s="12"/>
      <c r="I40" s="11"/>
      <c r="J40" s="12"/>
      <c r="K40" s="13"/>
      <c r="L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</row>
    <row r="41" spans="1:47" x14ac:dyDescent="0.5">
      <c r="A41" s="2"/>
      <c r="B41" s="2"/>
      <c r="C41" s="2"/>
      <c r="F41" s="11"/>
      <c r="G41" s="12"/>
      <c r="H41" s="12"/>
      <c r="I41" s="11"/>
      <c r="J41" s="12"/>
      <c r="K41" s="13"/>
      <c r="L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</row>
    <row r="42" spans="1:47" x14ac:dyDescent="0.5">
      <c r="A42" s="2"/>
      <c r="B42" s="2"/>
      <c r="C42" s="2"/>
      <c r="F42" s="11"/>
      <c r="G42" s="12"/>
      <c r="H42" s="12"/>
      <c r="I42" s="11"/>
      <c r="J42" s="12"/>
      <c r="K42" s="13"/>
      <c r="L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</row>
    <row r="43" spans="1:47" x14ac:dyDescent="0.5">
      <c r="A43" s="2"/>
      <c r="B43" s="2"/>
      <c r="C43" s="2"/>
      <c r="F43" s="11"/>
      <c r="G43" s="12"/>
      <c r="H43" s="12"/>
      <c r="I43" s="11"/>
      <c r="J43" s="12"/>
      <c r="K43" s="13"/>
      <c r="L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</row>
    <row r="44" spans="1:47" x14ac:dyDescent="0.5">
      <c r="A44" s="2"/>
      <c r="B44" s="2"/>
      <c r="C44" s="2"/>
      <c r="F44" s="11"/>
      <c r="G44" s="12"/>
      <c r="H44" s="12"/>
      <c r="I44" s="11"/>
      <c r="J44" s="12"/>
      <c r="K44" s="13"/>
      <c r="L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</row>
    <row r="45" spans="1:47" x14ac:dyDescent="0.5">
      <c r="A45" s="2"/>
      <c r="B45" s="2"/>
      <c r="C45" s="2"/>
      <c r="F45" s="11"/>
      <c r="G45" s="12"/>
      <c r="H45" s="12"/>
      <c r="I45" s="11"/>
      <c r="J45" s="12"/>
      <c r="K45" s="13"/>
      <c r="L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</row>
    <row r="46" spans="1:47" x14ac:dyDescent="0.5">
      <c r="A46" s="2"/>
      <c r="B46" s="2"/>
      <c r="C46" s="2"/>
      <c r="F46" s="11"/>
      <c r="G46" s="12"/>
      <c r="H46" s="12"/>
      <c r="I46" s="11"/>
      <c r="J46" s="12"/>
      <c r="K46" s="13"/>
      <c r="L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</row>
    <row r="47" spans="1:47" x14ac:dyDescent="0.5">
      <c r="A47" s="2"/>
      <c r="B47" s="2"/>
      <c r="C47" s="2"/>
      <c r="F47" s="11"/>
      <c r="G47" s="12"/>
      <c r="H47" s="12"/>
      <c r="I47" s="11"/>
      <c r="J47" s="12"/>
      <c r="K47" s="13"/>
      <c r="L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</row>
    <row r="48" spans="1:47" x14ac:dyDescent="0.5">
      <c r="A48" s="2"/>
      <c r="B48" s="2"/>
      <c r="C48" s="2"/>
      <c r="F48" s="11"/>
      <c r="G48" s="12"/>
      <c r="H48" s="12"/>
      <c r="I48" s="11"/>
      <c r="J48" s="12"/>
      <c r="K48" s="13"/>
      <c r="L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</row>
    <row r="49" spans="1:47" x14ac:dyDescent="0.5">
      <c r="A49" s="2"/>
      <c r="B49" s="2"/>
      <c r="C49" s="2"/>
      <c r="F49" s="11"/>
      <c r="G49" s="12"/>
      <c r="H49" s="12"/>
      <c r="I49" s="11"/>
      <c r="J49" s="12"/>
      <c r="K49" s="13"/>
      <c r="L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</row>
    <row r="50" spans="1:47" x14ac:dyDescent="0.5">
      <c r="A50" s="2"/>
      <c r="B50" s="2"/>
      <c r="C50" s="2"/>
      <c r="F50" s="11"/>
      <c r="G50" s="12"/>
      <c r="H50" s="12"/>
      <c r="I50" s="11"/>
      <c r="J50" s="12"/>
      <c r="K50" s="13"/>
      <c r="L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</row>
    <row r="51" spans="1:47" x14ac:dyDescent="0.5">
      <c r="A51" s="2"/>
      <c r="B51" s="2"/>
      <c r="C51" s="2"/>
      <c r="F51" s="11"/>
      <c r="G51" s="12"/>
      <c r="H51" s="12"/>
      <c r="I51" s="11"/>
      <c r="J51" s="12"/>
      <c r="K51" s="13"/>
      <c r="L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</row>
    <row r="52" spans="1:47" x14ac:dyDescent="0.5">
      <c r="A52" s="2"/>
      <c r="B52" s="2"/>
      <c r="C52" s="2"/>
      <c r="F52" s="11"/>
      <c r="G52" s="12"/>
      <c r="H52" s="12"/>
      <c r="I52" s="11"/>
      <c r="J52" s="12"/>
      <c r="K52" s="13"/>
      <c r="L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</row>
    <row r="53" spans="1:47" x14ac:dyDescent="0.5">
      <c r="A53" s="2"/>
      <c r="B53" s="2"/>
      <c r="C53" s="2"/>
      <c r="F53" s="11"/>
      <c r="G53" s="12"/>
      <c r="H53" s="12"/>
      <c r="I53" s="11"/>
      <c r="J53" s="12"/>
      <c r="K53" s="13"/>
      <c r="L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</row>
    <row r="54" spans="1:47" x14ac:dyDescent="0.5">
      <c r="A54" s="2"/>
      <c r="B54" s="2"/>
      <c r="C54" s="2"/>
      <c r="F54" s="11"/>
      <c r="G54" s="12"/>
      <c r="H54" s="12"/>
      <c r="I54" s="11"/>
      <c r="J54" s="12"/>
      <c r="K54" s="13"/>
      <c r="L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</row>
    <row r="55" spans="1:47" x14ac:dyDescent="0.5">
      <c r="A55" s="2"/>
      <c r="B55" s="2"/>
      <c r="C55" s="2"/>
      <c r="F55" s="11"/>
      <c r="G55" s="12"/>
      <c r="H55" s="12"/>
      <c r="I55" s="11"/>
      <c r="J55" s="12"/>
      <c r="K55" s="13"/>
      <c r="L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</row>
    <row r="56" spans="1:47" x14ac:dyDescent="0.5">
      <c r="A56" s="2"/>
      <c r="B56" s="2"/>
      <c r="C56" s="2"/>
      <c r="F56" s="11"/>
      <c r="G56" s="12"/>
      <c r="H56" s="12"/>
      <c r="I56" s="11"/>
      <c r="J56" s="12"/>
      <c r="K56" s="13"/>
      <c r="L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</row>
    <row r="57" spans="1:47" x14ac:dyDescent="0.5">
      <c r="A57" s="2"/>
      <c r="B57" s="2"/>
      <c r="C57" s="2"/>
      <c r="F57" s="11"/>
      <c r="G57" s="12"/>
      <c r="H57" s="12"/>
      <c r="I57" s="11"/>
      <c r="J57" s="12"/>
      <c r="K57" s="13"/>
      <c r="L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</row>
    <row r="58" spans="1:47" x14ac:dyDescent="0.5">
      <c r="A58" s="2"/>
      <c r="B58" s="2"/>
      <c r="C58" s="2"/>
      <c r="F58" s="11"/>
      <c r="G58" s="12"/>
      <c r="H58" s="12"/>
      <c r="I58" s="11"/>
      <c r="J58" s="12"/>
      <c r="K58" s="13"/>
      <c r="L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</row>
    <row r="59" spans="1:47" x14ac:dyDescent="0.5">
      <c r="A59" s="2"/>
      <c r="B59" s="2"/>
      <c r="C59" s="2"/>
      <c r="F59" s="11"/>
      <c r="G59" s="12"/>
      <c r="H59" s="12"/>
      <c r="I59" s="11"/>
      <c r="J59" s="12"/>
      <c r="K59" s="13"/>
      <c r="L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</row>
    <row r="60" spans="1:47" x14ac:dyDescent="0.5">
      <c r="A60" s="2"/>
      <c r="B60" s="2"/>
      <c r="C60" s="2"/>
      <c r="F60" s="11"/>
      <c r="G60" s="12"/>
      <c r="H60" s="12"/>
      <c r="I60" s="11"/>
      <c r="J60" s="12"/>
      <c r="K60" s="13"/>
      <c r="L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</row>
    <row r="61" spans="1:47" x14ac:dyDescent="0.5">
      <c r="A61" s="2"/>
      <c r="B61" s="2"/>
      <c r="C61" s="2"/>
      <c r="F61" s="11"/>
      <c r="G61" s="12"/>
      <c r="H61" s="12"/>
      <c r="I61" s="11"/>
      <c r="J61" s="12"/>
      <c r="K61" s="13"/>
      <c r="L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</row>
    <row r="62" spans="1:47" x14ac:dyDescent="0.5">
      <c r="A62" s="2"/>
      <c r="B62" s="2"/>
      <c r="C62" s="2"/>
      <c r="F62" s="11"/>
      <c r="G62" s="12"/>
      <c r="H62" s="12"/>
      <c r="I62" s="11"/>
      <c r="J62" s="12"/>
      <c r="K62" s="13"/>
      <c r="L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</row>
    <row r="63" spans="1:47" x14ac:dyDescent="0.5">
      <c r="A63" s="2"/>
      <c r="B63" s="2"/>
      <c r="C63" s="2"/>
      <c r="F63" s="11"/>
      <c r="G63" s="12"/>
      <c r="H63" s="12"/>
      <c r="I63" s="11"/>
      <c r="J63" s="12"/>
      <c r="K63" s="13"/>
      <c r="L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</row>
    <row r="64" spans="1:47" x14ac:dyDescent="0.5">
      <c r="A64" s="2"/>
      <c r="B64" s="2"/>
      <c r="C64" s="2"/>
      <c r="F64" s="11"/>
      <c r="G64" s="12"/>
      <c r="H64" s="12"/>
      <c r="I64" s="11"/>
      <c r="J64" s="12"/>
      <c r="K64" s="13"/>
      <c r="L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</row>
    <row r="65" spans="1:47" x14ac:dyDescent="0.5">
      <c r="A65" s="2"/>
      <c r="B65" s="2"/>
      <c r="C65" s="2"/>
      <c r="F65" s="11"/>
      <c r="G65" s="12"/>
      <c r="H65" s="12"/>
      <c r="I65" s="11"/>
      <c r="J65" s="12"/>
      <c r="K65" s="13"/>
      <c r="L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</row>
    <row r="66" spans="1:47" x14ac:dyDescent="0.5">
      <c r="A66" s="2"/>
      <c r="B66" s="2"/>
      <c r="C66" s="2"/>
      <c r="F66" s="11"/>
      <c r="G66" s="12"/>
      <c r="H66" s="12"/>
      <c r="I66" s="11"/>
      <c r="J66" s="12"/>
      <c r="K66" s="13"/>
      <c r="L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</row>
    <row r="67" spans="1:47" x14ac:dyDescent="0.5">
      <c r="A67" s="2"/>
      <c r="B67" s="2"/>
      <c r="C67" s="2"/>
      <c r="F67" s="11"/>
      <c r="G67" s="12"/>
      <c r="H67" s="12"/>
      <c r="I67" s="11"/>
      <c r="J67" s="12"/>
      <c r="K67" s="13"/>
      <c r="L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</row>
    <row r="68" spans="1:47" x14ac:dyDescent="0.5">
      <c r="A68" s="2"/>
      <c r="B68" s="2"/>
      <c r="C68" s="2"/>
      <c r="F68" s="11"/>
      <c r="G68" s="12"/>
      <c r="H68" s="12"/>
      <c r="I68" s="11"/>
      <c r="J68" s="12"/>
      <c r="K68" s="13"/>
      <c r="L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</row>
    <row r="69" spans="1:47" x14ac:dyDescent="0.5">
      <c r="A69" s="2"/>
      <c r="B69" s="2"/>
      <c r="C69" s="2"/>
      <c r="F69" s="11"/>
      <c r="G69" s="12"/>
      <c r="H69" s="12"/>
      <c r="I69" s="11"/>
      <c r="J69" s="12"/>
      <c r="K69" s="13"/>
      <c r="L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</row>
    <row r="70" spans="1:47" x14ac:dyDescent="0.5">
      <c r="A70" s="2"/>
      <c r="B70" s="2"/>
      <c r="C70" s="2"/>
      <c r="F70" s="11"/>
      <c r="G70" s="12"/>
      <c r="H70" s="12"/>
      <c r="I70" s="11"/>
      <c r="J70" s="12"/>
      <c r="K70" s="13"/>
      <c r="L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</row>
    <row r="71" spans="1:47" x14ac:dyDescent="0.5">
      <c r="A71" s="2"/>
      <c r="B71" s="2"/>
      <c r="C71" s="2"/>
      <c r="F71" s="11"/>
      <c r="G71" s="12"/>
      <c r="H71" s="12"/>
      <c r="I71" s="11"/>
      <c r="J71" s="12"/>
      <c r="K71" s="13"/>
      <c r="L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</row>
    <row r="72" spans="1:47" x14ac:dyDescent="0.5">
      <c r="A72" s="2"/>
      <c r="B72" s="2"/>
      <c r="C72" s="2"/>
      <c r="F72" s="11"/>
      <c r="G72" s="12"/>
      <c r="H72" s="12"/>
      <c r="I72" s="11"/>
      <c r="J72" s="12"/>
      <c r="K72" s="13"/>
      <c r="L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</row>
    <row r="73" spans="1:47" x14ac:dyDescent="0.5">
      <c r="A73" s="2"/>
      <c r="B73" s="2"/>
      <c r="C73" s="2"/>
      <c r="F73" s="11"/>
      <c r="G73" s="12"/>
      <c r="H73" s="12"/>
      <c r="I73" s="11"/>
      <c r="J73" s="12"/>
      <c r="K73" s="13"/>
      <c r="L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</row>
    <row r="74" spans="1:47" x14ac:dyDescent="0.5">
      <c r="A74" s="2"/>
      <c r="B74" s="2"/>
      <c r="C74" s="2"/>
      <c r="F74" s="11"/>
      <c r="G74" s="12"/>
      <c r="H74" s="12"/>
      <c r="I74" s="11"/>
      <c r="J74" s="12"/>
      <c r="K74" s="13"/>
      <c r="L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</row>
    <row r="75" spans="1:47" x14ac:dyDescent="0.5">
      <c r="A75" s="2"/>
      <c r="B75" s="2"/>
      <c r="C75" s="2"/>
      <c r="F75" s="11"/>
      <c r="G75" s="12"/>
      <c r="H75" s="12"/>
      <c r="I75" s="11"/>
      <c r="J75" s="12"/>
      <c r="K75" s="13"/>
      <c r="L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</row>
    <row r="76" spans="1:47" x14ac:dyDescent="0.5">
      <c r="A76" s="2"/>
      <c r="B76" s="2"/>
      <c r="C76" s="2"/>
      <c r="F76" s="11"/>
      <c r="G76" s="12"/>
      <c r="H76" s="12"/>
      <c r="I76" s="11"/>
      <c r="J76" s="12"/>
      <c r="K76" s="13"/>
      <c r="L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</row>
    <row r="77" spans="1:47" x14ac:dyDescent="0.5">
      <c r="A77" s="2"/>
      <c r="B77" s="2"/>
      <c r="C77" s="2"/>
      <c r="F77" s="11"/>
      <c r="G77" s="12"/>
      <c r="H77" s="12"/>
      <c r="I77" s="11"/>
      <c r="J77" s="12"/>
      <c r="K77" s="13"/>
      <c r="L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</row>
    <row r="78" spans="1:47" x14ac:dyDescent="0.5">
      <c r="A78" s="2"/>
      <c r="B78" s="2"/>
      <c r="C78" s="2"/>
      <c r="F78" s="11"/>
      <c r="G78" s="12"/>
      <c r="H78" s="12"/>
      <c r="I78" s="11"/>
      <c r="J78" s="12"/>
      <c r="K78" s="13"/>
      <c r="L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</row>
    <row r="79" spans="1:47" x14ac:dyDescent="0.5">
      <c r="A79" s="2"/>
      <c r="B79" s="2"/>
      <c r="C79" s="2"/>
      <c r="F79" s="11"/>
      <c r="G79" s="12"/>
      <c r="H79" s="12"/>
      <c r="I79" s="11"/>
      <c r="J79" s="12"/>
      <c r="K79" s="13"/>
      <c r="L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</row>
    <row r="80" spans="1:47" x14ac:dyDescent="0.5">
      <c r="A80" s="2"/>
      <c r="B80" s="2"/>
      <c r="C80" s="2"/>
      <c r="F80" s="11"/>
      <c r="G80" s="12"/>
      <c r="H80" s="12"/>
      <c r="I80" s="11"/>
      <c r="J80" s="12"/>
      <c r="K80" s="13"/>
      <c r="L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</row>
    <row r="81" spans="1:47" x14ac:dyDescent="0.5">
      <c r="A81" s="2"/>
      <c r="B81" s="2"/>
      <c r="C81" s="2"/>
      <c r="F81" s="11"/>
      <c r="G81" s="12"/>
      <c r="H81" s="12"/>
      <c r="I81" s="11"/>
      <c r="J81" s="12"/>
      <c r="K81" s="13"/>
      <c r="L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</row>
    <row r="82" spans="1:47" x14ac:dyDescent="0.5">
      <c r="A82" s="2"/>
      <c r="B82" s="2"/>
      <c r="C82" s="2"/>
      <c r="F82" s="11"/>
      <c r="G82" s="12"/>
      <c r="H82" s="12"/>
      <c r="I82" s="11"/>
      <c r="J82" s="12"/>
      <c r="K82" s="13"/>
      <c r="L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</row>
    <row r="83" spans="1:47" x14ac:dyDescent="0.5">
      <c r="A83" s="2"/>
      <c r="B83" s="2"/>
      <c r="C83" s="2"/>
      <c r="F83" s="11"/>
      <c r="G83" s="12"/>
      <c r="H83" s="12"/>
      <c r="I83" s="11"/>
      <c r="J83" s="12"/>
      <c r="K83" s="13"/>
      <c r="L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</row>
    <row r="84" spans="1:47" x14ac:dyDescent="0.5">
      <c r="A84" s="2"/>
      <c r="B84" s="2"/>
      <c r="C84" s="2"/>
      <c r="F84" s="11"/>
      <c r="G84" s="12"/>
      <c r="H84" s="12"/>
      <c r="I84" s="11"/>
      <c r="J84" s="12"/>
      <c r="K84" s="13"/>
      <c r="L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</row>
    <row r="85" spans="1:47" x14ac:dyDescent="0.5">
      <c r="A85" s="2"/>
      <c r="B85" s="2"/>
      <c r="C85" s="2"/>
      <c r="F85" s="11"/>
      <c r="G85" s="12"/>
      <c r="H85" s="12"/>
      <c r="I85" s="11"/>
      <c r="J85" s="12"/>
      <c r="K85" s="13"/>
      <c r="L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</row>
    <row r="86" spans="1:47" x14ac:dyDescent="0.5">
      <c r="A86" s="2"/>
      <c r="B86" s="2"/>
      <c r="C86" s="2"/>
      <c r="F86" s="11"/>
      <c r="G86" s="12"/>
      <c r="H86" s="12"/>
      <c r="I86" s="11"/>
      <c r="J86" s="12"/>
      <c r="K86" s="13"/>
      <c r="L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</row>
    <row r="87" spans="1:47" x14ac:dyDescent="0.5">
      <c r="A87" s="2"/>
      <c r="B87" s="2"/>
      <c r="C87" s="2"/>
      <c r="F87" s="11"/>
      <c r="G87" s="12"/>
      <c r="H87" s="12"/>
      <c r="I87" s="11"/>
      <c r="J87" s="12"/>
      <c r="K87" s="13"/>
      <c r="L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</row>
    <row r="88" spans="1:47" x14ac:dyDescent="0.5">
      <c r="A88" s="2"/>
      <c r="B88" s="2"/>
      <c r="C88" s="2"/>
      <c r="F88" s="11"/>
      <c r="G88" s="12"/>
      <c r="H88" s="12"/>
      <c r="I88" s="11"/>
      <c r="J88" s="12"/>
      <c r="K88" s="13"/>
      <c r="L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</row>
    <row r="89" spans="1:47" x14ac:dyDescent="0.5">
      <c r="A89" s="2"/>
      <c r="B89" s="2"/>
      <c r="C89" s="2"/>
      <c r="F89" s="11"/>
      <c r="G89" s="12"/>
      <c r="H89" s="12"/>
      <c r="I89" s="11"/>
      <c r="J89" s="12"/>
      <c r="K89" s="13"/>
      <c r="L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</row>
    <row r="90" spans="1:47" x14ac:dyDescent="0.5">
      <c r="A90" s="2"/>
      <c r="B90" s="2"/>
      <c r="C90" s="2"/>
      <c r="F90" s="11"/>
      <c r="G90" s="12"/>
      <c r="H90" s="12"/>
      <c r="I90" s="11"/>
      <c r="J90" s="12"/>
      <c r="K90" s="13"/>
      <c r="L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</row>
    <row r="91" spans="1:47" x14ac:dyDescent="0.5">
      <c r="A91" s="2"/>
      <c r="B91" s="2"/>
      <c r="C91" s="2"/>
      <c r="F91" s="11"/>
      <c r="G91" s="12"/>
      <c r="H91" s="12"/>
      <c r="I91" s="11"/>
      <c r="J91" s="12"/>
      <c r="K91" s="13"/>
      <c r="L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</row>
    <row r="92" spans="1:47" x14ac:dyDescent="0.5">
      <c r="A92" s="2"/>
      <c r="B92" s="2"/>
      <c r="C92" s="2"/>
      <c r="F92" s="11"/>
      <c r="G92" s="12"/>
      <c r="H92" s="12"/>
      <c r="I92" s="11"/>
      <c r="J92" s="12"/>
      <c r="K92" s="13"/>
      <c r="L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</row>
    <row r="93" spans="1:47" x14ac:dyDescent="0.5">
      <c r="A93" s="2"/>
      <c r="B93" s="2"/>
      <c r="C93" s="2"/>
      <c r="F93" s="11"/>
      <c r="G93" s="12"/>
      <c r="H93" s="12"/>
      <c r="I93" s="11"/>
      <c r="J93" s="12"/>
      <c r="K93" s="13"/>
      <c r="L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</row>
    <row r="94" spans="1:47" x14ac:dyDescent="0.5">
      <c r="A94" s="2"/>
      <c r="B94" s="2"/>
      <c r="C94" s="2"/>
      <c r="F94" s="11"/>
      <c r="G94" s="12"/>
      <c r="H94" s="12"/>
      <c r="I94" s="11"/>
      <c r="J94" s="12"/>
      <c r="K94" s="13"/>
      <c r="L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</row>
    <row r="95" spans="1:47" x14ac:dyDescent="0.5">
      <c r="A95" s="2"/>
      <c r="B95" s="2"/>
      <c r="C95" s="2"/>
      <c r="F95" s="11"/>
      <c r="G95" s="12"/>
      <c r="H95" s="12"/>
      <c r="I95" s="11"/>
      <c r="J95" s="12"/>
      <c r="K95" s="13"/>
      <c r="L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</row>
    <row r="96" spans="1:47" x14ac:dyDescent="0.5">
      <c r="A96" s="2"/>
      <c r="B96" s="2"/>
      <c r="C96" s="2"/>
      <c r="F96" s="11"/>
      <c r="G96" s="12"/>
      <c r="H96" s="12"/>
      <c r="I96" s="11"/>
      <c r="J96" s="12"/>
      <c r="K96" s="13"/>
      <c r="L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</row>
    <row r="97" spans="1:47" x14ac:dyDescent="0.5">
      <c r="A97" s="2"/>
      <c r="B97" s="2"/>
      <c r="C97" s="2"/>
      <c r="F97" s="11"/>
      <c r="G97" s="12"/>
      <c r="H97" s="12"/>
      <c r="I97" s="11"/>
      <c r="J97" s="12"/>
      <c r="K97" s="13"/>
      <c r="L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</row>
    <row r="98" spans="1:47" x14ac:dyDescent="0.5">
      <c r="A98" s="2"/>
      <c r="B98" s="2"/>
      <c r="C98" s="2"/>
      <c r="F98" s="11"/>
      <c r="G98" s="12"/>
      <c r="H98" s="12"/>
      <c r="I98" s="11"/>
      <c r="J98" s="12"/>
      <c r="K98" s="13"/>
      <c r="L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</row>
    <row r="99" spans="1:47" x14ac:dyDescent="0.5">
      <c r="A99" s="2"/>
      <c r="B99" s="2"/>
      <c r="C99" s="2"/>
      <c r="F99" s="11"/>
      <c r="G99" s="12"/>
      <c r="H99" s="12"/>
      <c r="I99" s="11"/>
      <c r="J99" s="12"/>
      <c r="K99" s="13"/>
      <c r="L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</row>
    <row r="100" spans="1:47" x14ac:dyDescent="0.5">
      <c r="A100" s="2"/>
      <c r="B100" s="2"/>
      <c r="C100" s="2"/>
      <c r="F100" s="11"/>
      <c r="G100" s="12"/>
      <c r="H100" s="12"/>
      <c r="I100" s="11"/>
      <c r="J100" s="12"/>
      <c r="K100" s="13"/>
      <c r="L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</row>
    <row r="101" spans="1:47" x14ac:dyDescent="0.5">
      <c r="A101" s="2"/>
      <c r="B101" s="2"/>
      <c r="C101" s="2"/>
      <c r="F101" s="11"/>
      <c r="G101" s="12"/>
      <c r="H101" s="12"/>
      <c r="I101" s="11"/>
      <c r="J101" s="12"/>
      <c r="K101" s="13"/>
      <c r="L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</row>
    <row r="102" spans="1:47" x14ac:dyDescent="0.5">
      <c r="A102" s="2"/>
      <c r="B102" s="2"/>
      <c r="C102" s="2"/>
      <c r="F102" s="11"/>
      <c r="G102" s="12"/>
      <c r="H102" s="12"/>
      <c r="I102" s="11"/>
      <c r="J102" s="12"/>
      <c r="K102" s="13"/>
      <c r="L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</row>
    <row r="103" spans="1:47" x14ac:dyDescent="0.5">
      <c r="A103" s="2"/>
      <c r="B103" s="2"/>
      <c r="C103" s="2"/>
      <c r="F103" s="11"/>
      <c r="G103" s="12"/>
      <c r="H103" s="12"/>
      <c r="I103" s="11"/>
      <c r="J103" s="12"/>
      <c r="K103" s="13"/>
      <c r="L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</row>
    <row r="104" spans="1:47" x14ac:dyDescent="0.5">
      <c r="A104" s="2"/>
      <c r="B104" s="2"/>
      <c r="C104" s="2"/>
      <c r="F104" s="11"/>
      <c r="G104" s="12"/>
      <c r="H104" s="12"/>
      <c r="I104" s="11"/>
      <c r="J104" s="12"/>
      <c r="K104" s="13"/>
      <c r="L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</row>
  </sheetData>
  <phoneticPr fontId="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B6D3A-5D98-427C-86D5-0A33DC58091A}">
  <sheetPr codeName="Sheet10">
    <tabColor rgb="FFFFC000"/>
  </sheetPr>
  <dimension ref="A1:AU54"/>
  <sheetViews>
    <sheetView workbookViewId="0"/>
  </sheetViews>
  <sheetFormatPr defaultRowHeight="16.5" x14ac:dyDescent="0.5"/>
  <cols>
    <col min="1" max="7" width="10.6328125" customWidth="1"/>
    <col min="9" max="12" width="10.6328125" customWidth="1"/>
    <col min="13" max="13" width="24.6328125" customWidth="1"/>
    <col min="14" max="47" width="7.6328125" customWidth="1"/>
  </cols>
  <sheetData>
    <row r="1" spans="1:47" ht="22.5" x14ac:dyDescent="0.5">
      <c r="A1" s="1" t="s">
        <v>92</v>
      </c>
    </row>
    <row r="2" spans="1:47" x14ac:dyDescent="0.5">
      <c r="A2" s="4" t="s">
        <v>93</v>
      </c>
    </row>
    <row r="4" spans="1:47" ht="33" x14ac:dyDescent="0.5">
      <c r="A4" s="7" t="s">
        <v>94</v>
      </c>
      <c r="B4" s="7" t="s">
        <v>60</v>
      </c>
      <c r="C4" s="7" t="s">
        <v>95</v>
      </c>
      <c r="D4" s="7" t="s">
        <v>96</v>
      </c>
      <c r="E4" s="7" t="s">
        <v>97</v>
      </c>
      <c r="F4" s="7" t="s">
        <v>98</v>
      </c>
      <c r="G4" s="7" t="s">
        <v>91</v>
      </c>
      <c r="I4" s="6" cm="1">
        <f t="array" aca="1" ref="I4" ca="1">PosTradeRisk(A5:F54,POS_Pillars,POS_Curve,POS_ValDate)</f>
      </c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</row>
    <row r="5" spans="1:47" x14ac:dyDescent="0.5">
      <c r="A5" s="2"/>
      <c r="B5" s="2"/>
      <c r="C5" s="2"/>
      <c r="D5" s="2"/>
      <c r="E5" s="2"/>
      <c r="F5" s="2"/>
      <c r="I5" s="14"/>
      <c r="J5" s="14"/>
      <c r="K5" s="9"/>
      <c r="L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</row>
    <row r="6" spans="1:47" x14ac:dyDescent="0.5">
      <c r="A6" s="2"/>
      <c r="B6" s="2"/>
      <c r="C6" s="2"/>
      <c r="D6" s="2"/>
      <c r="E6" s="2"/>
      <c r="F6" s="2"/>
      <c r="I6" s="14"/>
      <c r="J6" s="14"/>
      <c r="K6" s="9"/>
      <c r="L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</row>
    <row r="7" spans="1:47" x14ac:dyDescent="0.5">
      <c r="A7" s="2"/>
      <c r="B7" s="2"/>
      <c r="C7" s="2"/>
      <c r="D7" s="2"/>
      <c r="E7" s="2"/>
      <c r="F7" s="2"/>
      <c r="I7" s="14"/>
      <c r="J7" s="14"/>
      <c r="K7" s="9"/>
      <c r="L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</row>
    <row r="8" spans="1:47" x14ac:dyDescent="0.5">
      <c r="A8" s="2"/>
      <c r="B8" s="2"/>
      <c r="C8" s="2"/>
      <c r="D8" s="2"/>
      <c r="E8" s="2"/>
      <c r="F8" s="2"/>
      <c r="I8" s="14"/>
      <c r="J8" s="14"/>
      <c r="K8" s="9"/>
      <c r="L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</row>
    <row r="9" spans="1:47" x14ac:dyDescent="0.5">
      <c r="A9" s="2"/>
      <c r="B9" s="2"/>
      <c r="C9" s="2"/>
      <c r="D9" s="2"/>
      <c r="E9" s="2"/>
      <c r="F9" s="2"/>
      <c r="I9" s="14"/>
      <c r="J9" s="14"/>
      <c r="K9" s="9"/>
      <c r="L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</row>
    <row r="10" spans="1:47" x14ac:dyDescent="0.5">
      <c r="A10" s="2"/>
      <c r="B10" s="2"/>
      <c r="C10" s="2"/>
      <c r="D10" s="2"/>
      <c r="E10" s="2"/>
      <c r="F10" s="2"/>
      <c r="I10" s="14"/>
      <c r="J10" s="14"/>
      <c r="K10" s="9"/>
      <c r="L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</row>
    <row r="11" spans="1:47" x14ac:dyDescent="0.5">
      <c r="A11" s="2"/>
      <c r="B11" s="2"/>
      <c r="C11" s="2"/>
      <c r="D11" s="2"/>
      <c r="E11" s="2"/>
      <c r="F11" s="2"/>
      <c r="I11" s="14"/>
      <c r="J11" s="14"/>
      <c r="K11" s="9"/>
      <c r="L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</row>
    <row r="12" spans="1:47" x14ac:dyDescent="0.5">
      <c r="A12" s="2"/>
      <c r="B12" s="2"/>
      <c r="C12" s="2"/>
      <c r="D12" s="2"/>
      <c r="E12" s="2"/>
      <c r="F12" s="2"/>
      <c r="I12" s="14"/>
      <c r="J12" s="14"/>
      <c r="K12" s="9"/>
      <c r="L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</row>
    <row r="13" spans="1:47" x14ac:dyDescent="0.5">
      <c r="A13" s="2"/>
      <c r="B13" s="2"/>
      <c r="C13" s="2"/>
      <c r="D13" s="2"/>
      <c r="E13" s="2"/>
      <c r="F13" s="2"/>
      <c r="I13" s="14"/>
      <c r="J13" s="14"/>
      <c r="K13" s="9"/>
      <c r="L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</row>
    <row r="14" spans="1:47" x14ac:dyDescent="0.5">
      <c r="A14" s="2"/>
      <c r="B14" s="2"/>
      <c r="C14" s="2"/>
      <c r="D14" s="2"/>
      <c r="E14" s="2"/>
      <c r="F14" s="2"/>
      <c r="I14" s="14"/>
      <c r="J14" s="14"/>
      <c r="K14" s="9"/>
      <c r="L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</row>
    <row r="15" spans="1:47" x14ac:dyDescent="0.5">
      <c r="A15" s="2"/>
      <c r="B15" s="2"/>
      <c r="C15" s="2"/>
      <c r="D15" s="2"/>
      <c r="E15" s="2"/>
      <c r="F15" s="2"/>
      <c r="I15" s="14"/>
      <c r="J15" s="14"/>
      <c r="K15" s="9"/>
      <c r="L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</row>
    <row r="16" spans="1:47" x14ac:dyDescent="0.5">
      <c r="A16" s="2"/>
      <c r="B16" s="2"/>
      <c r="C16" s="2"/>
      <c r="D16" s="2"/>
      <c r="E16" s="2"/>
      <c r="F16" s="2"/>
      <c r="I16" s="14"/>
      <c r="J16" s="14"/>
      <c r="K16" s="9"/>
      <c r="L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</row>
    <row r="17" spans="1:47" x14ac:dyDescent="0.5">
      <c r="A17" s="2"/>
      <c r="B17" s="2"/>
      <c r="C17" s="2"/>
      <c r="D17" s="2"/>
      <c r="E17" s="2"/>
      <c r="F17" s="2"/>
      <c r="I17" s="14"/>
      <c r="J17" s="14"/>
      <c r="K17" s="9"/>
      <c r="L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</row>
    <row r="18" spans="1:47" x14ac:dyDescent="0.5">
      <c r="A18" s="2"/>
      <c r="B18" s="2"/>
      <c r="C18" s="2"/>
      <c r="D18" s="2"/>
      <c r="E18" s="2"/>
      <c r="F18" s="2"/>
      <c r="I18" s="14"/>
      <c r="J18" s="14"/>
      <c r="K18" s="9"/>
      <c r="L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</row>
    <row r="19" spans="1:47" x14ac:dyDescent="0.5">
      <c r="A19" s="2"/>
      <c r="B19" s="2"/>
      <c r="C19" s="2"/>
      <c r="D19" s="2"/>
      <c r="E19" s="2"/>
      <c r="F19" s="2"/>
      <c r="I19" s="14"/>
      <c r="J19" s="14"/>
      <c r="K19" s="9"/>
      <c r="L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</row>
    <row r="20" spans="1:47" x14ac:dyDescent="0.5">
      <c r="A20" s="2"/>
      <c r="B20" s="2"/>
      <c r="C20" s="2"/>
      <c r="D20" s="2"/>
      <c r="E20" s="2"/>
      <c r="F20" s="2"/>
      <c r="I20" s="14"/>
      <c r="J20" s="14"/>
      <c r="K20" s="9"/>
      <c r="L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</row>
    <row r="21" spans="1:47" x14ac:dyDescent="0.5">
      <c r="A21" s="2"/>
      <c r="B21" s="2"/>
      <c r="C21" s="2"/>
      <c r="D21" s="2"/>
      <c r="E21" s="2"/>
      <c r="F21" s="2"/>
      <c r="I21" s="14"/>
      <c r="J21" s="14"/>
      <c r="K21" s="9"/>
      <c r="L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</row>
    <row r="22" spans="1:47" x14ac:dyDescent="0.5">
      <c r="A22" s="2"/>
      <c r="B22" s="2"/>
      <c r="C22" s="2"/>
      <c r="D22" s="2"/>
      <c r="E22" s="2"/>
      <c r="F22" s="2"/>
      <c r="I22" s="14"/>
      <c r="J22" s="14"/>
      <c r="K22" s="9"/>
      <c r="L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</row>
    <row r="23" spans="1:47" x14ac:dyDescent="0.5">
      <c r="A23" s="2"/>
      <c r="B23" s="2"/>
      <c r="C23" s="2"/>
      <c r="D23" s="2"/>
      <c r="E23" s="2"/>
      <c r="F23" s="2"/>
      <c r="I23" s="14"/>
      <c r="J23" s="14"/>
      <c r="K23" s="9"/>
      <c r="L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x14ac:dyDescent="0.5">
      <c r="A24" s="2"/>
      <c r="B24" s="2"/>
      <c r="C24" s="2"/>
      <c r="D24" s="2"/>
      <c r="E24" s="2"/>
      <c r="F24" s="2"/>
      <c r="I24" s="14"/>
      <c r="J24" s="14"/>
      <c r="K24" s="9"/>
      <c r="L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</row>
    <row r="25" spans="1:47" x14ac:dyDescent="0.5">
      <c r="A25" s="2"/>
      <c r="B25" s="2"/>
      <c r="C25" s="2"/>
      <c r="D25" s="2"/>
      <c r="E25" s="2"/>
      <c r="F25" s="2"/>
      <c r="I25" s="14"/>
      <c r="J25" s="14"/>
      <c r="K25" s="9"/>
      <c r="L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</row>
    <row r="26" spans="1:47" x14ac:dyDescent="0.5">
      <c r="A26" s="2"/>
      <c r="B26" s="2"/>
      <c r="C26" s="2"/>
      <c r="D26" s="2"/>
      <c r="E26" s="2"/>
      <c r="F26" s="2"/>
      <c r="I26" s="14"/>
      <c r="J26" s="14"/>
      <c r="K26" s="9"/>
      <c r="L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</row>
    <row r="27" spans="1:47" x14ac:dyDescent="0.5">
      <c r="A27" s="2"/>
      <c r="B27" s="2"/>
      <c r="C27" s="2"/>
      <c r="D27" s="2"/>
      <c r="E27" s="2"/>
      <c r="F27" s="2"/>
      <c r="I27" s="14"/>
      <c r="J27" s="14"/>
      <c r="K27" s="9"/>
      <c r="L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47" x14ac:dyDescent="0.5">
      <c r="A28" s="2"/>
      <c r="B28" s="2"/>
      <c r="C28" s="2"/>
      <c r="D28" s="2"/>
      <c r="E28" s="2"/>
      <c r="F28" s="2"/>
      <c r="I28" s="14"/>
      <c r="J28" s="14"/>
      <c r="K28" s="9"/>
      <c r="L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</row>
    <row r="29" spans="1:47" x14ac:dyDescent="0.5">
      <c r="A29" s="2"/>
      <c r="B29" s="2"/>
      <c r="C29" s="2"/>
      <c r="D29" s="2"/>
      <c r="E29" s="2"/>
      <c r="F29" s="2"/>
      <c r="I29" s="14"/>
      <c r="J29" s="14"/>
      <c r="K29" s="9"/>
      <c r="L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47" x14ac:dyDescent="0.5">
      <c r="A30" s="2"/>
      <c r="B30" s="2"/>
      <c r="C30" s="2"/>
      <c r="D30" s="2"/>
      <c r="E30" s="2"/>
      <c r="F30" s="2"/>
      <c r="I30" s="14"/>
      <c r="J30" s="14"/>
      <c r="K30" s="9"/>
      <c r="L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</row>
    <row r="31" spans="1:47" x14ac:dyDescent="0.5">
      <c r="A31" s="2"/>
      <c r="B31" s="2"/>
      <c r="C31" s="2"/>
      <c r="D31" s="2"/>
      <c r="E31" s="2"/>
      <c r="F31" s="2"/>
      <c r="I31" s="14"/>
      <c r="J31" s="14"/>
      <c r="K31" s="9"/>
      <c r="L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</row>
    <row r="32" spans="1:47" x14ac:dyDescent="0.5">
      <c r="A32" s="2"/>
      <c r="B32" s="2"/>
      <c r="C32" s="2"/>
      <c r="D32" s="2"/>
      <c r="E32" s="2"/>
      <c r="F32" s="2"/>
      <c r="I32" s="14"/>
      <c r="J32" s="14"/>
      <c r="K32" s="9"/>
      <c r="L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</row>
    <row r="33" spans="1:47" x14ac:dyDescent="0.5">
      <c r="A33" s="2"/>
      <c r="B33" s="2"/>
      <c r="C33" s="2"/>
      <c r="D33" s="2"/>
      <c r="E33" s="2"/>
      <c r="F33" s="2"/>
      <c r="I33" s="14"/>
      <c r="J33" s="14"/>
      <c r="K33" s="9"/>
      <c r="L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</row>
    <row r="34" spans="1:47" x14ac:dyDescent="0.5">
      <c r="A34" s="2"/>
      <c r="B34" s="2"/>
      <c r="C34" s="2"/>
      <c r="D34" s="2"/>
      <c r="E34" s="2"/>
      <c r="F34" s="2"/>
      <c r="I34" s="14"/>
      <c r="J34" s="14"/>
      <c r="K34" s="9"/>
      <c r="L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</row>
    <row r="35" spans="1:47" x14ac:dyDescent="0.5">
      <c r="A35" s="2"/>
      <c r="B35" s="2"/>
      <c r="C35" s="2"/>
      <c r="D35" s="2"/>
      <c r="E35" s="2"/>
      <c r="F35" s="2"/>
      <c r="I35" s="14"/>
      <c r="J35" s="14"/>
      <c r="K35" s="9"/>
      <c r="L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</row>
    <row r="36" spans="1:47" x14ac:dyDescent="0.5">
      <c r="A36" s="2"/>
      <c r="B36" s="2"/>
      <c r="C36" s="2"/>
      <c r="D36" s="2"/>
      <c r="E36" s="2"/>
      <c r="F36" s="2"/>
      <c r="I36" s="14"/>
      <c r="J36" s="14"/>
      <c r="K36" s="9"/>
      <c r="L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</row>
    <row r="37" spans="1:47" x14ac:dyDescent="0.5">
      <c r="A37" s="2"/>
      <c r="B37" s="2"/>
      <c r="C37" s="2"/>
      <c r="D37" s="2"/>
      <c r="E37" s="2"/>
      <c r="F37" s="2"/>
      <c r="I37" s="14"/>
      <c r="J37" s="14"/>
      <c r="K37" s="9"/>
      <c r="L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</row>
    <row r="38" spans="1:47" x14ac:dyDescent="0.5">
      <c r="A38" s="2"/>
      <c r="B38" s="2"/>
      <c r="C38" s="2"/>
      <c r="D38" s="2"/>
      <c r="E38" s="2"/>
      <c r="F38" s="2"/>
      <c r="I38" s="14"/>
      <c r="J38" s="14"/>
      <c r="K38" s="9"/>
      <c r="L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</row>
    <row r="39" spans="1:47" x14ac:dyDescent="0.5">
      <c r="A39" s="2"/>
      <c r="B39" s="2"/>
      <c r="C39" s="2"/>
      <c r="D39" s="2"/>
      <c r="E39" s="2"/>
      <c r="F39" s="2"/>
      <c r="I39" s="14"/>
      <c r="J39" s="14"/>
      <c r="K39" s="9"/>
      <c r="L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</row>
    <row r="40" spans="1:47" x14ac:dyDescent="0.5">
      <c r="A40" s="2"/>
      <c r="B40" s="2"/>
      <c r="C40" s="2"/>
      <c r="D40" s="2"/>
      <c r="E40" s="2"/>
      <c r="F40" s="2"/>
      <c r="I40" s="14"/>
      <c r="J40" s="14"/>
      <c r="K40" s="9"/>
      <c r="L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</row>
    <row r="41" spans="1:47" x14ac:dyDescent="0.5">
      <c r="A41" s="2"/>
      <c r="B41" s="2"/>
      <c r="C41" s="2"/>
      <c r="D41" s="2"/>
      <c r="E41" s="2"/>
      <c r="F41" s="2"/>
      <c r="I41" s="14"/>
      <c r="J41" s="14"/>
      <c r="K41" s="9"/>
      <c r="L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</row>
    <row r="42" spans="1:47" x14ac:dyDescent="0.5">
      <c r="A42" s="2"/>
      <c r="B42" s="2"/>
      <c r="C42" s="2"/>
      <c r="D42" s="2"/>
      <c r="E42" s="2"/>
      <c r="F42" s="2"/>
      <c r="I42" s="14"/>
      <c r="J42" s="14"/>
      <c r="K42" s="9"/>
      <c r="L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</row>
    <row r="43" spans="1:47" x14ac:dyDescent="0.5">
      <c r="A43" s="2"/>
      <c r="B43" s="2"/>
      <c r="C43" s="2"/>
      <c r="D43" s="2"/>
      <c r="E43" s="2"/>
      <c r="F43" s="2"/>
      <c r="I43" s="14"/>
      <c r="J43" s="14"/>
      <c r="K43" s="9"/>
      <c r="L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</row>
    <row r="44" spans="1:47" x14ac:dyDescent="0.5">
      <c r="A44" s="2"/>
      <c r="B44" s="2"/>
      <c r="C44" s="2"/>
      <c r="D44" s="2"/>
      <c r="E44" s="2"/>
      <c r="F44" s="2"/>
      <c r="I44" s="14"/>
      <c r="J44" s="14"/>
      <c r="K44" s="9"/>
      <c r="L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</row>
    <row r="45" spans="1:47" x14ac:dyDescent="0.5">
      <c r="A45" s="2"/>
      <c r="B45" s="2"/>
      <c r="C45" s="2"/>
      <c r="D45" s="2"/>
      <c r="E45" s="2"/>
      <c r="F45" s="2"/>
      <c r="I45" s="14"/>
      <c r="J45" s="14"/>
      <c r="K45" s="9"/>
      <c r="L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</row>
    <row r="46" spans="1:47" x14ac:dyDescent="0.5">
      <c r="A46" s="2"/>
      <c r="B46" s="2"/>
      <c r="C46" s="2"/>
      <c r="D46" s="2"/>
      <c r="E46" s="2"/>
      <c r="F46" s="2"/>
      <c r="I46" s="14"/>
      <c r="J46" s="14"/>
      <c r="K46" s="9"/>
      <c r="L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</row>
    <row r="47" spans="1:47" x14ac:dyDescent="0.5">
      <c r="A47" s="2"/>
      <c r="B47" s="2"/>
      <c r="C47" s="2"/>
      <c r="D47" s="2"/>
      <c r="E47" s="2"/>
      <c r="F47" s="2"/>
      <c r="I47" s="14"/>
      <c r="J47" s="14"/>
      <c r="K47" s="9"/>
      <c r="L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</row>
    <row r="48" spans="1:47" x14ac:dyDescent="0.5">
      <c r="A48" s="2"/>
      <c r="B48" s="2"/>
      <c r="C48" s="2"/>
      <c r="D48" s="2"/>
      <c r="E48" s="2"/>
      <c r="F48" s="2"/>
      <c r="I48" s="14"/>
      <c r="J48" s="14"/>
      <c r="K48" s="9"/>
      <c r="L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</row>
    <row r="49" spans="1:47" x14ac:dyDescent="0.5">
      <c r="A49" s="2"/>
      <c r="B49" s="2"/>
      <c r="C49" s="2"/>
      <c r="D49" s="2"/>
      <c r="E49" s="2"/>
      <c r="F49" s="2"/>
      <c r="I49" s="14"/>
      <c r="J49" s="14"/>
      <c r="K49" s="9"/>
      <c r="L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</row>
    <row r="50" spans="1:47" x14ac:dyDescent="0.5">
      <c r="A50" s="2"/>
      <c r="B50" s="2"/>
      <c r="C50" s="2"/>
      <c r="D50" s="2"/>
      <c r="E50" s="2"/>
      <c r="F50" s="2"/>
      <c r="I50" s="14"/>
      <c r="J50" s="14"/>
      <c r="K50" s="9"/>
      <c r="L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</row>
    <row r="51" spans="1:47" x14ac:dyDescent="0.5">
      <c r="A51" s="2"/>
      <c r="B51" s="2"/>
      <c r="C51" s="2"/>
      <c r="D51" s="2"/>
      <c r="E51" s="2"/>
      <c r="F51" s="2"/>
      <c r="I51" s="14"/>
      <c r="J51" s="14"/>
      <c r="K51" s="9"/>
      <c r="L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</row>
    <row r="52" spans="1:47" x14ac:dyDescent="0.5">
      <c r="A52" s="2"/>
      <c r="B52" s="2"/>
      <c r="C52" s="2"/>
      <c r="D52" s="2"/>
      <c r="E52" s="2"/>
      <c r="F52" s="2"/>
      <c r="I52" s="14"/>
      <c r="J52" s="14"/>
      <c r="K52" s="9"/>
      <c r="L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</row>
    <row r="53" spans="1:47" x14ac:dyDescent="0.5">
      <c r="A53" s="2"/>
      <c r="B53" s="2"/>
      <c r="C53" s="2"/>
      <c r="D53" s="2"/>
      <c r="E53" s="2"/>
      <c r="F53" s="2"/>
      <c r="I53" s="14"/>
      <c r="J53" s="14"/>
      <c r="K53" s="9"/>
      <c r="L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</row>
    <row r="54" spans="1:47" x14ac:dyDescent="0.5">
      <c r="A54" s="2"/>
      <c r="B54" s="2"/>
      <c r="C54" s="2"/>
      <c r="D54" s="2"/>
      <c r="E54" s="2"/>
      <c r="F54" s="2"/>
      <c r="I54" s="14"/>
      <c r="J54" s="14"/>
      <c r="K54" s="9"/>
      <c r="L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</row>
  </sheetData>
  <phoneticPr fontId="3"/>
  <dataValidations count="2">
    <dataValidation type="list" allowBlank="1" showInputMessage="1" showErrorMessage="1" sqref="A5:A54" xr:uid="{6FFF2F1C-85E6-41A8-9CF9-BC6DD8EF6B49}">
      <formula1>"Done,What-if"</formula1>
    </dataValidation>
    <dataValidation type="list" allowBlank="1" showInputMessage="1" showErrorMessage="1" sqref="E5:E54" xr:uid="{8E943D4B-32BF-4147-927C-DC2396C597A2}">
      <formula1>"PAY,REC"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5377-61BA-4024-919C-BD0ABB619065}">
  <sheetPr codeName="Sheet11">
    <tabColor rgb="FFFFC000"/>
  </sheetPr>
  <dimension ref="A1:H54"/>
  <sheetViews>
    <sheetView workbookViewId="0"/>
  </sheetViews>
  <sheetFormatPr defaultRowHeight="16.5" x14ac:dyDescent="0.5"/>
  <cols>
    <col min="1" max="1" width="24.6328125" customWidth="1"/>
    <col min="2" max="4" width="14.6328125" customWidth="1"/>
    <col min="5" max="5" width="30.6328125" customWidth="1"/>
    <col min="7" max="7" width="18.6328125" customWidth="1"/>
    <col min="8" max="8" width="12.6328125" customWidth="1"/>
  </cols>
  <sheetData>
    <row r="1" spans="1:8" ht="22.5" x14ac:dyDescent="0.5">
      <c r="A1" s="1" t="s">
        <v>99</v>
      </c>
    </row>
    <row r="2" spans="1:8" x14ac:dyDescent="0.5">
      <c r="A2" s="4" t="s">
        <v>100</v>
      </c>
    </row>
    <row r="4" spans="1:8" x14ac:dyDescent="0.5">
      <c r="A4" s="7" t="s">
        <v>101</v>
      </c>
      <c r="B4" s="7" t="s">
        <v>102</v>
      </c>
      <c r="C4" s="7" t="s">
        <v>103</v>
      </c>
      <c r="D4" s="7" t="s">
        <v>104</v>
      </c>
      <c r="E4" s="7" t="s">
        <v>91</v>
      </c>
      <c r="G4" s="7" t="s">
        <v>102</v>
      </c>
      <c r="H4" s="7" t="s">
        <v>103</v>
      </c>
    </row>
    <row r="5" spans="1:8" x14ac:dyDescent="0.5">
      <c r="A5" s="2"/>
      <c r="B5" s="2"/>
      <c r="C5" s="8"/>
      <c r="D5" s="2"/>
      <c r="E5" s="2"/>
      <c r="G5" cm="1">
        <f t="array" aca="1" ref="G5:G10" ca="1">{"Carry/Theta";"Basis";"Fixing";"Vega (bond options)";"Futures";"Other"}</f>
      </c>
      <c r="H5" s="9" cm="1">
        <f t="array" aca="1" ref="H5:H10" ca="1">SUMIFS(C5:C54,B5:B54,_xlfn.ANCHORARRAY(G5))</f>
      </c>
    </row>
    <row r="6" spans="1:8" x14ac:dyDescent="0.5">
      <c r="A6" s="2"/>
      <c r="B6" s="2"/>
      <c r="C6" s="8"/>
      <c r="D6" s="2"/>
      <c r="E6" s="2"/>
      <c r="G6">
        <f ca="1"/>
      </c>
      <c r="H6" s="9">
        <f ca="1"/>
      </c>
    </row>
    <row r="7" spans="1:8" x14ac:dyDescent="0.5">
      <c r="A7" s="2"/>
      <c r="B7" s="2"/>
      <c r="C7" s="8"/>
      <c r="D7" s="2"/>
      <c r="E7" s="2"/>
      <c r="G7">
        <f ca="1"/>
      </c>
      <c r="H7" s="9">
        <f ca="1"/>
      </c>
    </row>
    <row r="8" spans="1:8" x14ac:dyDescent="0.5">
      <c r="A8" s="2"/>
      <c r="B8" s="2"/>
      <c r="C8" s="8"/>
      <c r="D8" s="2"/>
      <c r="E8" s="2"/>
      <c r="G8">
        <f ca="1"/>
      </c>
      <c r="H8" s="9">
        <f ca="1"/>
      </c>
    </row>
    <row r="9" spans="1:8" x14ac:dyDescent="0.5">
      <c r="A9" s="2"/>
      <c r="B9" s="2"/>
      <c r="C9" s="8"/>
      <c r="D9" s="2"/>
      <c r="E9" s="2"/>
      <c r="G9">
        <f ca="1"/>
      </c>
      <c r="H9" s="9">
        <f ca="1"/>
      </c>
    </row>
    <row r="10" spans="1:8" x14ac:dyDescent="0.5">
      <c r="A10" s="2"/>
      <c r="B10" s="2"/>
      <c r="C10" s="8"/>
      <c r="D10" s="2"/>
      <c r="E10" s="2"/>
      <c r="G10">
        <f ca="1"/>
      </c>
      <c r="H10" s="9">
        <f ca="1"/>
      </c>
    </row>
    <row r="11" spans="1:8" x14ac:dyDescent="0.5">
      <c r="A11" s="2"/>
      <c r="B11" s="2"/>
      <c r="C11" s="8"/>
      <c r="D11" s="2"/>
      <c r="E11" s="2"/>
    </row>
    <row r="12" spans="1:8" x14ac:dyDescent="0.5">
      <c r="A12" s="2"/>
      <c r="B12" s="2"/>
      <c r="C12" s="8"/>
      <c r="D12" s="2"/>
      <c r="E12" s="2"/>
    </row>
    <row r="13" spans="1:8" x14ac:dyDescent="0.5">
      <c r="A13" s="2"/>
      <c r="B13" s="2"/>
      <c r="C13" s="8"/>
      <c r="D13" s="2"/>
      <c r="E13" s="2"/>
    </row>
    <row r="14" spans="1:8" x14ac:dyDescent="0.5">
      <c r="A14" s="2"/>
      <c r="B14" s="2"/>
      <c r="C14" s="8"/>
      <c r="D14" s="2"/>
      <c r="E14" s="2"/>
    </row>
    <row r="15" spans="1:8" x14ac:dyDescent="0.5">
      <c r="A15" s="2"/>
      <c r="B15" s="2"/>
      <c r="C15" s="8"/>
      <c r="D15" s="2"/>
      <c r="E15" s="2"/>
    </row>
    <row r="16" spans="1:8" x14ac:dyDescent="0.5">
      <c r="A16" s="2"/>
      <c r="B16" s="2"/>
      <c r="C16" s="8"/>
      <c r="D16" s="2"/>
      <c r="E16" s="2"/>
    </row>
    <row r="17" spans="1:5" x14ac:dyDescent="0.5">
      <c r="A17" s="2"/>
      <c r="B17" s="2"/>
      <c r="C17" s="8"/>
      <c r="D17" s="2"/>
      <c r="E17" s="2"/>
    </row>
    <row r="18" spans="1:5" x14ac:dyDescent="0.5">
      <c r="A18" s="2"/>
      <c r="B18" s="2"/>
      <c r="C18" s="8"/>
      <c r="D18" s="2"/>
      <c r="E18" s="2"/>
    </row>
    <row r="19" spans="1:5" x14ac:dyDescent="0.5">
      <c r="A19" s="2"/>
      <c r="B19" s="2"/>
      <c r="C19" s="8"/>
      <c r="D19" s="2"/>
      <c r="E19" s="2"/>
    </row>
    <row r="20" spans="1:5" x14ac:dyDescent="0.5">
      <c r="A20" s="2"/>
      <c r="B20" s="2"/>
      <c r="C20" s="8"/>
      <c r="D20" s="2"/>
      <c r="E20" s="2"/>
    </row>
    <row r="21" spans="1:5" x14ac:dyDescent="0.5">
      <c r="A21" s="2"/>
      <c r="B21" s="2"/>
      <c r="C21" s="8"/>
      <c r="D21" s="2"/>
      <c r="E21" s="2"/>
    </row>
    <row r="22" spans="1:5" x14ac:dyDescent="0.5">
      <c r="A22" s="2"/>
      <c r="B22" s="2"/>
      <c r="C22" s="8"/>
      <c r="D22" s="2"/>
      <c r="E22" s="2"/>
    </row>
    <row r="23" spans="1:5" x14ac:dyDescent="0.5">
      <c r="A23" s="2"/>
      <c r="B23" s="2"/>
      <c r="C23" s="8"/>
      <c r="D23" s="2"/>
      <c r="E23" s="2"/>
    </row>
    <row r="24" spans="1:5" x14ac:dyDescent="0.5">
      <c r="A24" s="2"/>
      <c r="B24" s="2"/>
      <c r="C24" s="8"/>
      <c r="D24" s="2"/>
      <c r="E24" s="2"/>
    </row>
    <row r="25" spans="1:5" x14ac:dyDescent="0.5">
      <c r="A25" s="2"/>
      <c r="B25" s="2"/>
      <c r="C25" s="8"/>
      <c r="D25" s="2"/>
      <c r="E25" s="2"/>
    </row>
    <row r="26" spans="1:5" x14ac:dyDescent="0.5">
      <c r="A26" s="2"/>
      <c r="B26" s="2"/>
      <c r="C26" s="8"/>
      <c r="D26" s="2"/>
      <c r="E26" s="2"/>
    </row>
    <row r="27" spans="1:5" x14ac:dyDescent="0.5">
      <c r="A27" s="2"/>
      <c r="B27" s="2"/>
      <c r="C27" s="8"/>
      <c r="D27" s="2"/>
      <c r="E27" s="2"/>
    </row>
    <row r="28" spans="1:5" x14ac:dyDescent="0.5">
      <c r="A28" s="2"/>
      <c r="B28" s="2"/>
      <c r="C28" s="8"/>
      <c r="D28" s="2"/>
      <c r="E28" s="2"/>
    </row>
    <row r="29" spans="1:5" x14ac:dyDescent="0.5">
      <c r="A29" s="2"/>
      <c r="B29" s="2"/>
      <c r="C29" s="8"/>
      <c r="D29" s="2"/>
      <c r="E29" s="2"/>
    </row>
    <row r="30" spans="1:5" x14ac:dyDescent="0.5">
      <c r="A30" s="2"/>
      <c r="B30" s="2"/>
      <c r="C30" s="8"/>
      <c r="D30" s="2"/>
      <c r="E30" s="2"/>
    </row>
    <row r="31" spans="1:5" x14ac:dyDescent="0.5">
      <c r="A31" s="2"/>
      <c r="B31" s="2"/>
      <c r="C31" s="8"/>
      <c r="D31" s="2"/>
      <c r="E31" s="2"/>
    </row>
    <row r="32" spans="1:5" x14ac:dyDescent="0.5">
      <c r="A32" s="2"/>
      <c r="B32" s="2"/>
      <c r="C32" s="8"/>
      <c r="D32" s="2"/>
      <c r="E32" s="2"/>
    </row>
    <row r="33" spans="1:5" x14ac:dyDescent="0.5">
      <c r="A33" s="2"/>
      <c r="B33" s="2"/>
      <c r="C33" s="8"/>
      <c r="D33" s="2"/>
      <c r="E33" s="2"/>
    </row>
    <row r="34" spans="1:5" x14ac:dyDescent="0.5">
      <c r="A34" s="2"/>
      <c r="B34" s="2"/>
      <c r="C34" s="8"/>
      <c r="D34" s="2"/>
      <c r="E34" s="2"/>
    </row>
    <row r="35" spans="1:5" x14ac:dyDescent="0.5">
      <c r="A35" s="2"/>
      <c r="B35" s="2"/>
      <c r="C35" s="8"/>
      <c r="D35" s="2"/>
      <c r="E35" s="2"/>
    </row>
    <row r="36" spans="1:5" x14ac:dyDescent="0.5">
      <c r="A36" s="2"/>
      <c r="B36" s="2"/>
      <c r="C36" s="8"/>
      <c r="D36" s="2"/>
      <c r="E36" s="2"/>
    </row>
    <row r="37" spans="1:5" x14ac:dyDescent="0.5">
      <c r="A37" s="2"/>
      <c r="B37" s="2"/>
      <c r="C37" s="8"/>
      <c r="D37" s="2"/>
      <c r="E37" s="2"/>
    </row>
    <row r="38" spans="1:5" x14ac:dyDescent="0.5">
      <c r="A38" s="2"/>
      <c r="B38" s="2"/>
      <c r="C38" s="8"/>
      <c r="D38" s="2"/>
      <c r="E38" s="2"/>
    </row>
    <row r="39" spans="1:5" x14ac:dyDescent="0.5">
      <c r="A39" s="2"/>
      <c r="B39" s="2"/>
      <c r="C39" s="8"/>
      <c r="D39" s="2"/>
      <c r="E39" s="2"/>
    </row>
    <row r="40" spans="1:5" x14ac:dyDescent="0.5">
      <c r="A40" s="2"/>
      <c r="B40" s="2"/>
      <c r="C40" s="8"/>
      <c r="D40" s="2"/>
      <c r="E40" s="2"/>
    </row>
    <row r="41" spans="1:5" x14ac:dyDescent="0.5">
      <c r="A41" s="2"/>
      <c r="B41" s="2"/>
      <c r="C41" s="8"/>
      <c r="D41" s="2"/>
      <c r="E41" s="2"/>
    </row>
    <row r="42" spans="1:5" x14ac:dyDescent="0.5">
      <c r="A42" s="2"/>
      <c r="B42" s="2"/>
      <c r="C42" s="8"/>
      <c r="D42" s="2"/>
      <c r="E42" s="2"/>
    </row>
    <row r="43" spans="1:5" x14ac:dyDescent="0.5">
      <c r="A43" s="2"/>
      <c r="B43" s="2"/>
      <c r="C43" s="8"/>
      <c r="D43" s="2"/>
      <c r="E43" s="2"/>
    </row>
    <row r="44" spans="1:5" x14ac:dyDescent="0.5">
      <c r="A44" s="2"/>
      <c r="B44" s="2"/>
      <c r="C44" s="8"/>
      <c r="D44" s="2"/>
      <c r="E44" s="2"/>
    </row>
    <row r="45" spans="1:5" x14ac:dyDescent="0.5">
      <c r="A45" s="2"/>
      <c r="B45" s="2"/>
      <c r="C45" s="8"/>
      <c r="D45" s="2"/>
      <c r="E45" s="2"/>
    </row>
    <row r="46" spans="1:5" x14ac:dyDescent="0.5">
      <c r="A46" s="2"/>
      <c r="B46" s="2"/>
      <c r="C46" s="8"/>
      <c r="D46" s="2"/>
      <c r="E46" s="2"/>
    </row>
    <row r="47" spans="1:5" x14ac:dyDescent="0.5">
      <c r="A47" s="2"/>
      <c r="B47" s="2"/>
      <c r="C47" s="8"/>
      <c r="D47" s="2"/>
      <c r="E47" s="2"/>
    </row>
    <row r="48" spans="1:5" x14ac:dyDescent="0.5">
      <c r="A48" s="2"/>
      <c r="B48" s="2"/>
      <c r="C48" s="8"/>
      <c r="D48" s="2"/>
      <c r="E48" s="2"/>
    </row>
    <row r="49" spans="1:5" x14ac:dyDescent="0.5">
      <c r="A49" s="2"/>
      <c r="B49" s="2"/>
      <c r="C49" s="8"/>
      <c r="D49" s="2"/>
      <c r="E49" s="2"/>
    </row>
    <row r="50" spans="1:5" x14ac:dyDescent="0.5">
      <c r="A50" s="2"/>
      <c r="B50" s="2"/>
      <c r="C50" s="8"/>
      <c r="D50" s="2"/>
      <c r="E50" s="2"/>
    </row>
    <row r="51" spans="1:5" x14ac:dyDescent="0.5">
      <c r="A51" s="2"/>
      <c r="B51" s="2"/>
      <c r="C51" s="8"/>
      <c r="D51" s="2"/>
      <c r="E51" s="2"/>
    </row>
    <row r="52" spans="1:5" x14ac:dyDescent="0.5">
      <c r="A52" s="2"/>
      <c r="B52" s="2"/>
      <c r="C52" s="8"/>
      <c r="D52" s="2"/>
      <c r="E52" s="2"/>
    </row>
    <row r="53" spans="1:5" x14ac:dyDescent="0.5">
      <c r="A53" s="2"/>
      <c r="B53" s="2"/>
      <c r="C53" s="8"/>
      <c r="D53" s="2"/>
      <c r="E53" s="2"/>
    </row>
    <row r="54" spans="1:5" x14ac:dyDescent="0.5">
      <c r="A54" s="2"/>
      <c r="B54" s="2"/>
      <c r="C54" s="8"/>
      <c r="D54" s="2"/>
      <c r="E54" s="2"/>
    </row>
  </sheetData>
  <phoneticPr fontId="3"/>
  <dataValidations count="1">
    <dataValidation type="list" allowBlank="1" showInputMessage="1" showErrorMessage="1" sqref="B5:B54" xr:uid="{FCB012A7-403A-4542-B290-0A8C161545B5}">
      <formula1>"Carry/Theta,Basis,Fixing,Vega (bond options),Futures,Other"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38E28-9EDF-4A0B-8373-9E59C48BF612}">
  <sheetPr codeName="Sheet12">
    <tabColor rgb="FF808080"/>
  </sheetPr>
  <dimension ref="A1:Q202"/>
  <sheetViews>
    <sheetView workbookViewId="0">
      <selection activeCell="J16" sqref="J16"/>
    </sheetView>
  </sheetViews>
  <sheetFormatPr defaultRowHeight="16.5" x14ac:dyDescent="0.5"/>
  <cols>
    <col min="1" max="1" width="16.6328125" customWidth="1"/>
    <col min="3" max="3" width="9.6328125" customWidth="1"/>
    <col min="6" max="17" width="9.6328125" customWidth="1"/>
  </cols>
  <sheetData>
    <row r="1" spans="1:17" ht="22.5" x14ac:dyDescent="0.5">
      <c r="A1" s="1" t="s">
        <v>0</v>
      </c>
      <c r="B1" s="2" t="s">
        <v>1</v>
      </c>
      <c r="C1" t="s">
        <v>2</v>
      </c>
      <c r="D1" s="3" cm="1">
        <f t="array" aca="1" ref="D1" ca="1">LiveInfo("swap",_xlfn.ANCHORARRAY($F$11))</f>
      </c>
      <c r="E1" s="3" cm="1">
        <f t="array" aca="1" ref="E1" ca="1">LiveInfo("vol",_xlfn.ANCHORARRAY($O$11))</f>
      </c>
    </row>
    <row r="3" spans="1:17" x14ac:dyDescent="0.5">
      <c r="A3" t="s">
        <v>3</v>
      </c>
      <c r="B3" s="5"/>
      <c r="C3" s="4" t="s">
        <v>4</v>
      </c>
    </row>
    <row r="4" spans="1:17" x14ac:dyDescent="0.5">
      <c r="A4" t="s">
        <v>5</v>
      </c>
      <c r="B4" s="5"/>
      <c r="C4" s="4" t="s">
        <v>6</v>
      </c>
    </row>
    <row r="5" spans="1:17" x14ac:dyDescent="0.5">
      <c r="A5" t="s">
        <v>7</v>
      </c>
      <c r="B5" s="2">
        <v>250</v>
      </c>
      <c r="C5" s="4" t="s">
        <v>8</v>
      </c>
    </row>
    <row r="6" spans="1:17" x14ac:dyDescent="0.5">
      <c r="A6" t="s">
        <v>9</v>
      </c>
      <c r="B6" s="5"/>
      <c r="C6" s="4" t="s">
        <v>10</v>
      </c>
    </row>
    <row r="7" spans="1:17" x14ac:dyDescent="0.5">
      <c r="A7" t="s">
        <v>11</v>
      </c>
      <c r="B7" s="2">
        <v>3</v>
      </c>
      <c r="C7" s="4" t="s">
        <v>12</v>
      </c>
    </row>
    <row r="10" spans="1:17" x14ac:dyDescent="0.5">
      <c r="A10" s="7" t="s">
        <v>13</v>
      </c>
      <c r="B10" s="7" t="s">
        <v>14</v>
      </c>
      <c r="C10" s="7" t="s">
        <v>15</v>
      </c>
      <c r="D10" s="7" t="s">
        <v>16</v>
      </c>
      <c r="F10" s="7" t="s">
        <v>58</v>
      </c>
      <c r="G10" s="7" t="s">
        <v>59</v>
      </c>
      <c r="H10" s="7" t="s">
        <v>60</v>
      </c>
      <c r="I10" s="7" t="s">
        <v>61</v>
      </c>
      <c r="K10" s="7" t="s">
        <v>62</v>
      </c>
      <c r="L10" s="7" t="s">
        <v>63</v>
      </c>
      <c r="M10" s="7" t="s">
        <v>64</v>
      </c>
      <c r="O10" s="7" t="s">
        <v>65</v>
      </c>
      <c r="P10" s="7" t="s">
        <v>66</v>
      </c>
      <c r="Q10" s="7" t="s">
        <v>67</v>
      </c>
    </row>
    <row r="11" spans="1:17" x14ac:dyDescent="0.5">
      <c r="A11" t="s">
        <v>17</v>
      </c>
      <c r="B11" s="2">
        <v>1</v>
      </c>
      <c r="C11" s="2">
        <v>0</v>
      </c>
      <c r="D11" t="s">
        <v>18</v>
      </c>
      <c r="F11" cm="1">
        <f t="array" aca="1" ref="F11:I54" ca="1">IF($B$1="Fixed",LiveSnapshot("swap"),LiveQuotes("swap"))</f>
      </c>
      <c r="G11">
        <f ca="1"/>
      </c>
      <c r="H11">
        <f ca="1"/>
      </c>
      <c r="I11">
        <f ca="1"/>
      </c>
      <c r="K11" cm="1">
        <f t="array" aca="1" ref="K11:M44" ca="1">_xlfn.HSTACK(B11:B44,A11:A44,IFERROR(_xlfn.XLOOKUP(A11:A44,INDEX(_xlfn.ANCHORARRAY($F$11),,1),INDEX(_xlfn.ANCHORARRAY($F$11),,2),""),""))</f>
      </c>
      <c r="L11">
        <f ca="1"/>
      </c>
      <c r="M11">
        <f ca="1"/>
      </c>
      <c r="O11" cm="1">
        <f t="array" aca="1" ref="O11:Q202" ca="1">IF($B$1="Fixed",LiveSnapshot("vol"),LiveQuotes("vol"))</f>
      </c>
      <c r="P11">
        <f ca="1"/>
      </c>
      <c r="Q11">
        <f ca="1"/>
      </c>
    </row>
    <row r="12" spans="1:17" x14ac:dyDescent="0.5">
      <c r="A12" t="s">
        <v>19</v>
      </c>
      <c r="B12" s="2">
        <v>1</v>
      </c>
      <c r="C12" s="2">
        <v>0</v>
      </c>
      <c r="D12" t="s">
        <v>18</v>
      </c>
      <c r="F12">
        <f ca="1"/>
      </c>
      <c r="G12">
        <f ca="1"/>
      </c>
      <c r="H12">
        <f ca="1"/>
      </c>
      <c r="I12">
        <f ca="1"/>
      </c>
      <c r="K12">
        <f ca="1"/>
      </c>
      <c r="L12">
        <f ca="1"/>
      </c>
      <c r="M12">
        <f ca="1"/>
      </c>
      <c r="O12">
        <f ca="1"/>
      </c>
      <c r="P12">
        <f ca="1"/>
      </c>
      <c r="Q12">
        <f ca="1"/>
      </c>
    </row>
    <row r="13" spans="1:17" x14ac:dyDescent="0.5">
      <c r="A13" t="s">
        <v>20</v>
      </c>
      <c r="B13" s="2">
        <v>1</v>
      </c>
      <c r="C13" s="2">
        <v>1</v>
      </c>
      <c r="D13" t="s">
        <v>18</v>
      </c>
      <c r="F13">
        <f ca="1"/>
      </c>
      <c r="G13">
        <f ca="1"/>
      </c>
      <c r="H13">
        <f ca="1"/>
      </c>
      <c r="I13">
        <f ca="1"/>
      </c>
      <c r="K13">
        <f ca="1"/>
      </c>
      <c r="L13">
        <f ca="1"/>
      </c>
      <c r="M13">
        <f ca="1"/>
      </c>
      <c r="O13">
        <f ca="1"/>
      </c>
      <c r="P13">
        <f ca="1"/>
      </c>
      <c r="Q13">
        <f ca="1"/>
      </c>
    </row>
    <row r="14" spans="1:17" x14ac:dyDescent="0.5">
      <c r="A14" t="s">
        <v>21</v>
      </c>
      <c r="B14" s="2">
        <v>1</v>
      </c>
      <c r="C14" s="2">
        <v>1</v>
      </c>
      <c r="D14" t="s">
        <v>18</v>
      </c>
      <c r="F14">
        <f ca="1"/>
      </c>
      <c r="G14">
        <f ca="1"/>
      </c>
      <c r="H14">
        <f ca="1"/>
      </c>
      <c r="I14">
        <f ca="1"/>
      </c>
      <c r="K14">
        <f ca="1"/>
      </c>
      <c r="L14">
        <f ca="1"/>
      </c>
      <c r="M14">
        <f ca="1"/>
      </c>
      <c r="O14">
        <f ca="1"/>
      </c>
      <c r="P14">
        <f ca="1"/>
      </c>
      <c r="Q14">
        <f ca="1"/>
      </c>
    </row>
    <row r="15" spans="1:17" x14ac:dyDescent="0.5">
      <c r="A15" t="s">
        <v>22</v>
      </c>
      <c r="B15" s="2">
        <v>1</v>
      </c>
      <c r="C15" s="2">
        <v>1</v>
      </c>
      <c r="D15" t="s">
        <v>18</v>
      </c>
      <c r="F15">
        <f ca="1"/>
      </c>
      <c r="G15">
        <f ca="1"/>
      </c>
      <c r="H15">
        <f ca="1"/>
      </c>
      <c r="I15">
        <f ca="1"/>
      </c>
      <c r="K15">
        <f ca="1"/>
      </c>
      <c r="L15">
        <f ca="1"/>
      </c>
      <c r="M15">
        <f ca="1"/>
      </c>
      <c r="O15">
        <f ca="1"/>
      </c>
      <c r="P15">
        <f ca="1"/>
      </c>
      <c r="Q15">
        <f ca="1"/>
      </c>
    </row>
    <row r="16" spans="1:17" x14ac:dyDescent="0.5">
      <c r="A16" t="s">
        <v>23</v>
      </c>
      <c r="B16" s="2">
        <v>1</v>
      </c>
      <c r="C16" s="2">
        <v>1</v>
      </c>
      <c r="D16" t="s">
        <v>18</v>
      </c>
      <c r="F16">
        <f ca="1"/>
      </c>
      <c r="G16">
        <f ca="1"/>
      </c>
      <c r="H16">
        <f ca="1"/>
      </c>
      <c r="I16">
        <f ca="1"/>
      </c>
      <c r="K16">
        <f ca="1"/>
      </c>
      <c r="L16">
        <f ca="1"/>
      </c>
      <c r="M16">
        <f ca="1"/>
      </c>
      <c r="O16">
        <f ca="1"/>
      </c>
      <c r="P16">
        <f ca="1"/>
      </c>
      <c r="Q16">
        <f ca="1"/>
      </c>
    </row>
    <row r="17" spans="1:17" x14ac:dyDescent="0.5">
      <c r="A17" t="s">
        <v>24</v>
      </c>
      <c r="B17" s="2">
        <v>1</v>
      </c>
      <c r="C17" s="2">
        <v>1</v>
      </c>
      <c r="D17" t="s">
        <v>18</v>
      </c>
      <c r="F17">
        <f ca="1"/>
      </c>
      <c r="G17">
        <f ca="1"/>
      </c>
      <c r="H17">
        <f ca="1"/>
      </c>
      <c r="I17">
        <f ca="1"/>
      </c>
      <c r="K17">
        <f ca="1"/>
      </c>
      <c r="L17">
        <f ca="1"/>
      </c>
      <c r="M17">
        <f ca="1"/>
      </c>
      <c r="O17">
        <f ca="1"/>
      </c>
      <c r="P17">
        <f ca="1"/>
      </c>
      <c r="Q17">
        <f ca="1"/>
      </c>
    </row>
    <row r="18" spans="1:17" x14ac:dyDescent="0.5">
      <c r="A18" t="s">
        <v>25</v>
      </c>
      <c r="B18" s="2">
        <v>1</v>
      </c>
      <c r="C18" s="2">
        <v>1</v>
      </c>
      <c r="D18" t="s">
        <v>18</v>
      </c>
      <c r="F18">
        <f ca="1"/>
      </c>
      <c r="G18">
        <f ca="1"/>
      </c>
      <c r="H18">
        <f ca="1"/>
      </c>
      <c r="I18">
        <f ca="1"/>
      </c>
      <c r="K18">
        <f ca="1"/>
      </c>
      <c r="L18">
        <f ca="1"/>
      </c>
      <c r="M18">
        <f ca="1"/>
      </c>
      <c r="O18">
        <f ca="1"/>
      </c>
      <c r="P18">
        <f ca="1"/>
      </c>
      <c r="Q18">
        <f ca="1"/>
      </c>
    </row>
    <row r="19" spans="1:17" x14ac:dyDescent="0.5">
      <c r="A19" t="s">
        <v>26</v>
      </c>
      <c r="B19" s="2">
        <v>1</v>
      </c>
      <c r="C19" s="2">
        <v>1</v>
      </c>
      <c r="D19" t="s">
        <v>18</v>
      </c>
      <c r="F19">
        <f ca="1"/>
      </c>
      <c r="G19">
        <f ca="1"/>
      </c>
      <c r="H19">
        <f ca="1"/>
      </c>
      <c r="I19">
        <f ca="1"/>
      </c>
      <c r="K19">
        <f ca="1"/>
      </c>
      <c r="L19">
        <f ca="1"/>
      </c>
      <c r="M19">
        <f ca="1"/>
      </c>
      <c r="O19">
        <f ca="1"/>
      </c>
      <c r="P19">
        <f ca="1"/>
      </c>
      <c r="Q19">
        <f ca="1"/>
      </c>
    </row>
    <row r="20" spans="1:17" x14ac:dyDescent="0.5">
      <c r="A20" t="s">
        <v>27</v>
      </c>
      <c r="B20" s="2">
        <v>1</v>
      </c>
      <c r="C20" s="2">
        <v>1</v>
      </c>
      <c r="D20" t="s">
        <v>18</v>
      </c>
      <c r="F20">
        <f ca="1"/>
      </c>
      <c r="G20">
        <f ca="1"/>
      </c>
      <c r="H20">
        <f ca="1"/>
      </c>
      <c r="I20">
        <f ca="1"/>
      </c>
      <c r="K20">
        <f ca="1"/>
      </c>
      <c r="L20">
        <f ca="1"/>
      </c>
      <c r="M20">
        <f ca="1"/>
      </c>
      <c r="O20">
        <f ca="1"/>
      </c>
      <c r="P20">
        <f ca="1"/>
      </c>
      <c r="Q20">
        <f ca="1"/>
      </c>
    </row>
    <row r="21" spans="1:17" x14ac:dyDescent="0.5">
      <c r="A21" t="s">
        <v>28</v>
      </c>
      <c r="B21" s="2">
        <v>1</v>
      </c>
      <c r="C21" s="2">
        <v>1</v>
      </c>
      <c r="D21" t="s">
        <v>18</v>
      </c>
      <c r="F21">
        <f ca="1"/>
      </c>
      <c r="G21">
        <f ca="1"/>
      </c>
      <c r="H21">
        <f ca="1"/>
      </c>
      <c r="I21">
        <f ca="1"/>
      </c>
      <c r="K21">
        <f ca="1"/>
      </c>
      <c r="L21">
        <f ca="1"/>
      </c>
      <c r="M21">
        <f ca="1"/>
      </c>
      <c r="O21">
        <f ca="1"/>
      </c>
      <c r="P21">
        <f ca="1"/>
      </c>
      <c r="Q21">
        <f ca="1"/>
      </c>
    </row>
    <row r="22" spans="1:17" x14ac:dyDescent="0.5">
      <c r="A22" t="s">
        <v>29</v>
      </c>
      <c r="B22" s="2">
        <v>1</v>
      </c>
      <c r="C22" s="2">
        <v>1</v>
      </c>
      <c r="D22" t="s">
        <v>18</v>
      </c>
      <c r="F22">
        <f ca="1"/>
      </c>
      <c r="G22">
        <f ca="1"/>
      </c>
      <c r="H22">
        <f ca="1"/>
      </c>
      <c r="I22">
        <f ca="1"/>
      </c>
      <c r="K22">
        <f ca="1"/>
      </c>
      <c r="L22">
        <f ca="1"/>
      </c>
      <c r="M22">
        <f ca="1"/>
      </c>
      <c r="O22">
        <f ca="1"/>
      </c>
      <c r="P22">
        <f ca="1"/>
      </c>
      <c r="Q22">
        <f ca="1"/>
      </c>
    </row>
    <row r="23" spans="1:17" x14ac:dyDescent="0.5">
      <c r="A23" t="s">
        <v>30</v>
      </c>
      <c r="B23" s="2">
        <v>1</v>
      </c>
      <c r="C23" s="2">
        <v>1</v>
      </c>
      <c r="D23" t="s">
        <v>18</v>
      </c>
      <c r="F23">
        <f ca="1"/>
      </c>
      <c r="G23">
        <f ca="1"/>
      </c>
      <c r="H23">
        <f ca="1"/>
      </c>
      <c r="I23">
        <f ca="1"/>
      </c>
      <c r="K23">
        <f ca="1"/>
      </c>
      <c r="L23">
        <f ca="1"/>
      </c>
      <c r="M23">
        <f ca="1"/>
      </c>
      <c r="O23">
        <f ca="1"/>
      </c>
      <c r="P23">
        <f ca="1"/>
      </c>
      <c r="Q23">
        <f ca="1"/>
      </c>
    </row>
    <row r="24" spans="1:17" x14ac:dyDescent="0.5">
      <c r="A24" t="s">
        <v>31</v>
      </c>
      <c r="B24" s="2">
        <v>1</v>
      </c>
      <c r="C24" s="2">
        <v>1</v>
      </c>
      <c r="D24" t="s">
        <v>18</v>
      </c>
      <c r="F24">
        <f ca="1"/>
      </c>
      <c r="G24">
        <f ca="1"/>
      </c>
      <c r="H24">
        <f ca="1"/>
      </c>
      <c r="I24">
        <f ca="1"/>
      </c>
      <c r="K24">
        <f ca="1"/>
      </c>
      <c r="L24">
        <f ca="1"/>
      </c>
      <c r="M24">
        <f ca="1"/>
      </c>
      <c r="O24">
        <f ca="1"/>
      </c>
      <c r="P24">
        <f ca="1"/>
      </c>
      <c r="Q24">
        <f ca="1"/>
      </c>
    </row>
    <row r="25" spans="1:17" x14ac:dyDescent="0.5">
      <c r="A25" t="s">
        <v>32</v>
      </c>
      <c r="B25" s="2">
        <v>1</v>
      </c>
      <c r="C25" s="2">
        <v>1</v>
      </c>
      <c r="D25" t="s">
        <v>33</v>
      </c>
      <c r="F25">
        <f ca="1"/>
      </c>
      <c r="G25">
        <f ca="1"/>
      </c>
      <c r="H25">
        <f ca="1"/>
      </c>
      <c r="I25">
        <f ca="1"/>
      </c>
      <c r="K25">
        <f ca="1"/>
      </c>
      <c r="L25">
        <f ca="1"/>
      </c>
      <c r="M25">
        <f ca="1"/>
      </c>
      <c r="O25">
        <f ca="1"/>
      </c>
      <c r="P25">
        <f ca="1"/>
      </c>
      <c r="Q25">
        <f ca="1"/>
      </c>
    </row>
    <row r="26" spans="1:17" x14ac:dyDescent="0.5">
      <c r="A26" t="s">
        <v>34</v>
      </c>
      <c r="B26" s="2">
        <v>1</v>
      </c>
      <c r="C26" s="2">
        <v>1</v>
      </c>
      <c r="D26" t="s">
        <v>33</v>
      </c>
      <c r="F26">
        <f ca="1"/>
      </c>
      <c r="G26">
        <f ca="1"/>
      </c>
      <c r="H26">
        <f ca="1"/>
      </c>
      <c r="I26">
        <f ca="1"/>
      </c>
      <c r="K26">
        <f ca="1"/>
      </c>
      <c r="L26">
        <f ca="1"/>
      </c>
      <c r="M26">
        <f ca="1"/>
      </c>
      <c r="O26">
        <f ca="1"/>
      </c>
      <c r="P26">
        <f ca="1"/>
      </c>
      <c r="Q26">
        <f ca="1"/>
      </c>
    </row>
    <row r="27" spans="1:17" x14ac:dyDescent="0.5">
      <c r="A27" t="s">
        <v>35</v>
      </c>
      <c r="B27" s="2">
        <v>1</v>
      </c>
      <c r="C27" s="2">
        <v>1</v>
      </c>
      <c r="D27" t="s">
        <v>33</v>
      </c>
      <c r="F27">
        <f ca="1"/>
      </c>
      <c r="G27">
        <f ca="1"/>
      </c>
      <c r="H27">
        <f ca="1"/>
      </c>
      <c r="I27">
        <f ca="1"/>
      </c>
      <c r="K27">
        <f ca="1"/>
      </c>
      <c r="L27">
        <f ca="1"/>
      </c>
      <c r="M27">
        <f ca="1"/>
      </c>
      <c r="O27">
        <f ca="1"/>
      </c>
      <c r="P27">
        <f ca="1"/>
      </c>
      <c r="Q27">
        <f ca="1"/>
      </c>
    </row>
    <row r="28" spans="1:17" x14ac:dyDescent="0.5">
      <c r="A28" t="s">
        <v>36</v>
      </c>
      <c r="B28" s="2">
        <v>1</v>
      </c>
      <c r="C28" s="2">
        <v>1</v>
      </c>
      <c r="D28" t="s">
        <v>33</v>
      </c>
      <c r="F28">
        <f ca="1"/>
      </c>
      <c r="G28">
        <f ca="1"/>
      </c>
      <c r="H28">
        <f ca="1"/>
      </c>
      <c r="I28">
        <f ca="1"/>
      </c>
      <c r="K28">
        <f ca="1"/>
      </c>
      <c r="L28">
        <f ca="1"/>
      </c>
      <c r="M28">
        <f ca="1"/>
      </c>
      <c r="O28">
        <f ca="1"/>
      </c>
      <c r="P28">
        <f ca="1"/>
      </c>
      <c r="Q28">
        <f ca="1"/>
      </c>
    </row>
    <row r="29" spans="1:17" x14ac:dyDescent="0.5">
      <c r="A29" t="s">
        <v>37</v>
      </c>
      <c r="B29" s="2">
        <v>1</v>
      </c>
      <c r="C29" s="2">
        <v>1</v>
      </c>
      <c r="D29" t="s">
        <v>38</v>
      </c>
      <c r="F29">
        <f ca="1"/>
      </c>
      <c r="G29">
        <f ca="1"/>
      </c>
      <c r="H29">
        <f ca="1"/>
      </c>
      <c r="I29">
        <f ca="1"/>
      </c>
      <c r="K29">
        <f ca="1"/>
      </c>
      <c r="L29">
        <f ca="1"/>
      </c>
      <c r="M29">
        <f ca="1"/>
      </c>
      <c r="O29">
        <f ca="1"/>
      </c>
      <c r="P29">
        <f ca="1"/>
      </c>
      <c r="Q29">
        <f ca="1"/>
      </c>
    </row>
    <row r="30" spans="1:17" x14ac:dyDescent="0.5">
      <c r="A30" t="s">
        <v>39</v>
      </c>
      <c r="B30" s="2">
        <v>1</v>
      </c>
      <c r="C30" s="2">
        <v>1</v>
      </c>
      <c r="D30" t="s">
        <v>38</v>
      </c>
      <c r="F30">
        <f ca="1"/>
      </c>
      <c r="G30">
        <f ca="1"/>
      </c>
      <c r="H30">
        <f ca="1"/>
      </c>
      <c r="I30">
        <f ca="1"/>
      </c>
      <c r="K30">
        <f ca="1"/>
      </c>
      <c r="L30">
        <f ca="1"/>
      </c>
      <c r="M30">
        <f ca="1"/>
      </c>
      <c r="O30">
        <f ca="1"/>
      </c>
      <c r="P30">
        <f ca="1"/>
      </c>
      <c r="Q30">
        <f ca="1"/>
      </c>
    </row>
    <row r="31" spans="1:17" x14ac:dyDescent="0.5">
      <c r="A31" t="s">
        <v>40</v>
      </c>
      <c r="B31" s="2">
        <v>1</v>
      </c>
      <c r="C31" s="2">
        <v>1</v>
      </c>
      <c r="D31" t="s">
        <v>38</v>
      </c>
      <c r="F31">
        <f ca="1"/>
      </c>
      <c r="G31">
        <f ca="1"/>
      </c>
      <c r="H31">
        <f ca="1"/>
      </c>
      <c r="I31">
        <f ca="1"/>
      </c>
      <c r="K31">
        <f ca="1"/>
      </c>
      <c r="L31">
        <f ca="1"/>
      </c>
      <c r="M31">
        <f ca="1"/>
      </c>
      <c r="O31">
        <f ca="1"/>
      </c>
      <c r="P31">
        <f ca="1"/>
      </c>
      <c r="Q31">
        <f ca="1"/>
      </c>
    </row>
    <row r="32" spans="1:17" x14ac:dyDescent="0.5">
      <c r="A32" t="s">
        <v>41</v>
      </c>
      <c r="B32" s="2">
        <v>1</v>
      </c>
      <c r="C32" s="2">
        <v>1</v>
      </c>
      <c r="D32" t="s">
        <v>42</v>
      </c>
      <c r="F32">
        <f ca="1"/>
      </c>
      <c r="G32">
        <f ca="1"/>
      </c>
      <c r="H32">
        <f ca="1"/>
      </c>
      <c r="I32">
        <f ca="1"/>
      </c>
      <c r="K32">
        <f ca="1"/>
      </c>
      <c r="L32">
        <f ca="1"/>
      </c>
      <c r="M32">
        <f ca="1"/>
      </c>
      <c r="O32">
        <f ca="1"/>
      </c>
      <c r="P32">
        <f ca="1"/>
      </c>
      <c r="Q32">
        <f ca="1"/>
      </c>
    </row>
    <row r="33" spans="1:17" x14ac:dyDescent="0.5">
      <c r="A33" t="s">
        <v>43</v>
      </c>
      <c r="B33" s="2">
        <v>1</v>
      </c>
      <c r="C33" s="2">
        <v>1</v>
      </c>
      <c r="D33" t="s">
        <v>42</v>
      </c>
      <c r="F33">
        <f ca="1"/>
      </c>
      <c r="G33">
        <f ca="1"/>
      </c>
      <c r="H33">
        <f ca="1"/>
      </c>
      <c r="I33">
        <f ca="1"/>
      </c>
      <c r="K33">
        <f ca="1"/>
      </c>
      <c r="L33">
        <f ca="1"/>
      </c>
      <c r="M33">
        <f ca="1"/>
      </c>
      <c r="O33">
        <f ca="1"/>
      </c>
      <c r="P33">
        <f ca="1"/>
      </c>
      <c r="Q33">
        <f ca="1"/>
      </c>
    </row>
    <row r="34" spans="1:17" x14ac:dyDescent="0.5">
      <c r="A34" t="s">
        <v>44</v>
      </c>
      <c r="B34" s="2">
        <v>1</v>
      </c>
      <c r="C34" s="2">
        <v>1</v>
      </c>
      <c r="D34" t="s">
        <v>42</v>
      </c>
      <c r="F34">
        <f ca="1"/>
      </c>
      <c r="G34">
        <f ca="1"/>
      </c>
      <c r="H34">
        <f ca="1"/>
      </c>
      <c r="I34">
        <f ca="1"/>
      </c>
      <c r="K34">
        <f ca="1"/>
      </c>
      <c r="L34">
        <f ca="1"/>
      </c>
      <c r="M34">
        <f ca="1"/>
      </c>
      <c r="O34">
        <f ca="1"/>
      </c>
      <c r="P34">
        <f ca="1"/>
      </c>
      <c r="Q34">
        <f ca="1"/>
      </c>
    </row>
    <row r="35" spans="1:17" x14ac:dyDescent="0.5">
      <c r="A35" t="s">
        <v>45</v>
      </c>
      <c r="B35" s="2">
        <v>1</v>
      </c>
      <c r="C35" s="2">
        <v>1</v>
      </c>
      <c r="D35" t="s">
        <v>42</v>
      </c>
      <c r="F35">
        <f ca="1"/>
      </c>
      <c r="G35">
        <f ca="1"/>
      </c>
      <c r="H35">
        <f ca="1"/>
      </c>
      <c r="I35">
        <f ca="1"/>
      </c>
      <c r="K35">
        <f ca="1"/>
      </c>
      <c r="L35">
        <f ca="1"/>
      </c>
      <c r="M35">
        <f ca="1"/>
      </c>
      <c r="O35">
        <f ca="1"/>
      </c>
      <c r="P35">
        <f ca="1"/>
      </c>
      <c r="Q35">
        <f ca="1"/>
      </c>
    </row>
    <row r="36" spans="1:17" x14ac:dyDescent="0.5">
      <c r="A36" t="s">
        <v>46</v>
      </c>
      <c r="B36" s="2">
        <v>1</v>
      </c>
      <c r="C36" s="2">
        <v>1</v>
      </c>
      <c r="D36" t="s">
        <v>42</v>
      </c>
      <c r="F36">
        <f ca="1"/>
      </c>
      <c r="G36">
        <f ca="1"/>
      </c>
      <c r="H36">
        <f ca="1"/>
      </c>
      <c r="I36">
        <f ca="1"/>
      </c>
      <c r="K36">
        <f ca="1"/>
      </c>
      <c r="L36">
        <f ca="1"/>
      </c>
      <c r="M36">
        <f ca="1"/>
      </c>
      <c r="O36">
        <f ca="1"/>
      </c>
      <c r="P36">
        <f ca="1"/>
      </c>
      <c r="Q36">
        <f ca="1"/>
      </c>
    </row>
    <row r="37" spans="1:17" x14ac:dyDescent="0.5">
      <c r="A37" t="s">
        <v>47</v>
      </c>
      <c r="B37" s="2">
        <v>1</v>
      </c>
      <c r="C37" s="2">
        <v>1</v>
      </c>
      <c r="D37" t="s">
        <v>48</v>
      </c>
      <c r="F37">
        <f ca="1"/>
      </c>
      <c r="G37">
        <f ca="1"/>
      </c>
      <c r="H37">
        <f ca="1"/>
      </c>
      <c r="I37">
        <f ca="1"/>
      </c>
      <c r="K37">
        <f ca="1"/>
      </c>
      <c r="L37">
        <f ca="1"/>
      </c>
      <c r="M37">
        <f ca="1"/>
      </c>
      <c r="O37">
        <f ca="1"/>
      </c>
      <c r="P37">
        <f ca="1"/>
      </c>
      <c r="Q37">
        <f ca="1"/>
      </c>
    </row>
    <row r="38" spans="1:17" x14ac:dyDescent="0.5">
      <c r="A38" t="s">
        <v>49</v>
      </c>
      <c r="B38" s="2">
        <v>1</v>
      </c>
      <c r="C38" s="2">
        <v>1</v>
      </c>
      <c r="D38" t="s">
        <v>48</v>
      </c>
      <c r="F38">
        <f ca="1"/>
      </c>
      <c r="G38">
        <f ca="1"/>
      </c>
      <c r="H38">
        <f ca="1"/>
      </c>
      <c r="I38">
        <f ca="1"/>
      </c>
      <c r="K38">
        <f ca="1"/>
      </c>
      <c r="L38">
        <f ca="1"/>
      </c>
      <c r="M38">
        <f ca="1"/>
      </c>
      <c r="O38">
        <f ca="1"/>
      </c>
      <c r="P38">
        <f ca="1"/>
      </c>
      <c r="Q38">
        <f ca="1"/>
      </c>
    </row>
    <row r="39" spans="1:17" x14ac:dyDescent="0.5">
      <c r="A39" t="s">
        <v>50</v>
      </c>
      <c r="B39" s="2">
        <v>1</v>
      </c>
      <c r="C39" s="2">
        <v>1</v>
      </c>
      <c r="D39" t="s">
        <v>48</v>
      </c>
      <c r="F39">
        <f ca="1"/>
      </c>
      <c r="G39">
        <f ca="1"/>
      </c>
      <c r="H39">
        <f ca="1"/>
      </c>
      <c r="I39">
        <f ca="1"/>
      </c>
      <c r="K39">
        <f ca="1"/>
      </c>
      <c r="L39">
        <f ca="1"/>
      </c>
      <c r="M39">
        <f ca="1"/>
      </c>
      <c r="O39">
        <f ca="1"/>
      </c>
      <c r="P39">
        <f ca="1"/>
      </c>
      <c r="Q39">
        <f ca="1"/>
      </c>
    </row>
    <row r="40" spans="1:17" x14ac:dyDescent="0.5">
      <c r="A40" t="s">
        <v>51</v>
      </c>
      <c r="B40" s="2">
        <v>1</v>
      </c>
      <c r="C40" s="2">
        <v>1</v>
      </c>
      <c r="D40" t="s">
        <v>48</v>
      </c>
      <c r="F40">
        <f ca="1"/>
      </c>
      <c r="G40">
        <f ca="1"/>
      </c>
      <c r="H40">
        <f ca="1"/>
      </c>
      <c r="I40">
        <f ca="1"/>
      </c>
      <c r="K40">
        <f ca="1"/>
      </c>
      <c r="L40">
        <f ca="1"/>
      </c>
      <c r="M40">
        <f ca="1"/>
      </c>
      <c r="O40">
        <f ca="1"/>
      </c>
      <c r="P40">
        <f ca="1"/>
      </c>
      <c r="Q40">
        <f ca="1"/>
      </c>
    </row>
    <row r="41" spans="1:17" x14ac:dyDescent="0.5">
      <c r="A41" t="s">
        <v>52</v>
      </c>
      <c r="B41" s="2">
        <v>1</v>
      </c>
      <c r="C41" s="2">
        <v>1</v>
      </c>
      <c r="D41" t="s">
        <v>53</v>
      </c>
      <c r="F41">
        <f ca="1"/>
      </c>
      <c r="G41">
        <f ca="1"/>
      </c>
      <c r="H41">
        <f ca="1"/>
      </c>
      <c r="I41">
        <f ca="1"/>
      </c>
      <c r="K41">
        <f ca="1"/>
      </c>
      <c r="L41">
        <f ca="1"/>
      </c>
      <c r="M41">
        <f ca="1"/>
      </c>
      <c r="O41">
        <f ca="1"/>
      </c>
      <c r="P41">
        <f ca="1"/>
      </c>
      <c r="Q41">
        <f ca="1"/>
      </c>
    </row>
    <row r="42" spans="1:17" x14ac:dyDescent="0.5">
      <c r="A42" t="s">
        <v>54</v>
      </c>
      <c r="B42" s="2">
        <v>1</v>
      </c>
      <c r="C42" s="2">
        <v>1</v>
      </c>
      <c r="D42" t="s">
        <v>53</v>
      </c>
      <c r="F42">
        <f ca="1"/>
      </c>
      <c r="G42">
        <f ca="1"/>
      </c>
      <c r="H42">
        <f ca="1"/>
      </c>
      <c r="I42">
        <f ca="1"/>
      </c>
      <c r="K42">
        <f ca="1"/>
      </c>
      <c r="L42">
        <f ca="1"/>
      </c>
      <c r="M42">
        <f ca="1"/>
      </c>
      <c r="O42">
        <f ca="1"/>
      </c>
      <c r="P42">
        <f ca="1"/>
      </c>
      <c r="Q42">
        <f ca="1"/>
      </c>
    </row>
    <row r="43" spans="1:17" x14ac:dyDescent="0.5">
      <c r="A43" t="s">
        <v>55</v>
      </c>
      <c r="B43" s="2">
        <v>1</v>
      </c>
      <c r="C43" s="2">
        <v>1</v>
      </c>
      <c r="D43" t="s">
        <v>53</v>
      </c>
      <c r="F43">
        <f ca="1"/>
      </c>
      <c r="G43">
        <f ca="1"/>
      </c>
      <c r="H43">
        <f ca="1"/>
      </c>
      <c r="I43">
        <f ca="1"/>
      </c>
      <c r="K43">
        <f ca="1"/>
      </c>
      <c r="L43">
        <f ca="1"/>
      </c>
      <c r="M43">
        <f ca="1"/>
      </c>
      <c r="O43">
        <f ca="1"/>
      </c>
      <c r="P43">
        <f ca="1"/>
      </c>
      <c r="Q43">
        <f ca="1"/>
      </c>
    </row>
    <row r="44" spans="1:17" x14ac:dyDescent="0.5">
      <c r="A44" t="s">
        <v>56</v>
      </c>
      <c r="B44" s="2">
        <v>1</v>
      </c>
      <c r="C44" s="2">
        <v>1</v>
      </c>
      <c r="D44" t="s">
        <v>53</v>
      </c>
      <c r="F44">
        <f ca="1"/>
      </c>
      <c r="G44">
        <f ca="1"/>
      </c>
      <c r="H44">
        <f ca="1"/>
      </c>
      <c r="I44">
        <f ca="1"/>
      </c>
      <c r="K44">
        <f ca="1"/>
      </c>
      <c r="L44">
        <f ca="1"/>
      </c>
      <c r="M44">
        <f ca="1"/>
      </c>
      <c r="O44">
        <f ca="1"/>
      </c>
      <c r="P44">
        <f ca="1"/>
      </c>
      <c r="Q44">
        <f ca="1"/>
      </c>
    </row>
    <row r="45" spans="1:17" x14ac:dyDescent="0.5">
      <c r="F45">
        <f ca="1"/>
      </c>
      <c r="G45">
        <f ca="1"/>
      </c>
      <c r="H45">
        <f ca="1"/>
      </c>
      <c r="I45">
        <f ca="1"/>
      </c>
      <c r="O45">
        <f ca="1"/>
      </c>
      <c r="P45">
        <f ca="1"/>
      </c>
      <c r="Q45">
        <f ca="1"/>
      </c>
    </row>
    <row r="46" spans="1:17" x14ac:dyDescent="0.5">
      <c r="A46" s="4" t="s">
        <v>57</v>
      </c>
      <c r="F46">
        <f ca="1"/>
      </c>
      <c r="G46">
        <f ca="1"/>
      </c>
      <c r="H46">
        <f ca="1"/>
      </c>
      <c r="I46">
        <f ca="1"/>
      </c>
      <c r="O46">
        <f ca="1"/>
      </c>
      <c r="P46">
        <f ca="1"/>
      </c>
      <c r="Q46">
        <f ca="1"/>
      </c>
    </row>
    <row r="47" spans="1:17" x14ac:dyDescent="0.5">
      <c r="F47">
        <f ca="1"/>
      </c>
      <c r="G47">
        <f ca="1"/>
      </c>
      <c r="H47">
        <f ca="1"/>
      </c>
      <c r="I47">
        <f ca="1"/>
      </c>
      <c r="O47">
        <f ca="1"/>
      </c>
      <c r="P47">
        <f ca="1"/>
      </c>
      <c r="Q47">
        <f ca="1"/>
      </c>
    </row>
    <row r="48" spans="1:17" x14ac:dyDescent="0.5">
      <c r="F48">
        <f ca="1"/>
      </c>
      <c r="G48">
        <f ca="1"/>
      </c>
      <c r="H48">
        <f ca="1"/>
      </c>
      <c r="I48">
        <f ca="1"/>
      </c>
      <c r="O48">
        <f ca="1"/>
      </c>
      <c r="P48">
        <f ca="1"/>
      </c>
      <c r="Q48">
        <f ca="1"/>
      </c>
    </row>
    <row r="49" spans="6:17" x14ac:dyDescent="0.5">
      <c r="F49">
        <f ca="1"/>
      </c>
      <c r="G49">
        <f ca="1"/>
      </c>
      <c r="H49">
        <f ca="1"/>
      </c>
      <c r="I49">
        <f ca="1"/>
      </c>
      <c r="O49">
        <f ca="1"/>
      </c>
      <c r="P49">
        <f ca="1"/>
      </c>
      <c r="Q49">
        <f ca="1"/>
      </c>
    </row>
    <row r="50" spans="6:17" x14ac:dyDescent="0.5">
      <c r="F50">
        <f ca="1"/>
      </c>
      <c r="G50">
        <f ca="1"/>
      </c>
      <c r="H50">
        <f ca="1"/>
      </c>
      <c r="I50">
        <f ca="1"/>
      </c>
      <c r="O50">
        <f ca="1"/>
      </c>
      <c r="P50">
        <f ca="1"/>
      </c>
      <c r="Q50">
        <f ca="1"/>
      </c>
    </row>
    <row r="51" spans="6:17" x14ac:dyDescent="0.5">
      <c r="F51">
        <f ca="1"/>
      </c>
      <c r="G51">
        <f ca="1"/>
      </c>
      <c r="H51">
        <f ca="1"/>
      </c>
      <c r="I51">
        <f ca="1"/>
      </c>
      <c r="O51">
        <f ca="1"/>
      </c>
      <c r="P51">
        <f ca="1"/>
      </c>
      <c r="Q51">
        <f ca="1"/>
      </c>
    </row>
    <row r="52" spans="6:17" x14ac:dyDescent="0.5">
      <c r="F52">
        <f ca="1"/>
      </c>
      <c r="G52">
        <f ca="1"/>
      </c>
      <c r="H52">
        <f ca="1"/>
      </c>
      <c r="I52">
        <f ca="1"/>
      </c>
      <c r="O52">
        <f ca="1"/>
      </c>
      <c r="P52">
        <f ca="1"/>
      </c>
      <c r="Q52">
        <f ca="1"/>
      </c>
    </row>
    <row r="53" spans="6:17" x14ac:dyDescent="0.5">
      <c r="F53">
        <f ca="1"/>
      </c>
      <c r="G53">
        <f ca="1"/>
      </c>
      <c r="H53">
        <f ca="1"/>
      </c>
      <c r="I53">
        <f ca="1"/>
      </c>
      <c r="O53">
        <f ca="1"/>
      </c>
      <c r="P53">
        <f ca="1"/>
      </c>
      <c r="Q53">
        <f ca="1"/>
      </c>
    </row>
    <row r="54" spans="6:17" x14ac:dyDescent="0.5">
      <c r="F54">
        <f ca="1"/>
      </c>
      <c r="G54">
        <f ca="1"/>
      </c>
      <c r="H54">
        <f ca="1"/>
      </c>
      <c r="I54">
        <f ca="1"/>
      </c>
      <c r="O54">
        <f ca="1"/>
      </c>
      <c r="P54">
        <f ca="1"/>
      </c>
      <c r="Q54">
        <f ca="1"/>
      </c>
    </row>
    <row r="55" spans="6:17" x14ac:dyDescent="0.5">
      <c r="O55">
        <f ca="1"/>
      </c>
      <c r="P55">
        <f ca="1"/>
      </c>
      <c r="Q55">
        <f ca="1"/>
      </c>
    </row>
    <row r="56" spans="6:17" x14ac:dyDescent="0.5">
      <c r="O56">
        <f ca="1"/>
      </c>
      <c r="P56">
        <f ca="1"/>
      </c>
      <c r="Q56">
        <f ca="1"/>
      </c>
    </row>
    <row r="57" spans="6:17" x14ac:dyDescent="0.5">
      <c r="O57">
        <f ca="1"/>
      </c>
      <c r="P57">
        <f ca="1"/>
      </c>
      <c r="Q57">
        <f ca="1"/>
      </c>
    </row>
    <row r="58" spans="6:17" x14ac:dyDescent="0.5">
      <c r="O58">
        <f ca="1"/>
      </c>
      <c r="P58">
        <f ca="1"/>
      </c>
      <c r="Q58">
        <f ca="1"/>
      </c>
    </row>
    <row r="59" spans="6:17" x14ac:dyDescent="0.5">
      <c r="O59">
        <f ca="1"/>
      </c>
      <c r="P59">
        <f ca="1"/>
      </c>
      <c r="Q59">
        <f ca="1"/>
      </c>
    </row>
    <row r="60" spans="6:17" x14ac:dyDescent="0.5">
      <c r="O60">
        <f ca="1"/>
      </c>
      <c r="P60">
        <f ca="1"/>
      </c>
      <c r="Q60">
        <f ca="1"/>
      </c>
    </row>
    <row r="61" spans="6:17" x14ac:dyDescent="0.5">
      <c r="O61">
        <f ca="1"/>
      </c>
      <c r="P61">
        <f ca="1"/>
      </c>
      <c r="Q61">
        <f ca="1"/>
      </c>
    </row>
    <row r="62" spans="6:17" x14ac:dyDescent="0.5">
      <c r="O62">
        <f ca="1"/>
      </c>
      <c r="P62">
        <f ca="1"/>
      </c>
      <c r="Q62">
        <f ca="1"/>
      </c>
    </row>
    <row r="63" spans="6:17" x14ac:dyDescent="0.5">
      <c r="O63">
        <f ca="1"/>
      </c>
      <c r="P63">
        <f ca="1"/>
      </c>
      <c r="Q63">
        <f ca="1"/>
      </c>
    </row>
    <row r="64" spans="6:17" x14ac:dyDescent="0.5">
      <c r="O64">
        <f ca="1"/>
      </c>
      <c r="P64">
        <f ca="1"/>
      </c>
      <c r="Q64">
        <f ca="1"/>
      </c>
    </row>
    <row r="65" spans="15:17" x14ac:dyDescent="0.5">
      <c r="O65">
        <f ca="1"/>
      </c>
      <c r="P65">
        <f ca="1"/>
      </c>
      <c r="Q65">
        <f ca="1"/>
      </c>
    </row>
    <row r="66" spans="15:17" x14ac:dyDescent="0.5">
      <c r="O66">
        <f ca="1"/>
      </c>
      <c r="P66">
        <f ca="1"/>
      </c>
      <c r="Q66">
        <f ca="1"/>
      </c>
    </row>
    <row r="67" spans="15:17" x14ac:dyDescent="0.5">
      <c r="O67">
        <f ca="1"/>
      </c>
      <c r="P67">
        <f ca="1"/>
      </c>
      <c r="Q67">
        <f ca="1"/>
      </c>
    </row>
    <row r="68" spans="15:17" x14ac:dyDescent="0.5">
      <c r="O68">
        <f ca="1"/>
      </c>
      <c r="P68">
        <f ca="1"/>
      </c>
      <c r="Q68">
        <f ca="1"/>
      </c>
    </row>
    <row r="69" spans="15:17" x14ac:dyDescent="0.5">
      <c r="O69">
        <f ca="1"/>
      </c>
      <c r="P69">
        <f ca="1"/>
      </c>
      <c r="Q69">
        <f ca="1"/>
      </c>
    </row>
    <row r="70" spans="15:17" x14ac:dyDescent="0.5">
      <c r="O70">
        <f ca="1"/>
      </c>
      <c r="P70">
        <f ca="1"/>
      </c>
      <c r="Q70">
        <f ca="1"/>
      </c>
    </row>
    <row r="71" spans="15:17" x14ac:dyDescent="0.5">
      <c r="O71">
        <f ca="1"/>
      </c>
      <c r="P71">
        <f ca="1"/>
      </c>
      <c r="Q71">
        <f ca="1"/>
      </c>
    </row>
    <row r="72" spans="15:17" x14ac:dyDescent="0.5">
      <c r="O72">
        <f ca="1"/>
      </c>
      <c r="P72">
        <f ca="1"/>
      </c>
      <c r="Q72">
        <f ca="1"/>
      </c>
    </row>
    <row r="73" spans="15:17" x14ac:dyDescent="0.5">
      <c r="O73">
        <f ca="1"/>
      </c>
      <c r="P73">
        <f ca="1"/>
      </c>
      <c r="Q73">
        <f ca="1"/>
      </c>
    </row>
    <row r="74" spans="15:17" x14ac:dyDescent="0.5">
      <c r="O74">
        <f ca="1"/>
      </c>
      <c r="P74">
        <f ca="1"/>
      </c>
      <c r="Q74">
        <f ca="1"/>
      </c>
    </row>
    <row r="75" spans="15:17" x14ac:dyDescent="0.5">
      <c r="O75">
        <f ca="1"/>
      </c>
      <c r="P75">
        <f ca="1"/>
      </c>
      <c r="Q75">
        <f ca="1"/>
      </c>
    </row>
    <row r="76" spans="15:17" x14ac:dyDescent="0.5">
      <c r="O76">
        <f ca="1"/>
      </c>
      <c r="P76">
        <f ca="1"/>
      </c>
      <c r="Q76">
        <f ca="1"/>
      </c>
    </row>
    <row r="77" spans="15:17" x14ac:dyDescent="0.5">
      <c r="O77">
        <f ca="1"/>
      </c>
      <c r="P77">
        <f ca="1"/>
      </c>
      <c r="Q77">
        <f ca="1"/>
      </c>
    </row>
    <row r="78" spans="15:17" x14ac:dyDescent="0.5">
      <c r="O78">
        <f ca="1"/>
      </c>
      <c r="P78">
        <f ca="1"/>
      </c>
      <c r="Q78">
        <f ca="1"/>
      </c>
    </row>
    <row r="79" spans="15:17" x14ac:dyDescent="0.5">
      <c r="O79">
        <f ca="1"/>
      </c>
      <c r="P79">
        <f ca="1"/>
      </c>
      <c r="Q79">
        <f ca="1"/>
      </c>
    </row>
    <row r="80" spans="15:17" x14ac:dyDescent="0.5">
      <c r="O80">
        <f ca="1"/>
      </c>
      <c r="P80">
        <f ca="1"/>
      </c>
      <c r="Q80">
        <f ca="1"/>
      </c>
    </row>
    <row r="81" spans="15:17" x14ac:dyDescent="0.5">
      <c r="O81">
        <f ca="1"/>
      </c>
      <c r="P81">
        <f ca="1"/>
      </c>
      <c r="Q81">
        <f ca="1"/>
      </c>
    </row>
    <row r="82" spans="15:17" x14ac:dyDescent="0.5">
      <c r="O82">
        <f ca="1"/>
      </c>
      <c r="P82">
        <f ca="1"/>
      </c>
      <c r="Q82">
        <f ca="1"/>
      </c>
    </row>
    <row r="83" spans="15:17" x14ac:dyDescent="0.5">
      <c r="O83">
        <f ca="1"/>
      </c>
      <c r="P83">
        <f ca="1"/>
      </c>
      <c r="Q83">
        <f ca="1"/>
      </c>
    </row>
    <row r="84" spans="15:17" x14ac:dyDescent="0.5">
      <c r="O84">
        <f ca="1"/>
      </c>
      <c r="P84">
        <f ca="1"/>
      </c>
      <c r="Q84">
        <f ca="1"/>
      </c>
    </row>
    <row r="85" spans="15:17" x14ac:dyDescent="0.5">
      <c r="O85">
        <f ca="1"/>
      </c>
      <c r="P85">
        <f ca="1"/>
      </c>
      <c r="Q85">
        <f ca="1"/>
      </c>
    </row>
    <row r="86" spans="15:17" x14ac:dyDescent="0.5">
      <c r="O86">
        <f ca="1"/>
      </c>
      <c r="P86">
        <f ca="1"/>
      </c>
      <c r="Q86">
        <f ca="1"/>
      </c>
    </row>
    <row r="87" spans="15:17" x14ac:dyDescent="0.5">
      <c r="O87">
        <f ca="1"/>
      </c>
      <c r="P87">
        <f ca="1"/>
      </c>
      <c r="Q87">
        <f ca="1"/>
      </c>
    </row>
    <row r="88" spans="15:17" x14ac:dyDescent="0.5">
      <c r="O88">
        <f ca="1"/>
      </c>
      <c r="P88">
        <f ca="1"/>
      </c>
      <c r="Q88">
        <f ca="1"/>
      </c>
    </row>
    <row r="89" spans="15:17" x14ac:dyDescent="0.5">
      <c r="O89">
        <f ca="1"/>
      </c>
      <c r="P89">
        <f ca="1"/>
      </c>
      <c r="Q89">
        <f ca="1"/>
      </c>
    </row>
    <row r="90" spans="15:17" x14ac:dyDescent="0.5">
      <c r="O90">
        <f ca="1"/>
      </c>
      <c r="P90">
        <f ca="1"/>
      </c>
      <c r="Q90">
        <f ca="1"/>
      </c>
    </row>
    <row r="91" spans="15:17" x14ac:dyDescent="0.5">
      <c r="O91">
        <f ca="1"/>
      </c>
      <c r="P91">
        <f ca="1"/>
      </c>
      <c r="Q91">
        <f ca="1"/>
      </c>
    </row>
    <row r="92" spans="15:17" x14ac:dyDescent="0.5">
      <c r="O92">
        <f ca="1"/>
      </c>
      <c r="P92">
        <f ca="1"/>
      </c>
      <c r="Q92">
        <f ca="1"/>
      </c>
    </row>
    <row r="93" spans="15:17" x14ac:dyDescent="0.5">
      <c r="O93">
        <f ca="1"/>
      </c>
      <c r="P93">
        <f ca="1"/>
      </c>
      <c r="Q93">
        <f ca="1"/>
      </c>
    </row>
    <row r="94" spans="15:17" x14ac:dyDescent="0.5">
      <c r="O94">
        <f ca="1"/>
      </c>
      <c r="P94">
        <f ca="1"/>
      </c>
      <c r="Q94">
        <f ca="1"/>
      </c>
    </row>
    <row r="95" spans="15:17" x14ac:dyDescent="0.5">
      <c r="O95">
        <f ca="1"/>
      </c>
      <c r="P95">
        <f ca="1"/>
      </c>
      <c r="Q95">
        <f ca="1"/>
      </c>
    </row>
    <row r="96" spans="15:17" x14ac:dyDescent="0.5">
      <c r="O96">
        <f ca="1"/>
      </c>
      <c r="P96">
        <f ca="1"/>
      </c>
      <c r="Q96">
        <f ca="1"/>
      </c>
    </row>
    <row r="97" spans="15:17" x14ac:dyDescent="0.5">
      <c r="O97">
        <f ca="1"/>
      </c>
      <c r="P97">
        <f ca="1"/>
      </c>
      <c r="Q97">
        <f ca="1"/>
      </c>
    </row>
    <row r="98" spans="15:17" x14ac:dyDescent="0.5">
      <c r="O98">
        <f ca="1"/>
      </c>
      <c r="P98">
        <f ca="1"/>
      </c>
      <c r="Q98">
        <f ca="1"/>
      </c>
    </row>
    <row r="99" spans="15:17" x14ac:dyDescent="0.5">
      <c r="O99">
        <f ca="1"/>
      </c>
      <c r="P99">
        <f ca="1"/>
      </c>
      <c r="Q99">
        <f ca="1"/>
      </c>
    </row>
    <row r="100" spans="15:17" x14ac:dyDescent="0.5">
      <c r="O100">
        <f ca="1"/>
      </c>
      <c r="P100">
        <f ca="1"/>
      </c>
      <c r="Q100">
        <f ca="1"/>
      </c>
    </row>
    <row r="101" spans="15:17" x14ac:dyDescent="0.5">
      <c r="O101">
        <f ca="1"/>
      </c>
      <c r="P101">
        <f ca="1"/>
      </c>
      <c r="Q101">
        <f ca="1"/>
      </c>
    </row>
    <row r="102" spans="15:17" x14ac:dyDescent="0.5">
      <c r="O102">
        <f ca="1"/>
      </c>
      <c r="P102">
        <f ca="1"/>
      </c>
      <c r="Q102">
        <f ca="1"/>
      </c>
    </row>
    <row r="103" spans="15:17" x14ac:dyDescent="0.5">
      <c r="O103">
        <f ca="1"/>
      </c>
      <c r="P103">
        <f ca="1"/>
      </c>
      <c r="Q103">
        <f ca="1"/>
      </c>
    </row>
    <row r="104" spans="15:17" x14ac:dyDescent="0.5">
      <c r="O104">
        <f ca="1"/>
      </c>
      <c r="P104">
        <f ca="1"/>
      </c>
      <c r="Q104">
        <f ca="1"/>
      </c>
    </row>
    <row r="105" spans="15:17" x14ac:dyDescent="0.5">
      <c r="O105">
        <f ca="1"/>
      </c>
      <c r="P105">
        <f ca="1"/>
      </c>
      <c r="Q105">
        <f ca="1"/>
      </c>
    </row>
    <row r="106" spans="15:17" x14ac:dyDescent="0.5">
      <c r="O106">
        <f ca="1"/>
      </c>
      <c r="P106">
        <f ca="1"/>
      </c>
      <c r="Q106">
        <f ca="1"/>
      </c>
    </row>
    <row r="107" spans="15:17" x14ac:dyDescent="0.5">
      <c r="O107">
        <f ca="1"/>
      </c>
      <c r="P107">
        <f ca="1"/>
      </c>
      <c r="Q107">
        <f ca="1"/>
      </c>
    </row>
    <row r="108" spans="15:17" x14ac:dyDescent="0.5">
      <c r="O108">
        <f ca="1"/>
      </c>
      <c r="P108">
        <f ca="1"/>
      </c>
      <c r="Q108">
        <f ca="1"/>
      </c>
    </row>
    <row r="109" spans="15:17" x14ac:dyDescent="0.5">
      <c r="O109">
        <f ca="1"/>
      </c>
      <c r="P109">
        <f ca="1"/>
      </c>
      <c r="Q109">
        <f ca="1"/>
      </c>
    </row>
    <row r="110" spans="15:17" x14ac:dyDescent="0.5">
      <c r="O110">
        <f ca="1"/>
      </c>
      <c r="P110">
        <f ca="1"/>
      </c>
      <c r="Q110">
        <f ca="1"/>
      </c>
    </row>
    <row r="111" spans="15:17" x14ac:dyDescent="0.5">
      <c r="O111">
        <f ca="1"/>
      </c>
      <c r="P111">
        <f ca="1"/>
      </c>
      <c r="Q111">
        <f ca="1"/>
      </c>
    </row>
    <row r="112" spans="15:17" x14ac:dyDescent="0.5">
      <c r="O112">
        <f ca="1"/>
      </c>
      <c r="P112">
        <f ca="1"/>
      </c>
      <c r="Q112">
        <f ca="1"/>
      </c>
    </row>
    <row r="113" spans="15:17" x14ac:dyDescent="0.5">
      <c r="O113">
        <f ca="1"/>
      </c>
      <c r="P113">
        <f ca="1"/>
      </c>
      <c r="Q113">
        <f ca="1"/>
      </c>
    </row>
    <row r="114" spans="15:17" x14ac:dyDescent="0.5">
      <c r="O114">
        <f ca="1"/>
      </c>
      <c r="P114">
        <f ca="1"/>
      </c>
      <c r="Q114">
        <f ca="1"/>
      </c>
    </row>
    <row r="115" spans="15:17" x14ac:dyDescent="0.5">
      <c r="O115">
        <f ca="1"/>
      </c>
      <c r="P115">
        <f ca="1"/>
      </c>
      <c r="Q115">
        <f ca="1"/>
      </c>
    </row>
    <row r="116" spans="15:17" x14ac:dyDescent="0.5">
      <c r="O116">
        <f ca="1"/>
      </c>
      <c r="P116">
        <f ca="1"/>
      </c>
      <c r="Q116">
        <f ca="1"/>
      </c>
    </row>
    <row r="117" spans="15:17" x14ac:dyDescent="0.5">
      <c r="O117">
        <f ca="1"/>
      </c>
      <c r="P117">
        <f ca="1"/>
      </c>
      <c r="Q117">
        <f ca="1"/>
      </c>
    </row>
    <row r="118" spans="15:17" x14ac:dyDescent="0.5">
      <c r="O118">
        <f ca="1"/>
      </c>
      <c r="P118">
        <f ca="1"/>
      </c>
      <c r="Q118">
        <f ca="1"/>
      </c>
    </row>
    <row r="119" spans="15:17" x14ac:dyDescent="0.5">
      <c r="O119">
        <f ca="1"/>
      </c>
      <c r="P119">
        <f ca="1"/>
      </c>
      <c r="Q119">
        <f ca="1"/>
      </c>
    </row>
    <row r="120" spans="15:17" x14ac:dyDescent="0.5">
      <c r="O120">
        <f ca="1"/>
      </c>
      <c r="P120">
        <f ca="1"/>
      </c>
      <c r="Q120">
        <f ca="1"/>
      </c>
    </row>
    <row r="121" spans="15:17" x14ac:dyDescent="0.5">
      <c r="O121">
        <f ca="1"/>
      </c>
      <c r="P121">
        <f ca="1"/>
      </c>
      <c r="Q121">
        <f ca="1"/>
      </c>
    </row>
    <row r="122" spans="15:17" x14ac:dyDescent="0.5">
      <c r="O122">
        <f ca="1"/>
      </c>
      <c r="P122">
        <f ca="1"/>
      </c>
      <c r="Q122">
        <f ca="1"/>
      </c>
    </row>
    <row r="123" spans="15:17" x14ac:dyDescent="0.5">
      <c r="O123">
        <f ca="1"/>
      </c>
      <c r="P123">
        <f ca="1"/>
      </c>
      <c r="Q123">
        <f ca="1"/>
      </c>
    </row>
    <row r="124" spans="15:17" x14ac:dyDescent="0.5">
      <c r="O124">
        <f ca="1"/>
      </c>
      <c r="P124">
        <f ca="1"/>
      </c>
      <c r="Q124">
        <f ca="1"/>
      </c>
    </row>
    <row r="125" spans="15:17" x14ac:dyDescent="0.5">
      <c r="O125">
        <f ca="1"/>
      </c>
      <c r="P125">
        <f ca="1"/>
      </c>
      <c r="Q125">
        <f ca="1"/>
      </c>
    </row>
    <row r="126" spans="15:17" x14ac:dyDescent="0.5">
      <c r="O126">
        <f ca="1"/>
      </c>
      <c r="P126">
        <f ca="1"/>
      </c>
      <c r="Q126">
        <f ca="1"/>
      </c>
    </row>
    <row r="127" spans="15:17" x14ac:dyDescent="0.5">
      <c r="O127">
        <f ca="1"/>
      </c>
      <c r="P127">
        <f ca="1"/>
      </c>
      <c r="Q127">
        <f ca="1"/>
      </c>
    </row>
    <row r="128" spans="15:17" x14ac:dyDescent="0.5">
      <c r="O128">
        <f ca="1"/>
      </c>
      <c r="P128">
        <f ca="1"/>
      </c>
      <c r="Q128">
        <f ca="1"/>
      </c>
    </row>
    <row r="129" spans="15:17" x14ac:dyDescent="0.5">
      <c r="O129">
        <f ca="1"/>
      </c>
      <c r="P129">
        <f ca="1"/>
      </c>
      <c r="Q129">
        <f ca="1"/>
      </c>
    </row>
    <row r="130" spans="15:17" x14ac:dyDescent="0.5">
      <c r="O130">
        <f ca="1"/>
      </c>
      <c r="P130">
        <f ca="1"/>
      </c>
      <c r="Q130">
        <f ca="1"/>
      </c>
    </row>
    <row r="131" spans="15:17" x14ac:dyDescent="0.5">
      <c r="O131">
        <f ca="1"/>
      </c>
      <c r="P131">
        <f ca="1"/>
      </c>
      <c r="Q131">
        <f ca="1"/>
      </c>
    </row>
    <row r="132" spans="15:17" x14ac:dyDescent="0.5">
      <c r="O132">
        <f ca="1"/>
      </c>
      <c r="P132">
        <f ca="1"/>
      </c>
      <c r="Q132">
        <f ca="1"/>
      </c>
    </row>
    <row r="133" spans="15:17" x14ac:dyDescent="0.5">
      <c r="O133">
        <f ca="1"/>
      </c>
      <c r="P133">
        <f ca="1"/>
      </c>
      <c r="Q133">
        <f ca="1"/>
      </c>
    </row>
    <row r="134" spans="15:17" x14ac:dyDescent="0.5">
      <c r="O134">
        <f ca="1"/>
      </c>
      <c r="P134">
        <f ca="1"/>
      </c>
      <c r="Q134">
        <f ca="1"/>
      </c>
    </row>
    <row r="135" spans="15:17" x14ac:dyDescent="0.5">
      <c r="O135">
        <f ca="1"/>
      </c>
      <c r="P135">
        <f ca="1"/>
      </c>
      <c r="Q135">
        <f ca="1"/>
      </c>
    </row>
    <row r="136" spans="15:17" x14ac:dyDescent="0.5">
      <c r="O136">
        <f ca="1"/>
      </c>
      <c r="P136">
        <f ca="1"/>
      </c>
      <c r="Q136">
        <f ca="1"/>
      </c>
    </row>
    <row r="137" spans="15:17" x14ac:dyDescent="0.5">
      <c r="O137">
        <f ca="1"/>
      </c>
      <c r="P137">
        <f ca="1"/>
      </c>
      <c r="Q137">
        <f ca="1"/>
      </c>
    </row>
    <row r="138" spans="15:17" x14ac:dyDescent="0.5">
      <c r="O138">
        <f ca="1"/>
      </c>
      <c r="P138">
        <f ca="1"/>
      </c>
      <c r="Q138">
        <f ca="1"/>
      </c>
    </row>
    <row r="139" spans="15:17" x14ac:dyDescent="0.5">
      <c r="O139">
        <f ca="1"/>
      </c>
      <c r="P139">
        <f ca="1"/>
      </c>
      <c r="Q139">
        <f ca="1"/>
      </c>
    </row>
    <row r="140" spans="15:17" x14ac:dyDescent="0.5">
      <c r="O140">
        <f ca="1"/>
      </c>
      <c r="P140">
        <f ca="1"/>
      </c>
      <c r="Q140">
        <f ca="1"/>
      </c>
    </row>
    <row r="141" spans="15:17" x14ac:dyDescent="0.5">
      <c r="O141">
        <f ca="1"/>
      </c>
      <c r="P141">
        <f ca="1"/>
      </c>
      <c r="Q141">
        <f ca="1"/>
      </c>
    </row>
    <row r="142" spans="15:17" x14ac:dyDescent="0.5">
      <c r="O142">
        <f ca="1"/>
      </c>
      <c r="P142">
        <f ca="1"/>
      </c>
      <c r="Q142">
        <f ca="1"/>
      </c>
    </row>
    <row r="143" spans="15:17" x14ac:dyDescent="0.5">
      <c r="O143">
        <f ca="1"/>
      </c>
      <c r="P143">
        <f ca="1"/>
      </c>
      <c r="Q143">
        <f ca="1"/>
      </c>
    </row>
    <row r="144" spans="15:17" x14ac:dyDescent="0.5">
      <c r="O144">
        <f ca="1"/>
      </c>
      <c r="P144">
        <f ca="1"/>
      </c>
      <c r="Q144">
        <f ca="1"/>
      </c>
    </row>
    <row r="145" spans="15:17" x14ac:dyDescent="0.5">
      <c r="O145">
        <f ca="1"/>
      </c>
      <c r="P145">
        <f ca="1"/>
      </c>
      <c r="Q145">
        <f ca="1"/>
      </c>
    </row>
    <row r="146" spans="15:17" x14ac:dyDescent="0.5">
      <c r="O146">
        <f ca="1"/>
      </c>
      <c r="P146">
        <f ca="1"/>
      </c>
      <c r="Q146">
        <f ca="1"/>
      </c>
    </row>
    <row r="147" spans="15:17" x14ac:dyDescent="0.5">
      <c r="O147">
        <f ca="1"/>
      </c>
      <c r="P147">
        <f ca="1"/>
      </c>
      <c r="Q147">
        <f ca="1"/>
      </c>
    </row>
    <row r="148" spans="15:17" x14ac:dyDescent="0.5">
      <c r="O148">
        <f ca="1"/>
      </c>
      <c r="P148">
        <f ca="1"/>
      </c>
      <c r="Q148">
        <f ca="1"/>
      </c>
    </row>
    <row r="149" spans="15:17" x14ac:dyDescent="0.5">
      <c r="O149">
        <f ca="1"/>
      </c>
      <c r="P149">
        <f ca="1"/>
      </c>
      <c r="Q149">
        <f ca="1"/>
      </c>
    </row>
    <row r="150" spans="15:17" x14ac:dyDescent="0.5">
      <c r="O150">
        <f ca="1"/>
      </c>
      <c r="P150">
        <f ca="1"/>
      </c>
      <c r="Q150">
        <f ca="1"/>
      </c>
    </row>
    <row r="151" spans="15:17" x14ac:dyDescent="0.5">
      <c r="O151">
        <f ca="1"/>
      </c>
      <c r="P151">
        <f ca="1"/>
      </c>
      <c r="Q151">
        <f ca="1"/>
      </c>
    </row>
    <row r="152" spans="15:17" x14ac:dyDescent="0.5">
      <c r="O152">
        <f ca="1"/>
      </c>
      <c r="P152">
        <f ca="1"/>
      </c>
      <c r="Q152">
        <f ca="1"/>
      </c>
    </row>
    <row r="153" spans="15:17" x14ac:dyDescent="0.5">
      <c r="O153">
        <f ca="1"/>
      </c>
      <c r="P153">
        <f ca="1"/>
      </c>
      <c r="Q153">
        <f ca="1"/>
      </c>
    </row>
    <row r="154" spans="15:17" x14ac:dyDescent="0.5">
      <c r="O154">
        <f ca="1"/>
      </c>
      <c r="P154">
        <f ca="1"/>
      </c>
      <c r="Q154">
        <f ca="1"/>
      </c>
    </row>
    <row r="155" spans="15:17" x14ac:dyDescent="0.5">
      <c r="O155">
        <f ca="1"/>
      </c>
      <c r="P155">
        <f ca="1"/>
      </c>
      <c r="Q155">
        <f ca="1"/>
      </c>
    </row>
    <row r="156" spans="15:17" x14ac:dyDescent="0.5">
      <c r="O156">
        <f ca="1"/>
      </c>
      <c r="P156">
        <f ca="1"/>
      </c>
      <c r="Q156">
        <f ca="1"/>
      </c>
    </row>
    <row r="157" spans="15:17" x14ac:dyDescent="0.5">
      <c r="O157">
        <f ca="1"/>
      </c>
      <c r="P157">
        <f ca="1"/>
      </c>
      <c r="Q157">
        <f ca="1"/>
      </c>
    </row>
    <row r="158" spans="15:17" x14ac:dyDescent="0.5">
      <c r="O158">
        <f ca="1"/>
      </c>
      <c r="P158">
        <f ca="1"/>
      </c>
      <c r="Q158">
        <f ca="1"/>
      </c>
    </row>
    <row r="159" spans="15:17" x14ac:dyDescent="0.5">
      <c r="O159">
        <f ca="1"/>
      </c>
      <c r="P159">
        <f ca="1"/>
      </c>
      <c r="Q159">
        <f ca="1"/>
      </c>
    </row>
    <row r="160" spans="15:17" x14ac:dyDescent="0.5">
      <c r="O160">
        <f ca="1"/>
      </c>
      <c r="P160">
        <f ca="1"/>
      </c>
      <c r="Q160">
        <f ca="1"/>
      </c>
    </row>
    <row r="161" spans="15:17" x14ac:dyDescent="0.5">
      <c r="O161">
        <f ca="1"/>
      </c>
      <c r="P161">
        <f ca="1"/>
      </c>
      <c r="Q161">
        <f ca="1"/>
      </c>
    </row>
    <row r="162" spans="15:17" x14ac:dyDescent="0.5">
      <c r="O162">
        <f ca="1"/>
      </c>
      <c r="P162">
        <f ca="1"/>
      </c>
      <c r="Q162">
        <f ca="1"/>
      </c>
    </row>
    <row r="163" spans="15:17" x14ac:dyDescent="0.5">
      <c r="O163">
        <f ca="1"/>
      </c>
      <c r="P163">
        <f ca="1"/>
      </c>
      <c r="Q163">
        <f ca="1"/>
      </c>
    </row>
    <row r="164" spans="15:17" x14ac:dyDescent="0.5">
      <c r="O164">
        <f ca="1"/>
      </c>
      <c r="P164">
        <f ca="1"/>
      </c>
      <c r="Q164">
        <f ca="1"/>
      </c>
    </row>
    <row r="165" spans="15:17" x14ac:dyDescent="0.5">
      <c r="O165">
        <f ca="1"/>
      </c>
      <c r="P165">
        <f ca="1"/>
      </c>
      <c r="Q165">
        <f ca="1"/>
      </c>
    </row>
    <row r="166" spans="15:17" x14ac:dyDescent="0.5">
      <c r="O166">
        <f ca="1"/>
      </c>
      <c r="P166">
        <f ca="1"/>
      </c>
      <c r="Q166">
        <f ca="1"/>
      </c>
    </row>
    <row r="167" spans="15:17" x14ac:dyDescent="0.5">
      <c r="O167">
        <f ca="1"/>
      </c>
      <c r="P167">
        <f ca="1"/>
      </c>
      <c r="Q167">
        <f ca="1"/>
      </c>
    </row>
    <row r="168" spans="15:17" x14ac:dyDescent="0.5">
      <c r="O168">
        <f ca="1"/>
      </c>
      <c r="P168">
        <f ca="1"/>
      </c>
      <c r="Q168">
        <f ca="1"/>
      </c>
    </row>
    <row r="169" spans="15:17" x14ac:dyDescent="0.5">
      <c r="O169">
        <f ca="1"/>
      </c>
      <c r="P169">
        <f ca="1"/>
      </c>
      <c r="Q169">
        <f ca="1"/>
      </c>
    </row>
    <row r="170" spans="15:17" x14ac:dyDescent="0.5">
      <c r="O170">
        <f ca="1"/>
      </c>
      <c r="P170">
        <f ca="1"/>
      </c>
      <c r="Q170">
        <f ca="1"/>
      </c>
    </row>
    <row r="171" spans="15:17" x14ac:dyDescent="0.5">
      <c r="O171">
        <f ca="1"/>
      </c>
      <c r="P171">
        <f ca="1"/>
      </c>
      <c r="Q171">
        <f ca="1"/>
      </c>
    </row>
    <row r="172" spans="15:17" x14ac:dyDescent="0.5">
      <c r="O172">
        <f ca="1"/>
      </c>
      <c r="P172">
        <f ca="1"/>
      </c>
      <c r="Q172">
        <f ca="1"/>
      </c>
    </row>
    <row r="173" spans="15:17" x14ac:dyDescent="0.5">
      <c r="O173">
        <f ca="1"/>
      </c>
      <c r="P173">
        <f ca="1"/>
      </c>
      <c r="Q173">
        <f ca="1"/>
      </c>
    </row>
    <row r="174" spans="15:17" x14ac:dyDescent="0.5">
      <c r="O174">
        <f ca="1"/>
      </c>
      <c r="P174">
        <f ca="1"/>
      </c>
      <c r="Q174">
        <f ca="1"/>
      </c>
    </row>
    <row r="175" spans="15:17" x14ac:dyDescent="0.5">
      <c r="O175">
        <f ca="1"/>
      </c>
      <c r="P175">
        <f ca="1"/>
      </c>
      <c r="Q175">
        <f ca="1"/>
      </c>
    </row>
    <row r="176" spans="15:17" x14ac:dyDescent="0.5">
      <c r="O176">
        <f ca="1"/>
      </c>
      <c r="P176">
        <f ca="1"/>
      </c>
      <c r="Q176">
        <f ca="1"/>
      </c>
    </row>
    <row r="177" spans="15:17" x14ac:dyDescent="0.5">
      <c r="O177">
        <f ca="1"/>
      </c>
      <c r="P177">
        <f ca="1"/>
      </c>
      <c r="Q177">
        <f ca="1"/>
      </c>
    </row>
    <row r="178" spans="15:17" x14ac:dyDescent="0.5">
      <c r="O178">
        <f ca="1"/>
      </c>
      <c r="P178">
        <f ca="1"/>
      </c>
      <c r="Q178">
        <f ca="1"/>
      </c>
    </row>
    <row r="179" spans="15:17" x14ac:dyDescent="0.5">
      <c r="O179">
        <f ca="1"/>
      </c>
      <c r="P179">
        <f ca="1"/>
      </c>
      <c r="Q179">
        <f ca="1"/>
      </c>
    </row>
    <row r="180" spans="15:17" x14ac:dyDescent="0.5">
      <c r="O180">
        <f ca="1"/>
      </c>
      <c r="P180">
        <f ca="1"/>
      </c>
      <c r="Q180">
        <f ca="1"/>
      </c>
    </row>
    <row r="181" spans="15:17" x14ac:dyDescent="0.5">
      <c r="O181">
        <f ca="1"/>
      </c>
      <c r="P181">
        <f ca="1"/>
      </c>
      <c r="Q181">
        <f ca="1"/>
      </c>
    </row>
    <row r="182" spans="15:17" x14ac:dyDescent="0.5">
      <c r="O182">
        <f ca="1"/>
      </c>
      <c r="P182">
        <f ca="1"/>
      </c>
      <c r="Q182">
        <f ca="1"/>
      </c>
    </row>
    <row r="183" spans="15:17" x14ac:dyDescent="0.5">
      <c r="O183">
        <f ca="1"/>
      </c>
      <c r="P183">
        <f ca="1"/>
      </c>
      <c r="Q183">
        <f ca="1"/>
      </c>
    </row>
    <row r="184" spans="15:17" x14ac:dyDescent="0.5">
      <c r="O184">
        <f ca="1"/>
      </c>
      <c r="P184">
        <f ca="1"/>
      </c>
      <c r="Q184">
        <f ca="1"/>
      </c>
    </row>
    <row r="185" spans="15:17" x14ac:dyDescent="0.5">
      <c r="O185">
        <f ca="1"/>
      </c>
      <c r="P185">
        <f ca="1"/>
      </c>
      <c r="Q185">
        <f ca="1"/>
      </c>
    </row>
    <row r="186" spans="15:17" x14ac:dyDescent="0.5">
      <c r="O186">
        <f ca="1"/>
      </c>
      <c r="P186">
        <f ca="1"/>
      </c>
      <c r="Q186">
        <f ca="1"/>
      </c>
    </row>
    <row r="187" spans="15:17" x14ac:dyDescent="0.5">
      <c r="O187">
        <f ca="1"/>
      </c>
      <c r="P187">
        <f ca="1"/>
      </c>
      <c r="Q187">
        <f ca="1"/>
      </c>
    </row>
    <row r="188" spans="15:17" x14ac:dyDescent="0.5">
      <c r="O188">
        <f ca="1"/>
      </c>
      <c r="P188">
        <f ca="1"/>
      </c>
      <c r="Q188">
        <f ca="1"/>
      </c>
    </row>
    <row r="189" spans="15:17" x14ac:dyDescent="0.5">
      <c r="O189">
        <f ca="1"/>
      </c>
      <c r="P189">
        <f ca="1"/>
      </c>
      <c r="Q189">
        <f ca="1"/>
      </c>
    </row>
    <row r="190" spans="15:17" x14ac:dyDescent="0.5">
      <c r="O190">
        <f ca="1"/>
      </c>
      <c r="P190">
        <f ca="1"/>
      </c>
      <c r="Q190">
        <f ca="1"/>
      </c>
    </row>
    <row r="191" spans="15:17" x14ac:dyDescent="0.5">
      <c r="O191">
        <f ca="1"/>
      </c>
      <c r="P191">
        <f ca="1"/>
      </c>
      <c r="Q191">
        <f ca="1"/>
      </c>
    </row>
    <row r="192" spans="15:17" x14ac:dyDescent="0.5">
      <c r="O192">
        <f ca="1"/>
      </c>
      <c r="P192">
        <f ca="1"/>
      </c>
      <c r="Q192">
        <f ca="1"/>
      </c>
    </row>
    <row r="193" spans="15:17" x14ac:dyDescent="0.5">
      <c r="O193">
        <f ca="1"/>
      </c>
      <c r="P193">
        <f ca="1"/>
      </c>
      <c r="Q193">
        <f ca="1"/>
      </c>
    </row>
    <row r="194" spans="15:17" x14ac:dyDescent="0.5">
      <c r="O194">
        <f ca="1"/>
      </c>
      <c r="P194">
        <f ca="1"/>
      </c>
      <c r="Q194">
        <f ca="1"/>
      </c>
    </row>
    <row r="195" spans="15:17" x14ac:dyDescent="0.5">
      <c r="O195">
        <f ca="1"/>
      </c>
      <c r="P195">
        <f ca="1"/>
      </c>
      <c r="Q195">
        <f ca="1"/>
      </c>
    </row>
    <row r="196" spans="15:17" x14ac:dyDescent="0.5">
      <c r="O196">
        <f ca="1"/>
      </c>
      <c r="P196">
        <f ca="1"/>
      </c>
      <c r="Q196">
        <f ca="1"/>
      </c>
    </row>
    <row r="197" spans="15:17" x14ac:dyDescent="0.5">
      <c r="O197">
        <f ca="1"/>
      </c>
      <c r="P197">
        <f ca="1"/>
      </c>
      <c r="Q197">
        <f ca="1"/>
      </c>
    </row>
    <row r="198" spans="15:17" x14ac:dyDescent="0.5">
      <c r="O198">
        <f ca="1"/>
      </c>
      <c r="P198">
        <f ca="1"/>
      </c>
      <c r="Q198">
        <f ca="1"/>
      </c>
    </row>
    <row r="199" spans="15:17" x14ac:dyDescent="0.5">
      <c r="O199">
        <f ca="1"/>
      </c>
      <c r="P199">
        <f ca="1"/>
      </c>
      <c r="Q199">
        <f ca="1"/>
      </c>
    </row>
    <row r="200" spans="15:17" x14ac:dyDescent="0.5">
      <c r="O200">
        <f ca="1"/>
      </c>
      <c r="P200">
        <f ca="1"/>
      </c>
      <c r="Q200">
        <f ca="1"/>
      </c>
    </row>
    <row r="201" spans="15:17" x14ac:dyDescent="0.5">
      <c r="O201">
        <f ca="1"/>
      </c>
      <c r="P201">
        <f ca="1"/>
      </c>
      <c r="Q201">
        <f ca="1"/>
      </c>
    </row>
    <row r="202" spans="15:17" x14ac:dyDescent="0.5">
      <c r="O202">
        <f ca="1"/>
      </c>
      <c r="P202">
        <f ca="1"/>
      </c>
      <c r="Q202">
        <f ca="1"/>
      </c>
    </row>
  </sheetData>
  <phoneticPr fontId="3"/>
  <dataValidations count="1">
    <dataValidation type="list" allowBlank="1" showInputMessage="1" showErrorMessage="1" sqref="B1" xr:uid="{A9054C21-5949-42AE-BFEE-49F56EFC0757}">
      <formula1>"Live,Fixed"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9</vt:i4>
      </vt:variant>
    </vt:vector>
  </HeadingPairs>
  <TitlesOfParts>
    <vt:vector size="21" baseType="lpstr">
      <vt:lpstr>Main</vt:lpstr>
      <vt:lpstr>Grid</vt:lpstr>
      <vt:lpstr>PCA</vt:lpstr>
      <vt:lpstr>Forward</vt:lpstr>
      <vt:lpstr>Live</vt:lpstr>
      <vt:lpstr>Delta</vt:lpstr>
      <vt:lpstr>Gamma</vt:lpstr>
      <vt:lpstr>Vega</vt:lpstr>
      <vt:lpstr>Bonds</vt:lpstr>
      <vt:lpstr>Trades</vt:lpstr>
      <vt:lpstr>Others</vt:lpstr>
      <vt:lpstr>Setup</vt:lpstr>
      <vt:lpstr>POS_Buckets</vt:lpstr>
      <vt:lpstr>POS_K</vt:lpstr>
      <vt:lpstr>POS_PcaUse</vt:lpstr>
      <vt:lpstr>POS_Pillars</vt:lpstr>
      <vt:lpstr>POS_RiskDate</vt:lpstr>
      <vt:lpstr>POS_ValDate</vt:lpstr>
      <vt:lpstr>POS_VolTails</vt:lpstr>
      <vt:lpstr>POS_Window</vt:lpstr>
      <vt:lpstr>POS_WindowEnd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2026-10-25T12:55:47Z</dcterms:created>
  <dcterms:modified xsi:type="dcterms:W3CDTF">2026-10-26T12:26:00Z</dcterms:modified>
</cp:coreProperties>
</file>