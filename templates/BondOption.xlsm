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3B411257-BC0A-473C-9996-9E60140E8560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Option" sheetId="12" r:id="rId1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TradeDate">Option!$B$4</definedName>
    <definedName name="VolDays">Option!$B$5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ublish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3" i="12" l="1" a="1"/>
  <c r="BA3" i="12"/>
  <c r="AF27" i="12"/>
  <c r="AF26" i="12"/>
  <c r="AF25" i="12"/>
  <c r="AF24" i="12"/>
  <c r="AF23" i="12"/>
  <c r="AF22" i="12"/>
  <c r="AF21" i="12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E27" i="12" a="1"/>
  <c r="AE27" i="12"/>
  <c r="AE26" i="12" a="1"/>
  <c r="AE26" i="12"/>
  <c r="AE25" i="12" a="1"/>
  <c r="AE25" i="12"/>
  <c r="AE24" i="12" a="1"/>
  <c r="AE24" i="12"/>
  <c r="AE23" i="12" a="1"/>
  <c r="AE23" i="12"/>
  <c r="AE22" i="12" a="1"/>
  <c r="AE22" i="12"/>
  <c r="AE21" i="12" a="1"/>
  <c r="AE21" i="12"/>
  <c r="AE20" i="12" a="1"/>
  <c r="AE20" i="12"/>
  <c r="AE19" i="12" a="1"/>
  <c r="AE19" i="12"/>
  <c r="AE18" i="12" a="1"/>
  <c r="AE18" i="12"/>
  <c r="AE17" i="12" a="1"/>
  <c r="AE17" i="12"/>
  <c r="AE16" i="12" a="1"/>
  <c r="AE16" i="12"/>
  <c r="AE15" i="12" a="1"/>
  <c r="AE15" i="12"/>
  <c r="AE14" i="12" a="1"/>
  <c r="AE14" i="12"/>
  <c r="AE13" i="12" a="1"/>
  <c r="AE13" i="12"/>
  <c r="AE12" i="12" a="1"/>
  <c r="AE12" i="12"/>
  <c r="AE11" i="12" a="1"/>
  <c r="AE11" i="12"/>
  <c r="AE10" i="12" a="1"/>
  <c r="AE10" i="12"/>
  <c r="AE9" i="12" a="1"/>
  <c r="AE9" i="12"/>
  <c r="AE8" i="12" a="1"/>
  <c r="AE8" i="12"/>
  <c r="AD27" i="12" a="1"/>
  <c r="AD27" i="12"/>
  <c r="AD26" i="12" a="1"/>
  <c r="AD26" i="12"/>
  <c r="AD25" i="12" a="1"/>
  <c r="AD25" i="12"/>
  <c r="AD24" i="12" a="1"/>
  <c r="AD24" i="12"/>
  <c r="AD23" i="12" a="1"/>
  <c r="AD23" i="12"/>
  <c r="AD22" i="12" a="1"/>
  <c r="AD22" i="12"/>
  <c r="AD21" i="12" a="1"/>
  <c r="AD21" i="12"/>
  <c r="AD20" i="12" a="1"/>
  <c r="AD20" i="12"/>
  <c r="AD19" i="12" a="1"/>
  <c r="AD19" i="12"/>
  <c r="AD18" i="12" a="1"/>
  <c r="AD18" i="12"/>
  <c r="AD17" i="12" a="1"/>
  <c r="AD17" i="12"/>
  <c r="AD16" i="12" a="1"/>
  <c r="AD16" i="12"/>
  <c r="AD15" i="12" a="1"/>
  <c r="AD15" i="12"/>
  <c r="AD14" i="12" a="1"/>
  <c r="AD14" i="12"/>
  <c r="AD13" i="12" a="1"/>
  <c r="AD13" i="12"/>
  <c r="AD12" i="12" a="1"/>
  <c r="AD12" i="12"/>
  <c r="AD11" i="12" a="1"/>
  <c r="AD11" i="12"/>
  <c r="AD10" i="12" a="1"/>
  <c r="AD10" i="12"/>
  <c r="AD9" i="12" a="1"/>
  <c r="AD9" i="12"/>
  <c r="AD8" i="12" a="1"/>
  <c r="AD8" i="12"/>
  <c r="AC27" i="12"/>
  <c r="AC26" i="12"/>
  <c r="AC25" i="12"/>
  <c r="AC24" i="12"/>
  <c r="AC23" i="12"/>
  <c r="AC22" i="12"/>
  <c r="AC21" i="12"/>
  <c r="AC20" i="12"/>
  <c r="AC19" i="12"/>
  <c r="AC18" i="12"/>
  <c r="AC17" i="12"/>
  <c r="AC16" i="12"/>
  <c r="AC15" i="12"/>
  <c r="AC14" i="12"/>
  <c r="AC13" i="12"/>
  <c r="AC12" i="12"/>
  <c r="AC11" i="12"/>
  <c r="AC10" i="12"/>
  <c r="AC9" i="12"/>
  <c r="AC8" i="12"/>
  <c r="AB27" i="12"/>
  <c r="AB26" i="12"/>
  <c r="AB25" i="12"/>
  <c r="AB24" i="12"/>
  <c r="AB23" i="12"/>
  <c r="AB22" i="12"/>
  <c r="AB21" i="12"/>
  <c r="AB20" i="12"/>
  <c r="AB19" i="12"/>
  <c r="AB18" i="12"/>
  <c r="AB17" i="12"/>
  <c r="AB16" i="12"/>
  <c r="AB15" i="12"/>
  <c r="AB14" i="12"/>
  <c r="AB13" i="12"/>
  <c r="AB12" i="12"/>
  <c r="AB11" i="12"/>
  <c r="AB10" i="12"/>
  <c r="AB9" i="12"/>
  <c r="AB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AA8" i="12"/>
  <c r="Z27" i="12" a="1"/>
  <c r="Z27" i="12"/>
  <c r="Z26" i="12" a="1"/>
  <c r="Z26" i="12"/>
  <c r="Z25" i="12" a="1"/>
  <c r="Z25" i="12"/>
  <c r="Z24" i="12" a="1"/>
  <c r="Z24" i="12"/>
  <c r="Z23" i="12" a="1"/>
  <c r="Z23" i="12"/>
  <c r="Z22" i="12" a="1"/>
  <c r="Z22" i="12"/>
  <c r="Z21" i="12" a="1"/>
  <c r="Z21" i="12"/>
  <c r="Z20" i="12" a="1"/>
  <c r="Z20" i="12"/>
  <c r="Z19" i="12" a="1"/>
  <c r="Z19" i="12"/>
  <c r="Z18" i="12" a="1"/>
  <c r="Z18" i="12"/>
  <c r="Z17" i="12" a="1"/>
  <c r="Z17" i="12"/>
  <c r="Z16" i="12" a="1"/>
  <c r="Z16" i="12"/>
  <c r="Z15" i="12" a="1"/>
  <c r="Z15" i="12"/>
  <c r="Z14" i="12" a="1"/>
  <c r="Z14" i="12"/>
  <c r="Z13" i="12" a="1"/>
  <c r="Z13" i="12"/>
  <c r="Z12" i="12" a="1"/>
  <c r="Z12" i="12"/>
  <c r="Z11" i="12" a="1"/>
  <c r="Z11" i="12"/>
  <c r="Z10" i="12" a="1"/>
  <c r="Z10" i="12"/>
  <c r="Z9" i="12" a="1"/>
  <c r="Z9" i="12"/>
  <c r="Z8" i="12" a="1"/>
  <c r="Z8" i="12"/>
  <c r="W27" i="12" a="1"/>
  <c r="W27" i="12"/>
  <c r="W26" i="12" a="1"/>
  <c r="W26" i="12"/>
  <c r="W25" i="12" a="1"/>
  <c r="W25" i="12"/>
  <c r="W24" i="12" a="1"/>
  <c r="W24" i="12"/>
  <c r="W23" i="12" a="1"/>
  <c r="W23" i="12"/>
  <c r="W22" i="12" a="1"/>
  <c r="W22" i="12"/>
  <c r="W21" i="12" a="1"/>
  <c r="W21" i="12"/>
  <c r="W20" i="12" a="1"/>
  <c r="W20" i="12"/>
  <c r="W19" i="12" a="1"/>
  <c r="W19" i="12"/>
  <c r="W18" i="12" a="1"/>
  <c r="W18" i="12"/>
  <c r="W17" i="12" a="1"/>
  <c r="W17" i="12"/>
  <c r="W16" i="12" a="1"/>
  <c r="W16" i="12"/>
  <c r="W15" i="12" a="1"/>
  <c r="W15" i="12"/>
  <c r="W14" i="12" a="1"/>
  <c r="W14" i="12"/>
  <c r="W13" i="12" a="1"/>
  <c r="W13" i="12"/>
  <c r="W12" i="12" a="1"/>
  <c r="W12" i="12"/>
  <c r="W11" i="12" a="1"/>
  <c r="W11" i="12"/>
  <c r="W10" i="12" a="1"/>
  <c r="W10" i="12"/>
  <c r="W9" i="12" a="1"/>
  <c r="W9" i="12"/>
  <c r="W8" i="12" a="1"/>
  <c r="W8" i="12"/>
  <c r="U27" i="12" a="1"/>
  <c r="U27" i="12"/>
  <c r="U26" i="12" a="1"/>
  <c r="U26" i="12"/>
  <c r="U25" i="12" a="1"/>
  <c r="U25" i="12"/>
  <c r="U24" i="12" a="1"/>
  <c r="U24" i="12"/>
  <c r="U23" i="12" a="1"/>
  <c r="U23" i="12"/>
  <c r="U22" i="12" a="1"/>
  <c r="U22" i="12"/>
  <c r="U21" i="12" a="1"/>
  <c r="U21" i="12"/>
  <c r="U20" i="12" a="1"/>
  <c r="U20" i="12"/>
  <c r="U19" i="12" a="1"/>
  <c r="U19" i="12"/>
  <c r="U18" i="12" a="1"/>
  <c r="U18" i="12"/>
  <c r="U17" i="12" a="1"/>
  <c r="U17" i="12"/>
  <c r="U16" i="12" a="1"/>
  <c r="U16" i="12"/>
  <c r="U15" i="12" a="1"/>
  <c r="U15" i="12"/>
  <c r="U14" i="12" a="1"/>
  <c r="U14" i="12"/>
  <c r="U13" i="12" a="1"/>
  <c r="U13" i="12"/>
  <c r="U12" i="12" a="1"/>
  <c r="U12" i="12"/>
  <c r="U11" i="12" a="1"/>
  <c r="U11" i="12"/>
  <c r="U10" i="12" a="1"/>
  <c r="U10" i="12"/>
  <c r="U9" i="12" a="1"/>
  <c r="U9" i="12"/>
  <c r="U8" i="12" a="1"/>
  <c r="U8" i="12"/>
  <c r="T27" i="12" a="1"/>
  <c r="T27" i="12"/>
  <c r="T26" i="12" a="1"/>
  <c r="T26" i="12"/>
  <c r="T25" i="12" a="1"/>
  <c r="T25" i="12"/>
  <c r="T24" i="12" a="1"/>
  <c r="T24" i="12"/>
  <c r="T23" i="12" a="1"/>
  <c r="T23" i="12"/>
  <c r="T22" i="12" a="1"/>
  <c r="T22" i="12"/>
  <c r="T21" i="12" a="1"/>
  <c r="T21" i="12"/>
  <c r="T20" i="12" a="1"/>
  <c r="T20" i="12"/>
  <c r="T19" i="12" a="1"/>
  <c r="T19" i="12"/>
  <c r="T18" i="12" a="1"/>
  <c r="T18" i="12"/>
  <c r="T17" i="12" a="1"/>
  <c r="T17" i="12"/>
  <c r="T16" i="12" a="1"/>
  <c r="T16" i="12"/>
  <c r="T15" i="12" a="1"/>
  <c r="T15" i="12"/>
  <c r="T14" i="12" a="1"/>
  <c r="T14" i="12"/>
  <c r="T13" i="12" a="1"/>
  <c r="T13" i="12"/>
  <c r="T12" i="12" a="1"/>
  <c r="T12" i="12"/>
  <c r="T11" i="12" a="1"/>
  <c r="T11" i="12"/>
  <c r="T10" i="12" a="1"/>
  <c r="T10" i="12"/>
  <c r="T9" i="12" a="1"/>
  <c r="T9" i="12"/>
  <c r="T8" i="12" a="1"/>
  <c r="T8" i="12"/>
  <c r="S27" i="12" a="1"/>
  <c r="S27" i="12"/>
  <c r="S26" i="12" a="1"/>
  <c r="S26" i="12"/>
  <c r="S25" i="12" a="1"/>
  <c r="S25" i="12"/>
  <c r="S24" i="12" a="1"/>
  <c r="S24" i="12"/>
  <c r="S23" i="12" a="1"/>
  <c r="S23" i="12"/>
  <c r="S22" i="12" a="1"/>
  <c r="S22" i="12"/>
  <c r="S21" i="12" a="1"/>
  <c r="S21" i="12"/>
  <c r="S20" i="12" a="1"/>
  <c r="S20" i="12"/>
  <c r="S19" i="12" a="1"/>
  <c r="S19" i="12"/>
  <c r="S18" i="12" a="1"/>
  <c r="S18" i="12"/>
  <c r="S17" i="12" a="1"/>
  <c r="S17" i="12"/>
  <c r="S16" i="12" a="1"/>
  <c r="S16" i="12"/>
  <c r="S15" i="12" a="1"/>
  <c r="S15" i="12"/>
  <c r="S14" i="12" a="1"/>
  <c r="S14" i="12"/>
  <c r="S13" i="12" a="1"/>
  <c r="S13" i="12"/>
  <c r="S12" i="12" a="1"/>
  <c r="S12" i="12"/>
  <c r="S11" i="12" a="1"/>
  <c r="S11" i="12"/>
  <c r="S10" i="12" a="1"/>
  <c r="S10" i="12"/>
  <c r="S9" i="12" a="1"/>
  <c r="S9" i="12"/>
  <c r="S8" i="12" a="1"/>
  <c r="S8" i="12"/>
  <c r="R27" i="12" a="1"/>
  <c r="R27" i="12"/>
  <c r="R26" i="12" a="1"/>
  <c r="R26" i="12"/>
  <c r="R25" i="12" a="1"/>
  <c r="R25" i="12"/>
  <c r="R24" i="12" a="1"/>
  <c r="R24" i="12"/>
  <c r="R23" i="12" a="1"/>
  <c r="R23" i="12"/>
  <c r="R22" i="12" a="1"/>
  <c r="R22" i="12"/>
  <c r="R21" i="12" a="1"/>
  <c r="R21" i="12"/>
  <c r="R20" i="12" a="1"/>
  <c r="R20" i="12"/>
  <c r="R19" i="12" a="1"/>
  <c r="R19" i="12"/>
  <c r="R18" i="12" a="1"/>
  <c r="R18" i="12"/>
  <c r="R17" i="12" a="1"/>
  <c r="R17" i="12"/>
  <c r="R16" i="12" a="1"/>
  <c r="R16" i="12"/>
  <c r="R15" i="12" a="1"/>
  <c r="R15" i="12"/>
  <c r="R14" i="12" a="1"/>
  <c r="R14" i="12"/>
  <c r="R13" i="12" a="1"/>
  <c r="R13" i="12"/>
  <c r="R12" i="12" a="1"/>
  <c r="R12" i="12"/>
  <c r="R11" i="12" a="1"/>
  <c r="R11" i="12"/>
  <c r="R10" i="12" a="1"/>
  <c r="R10" i="12"/>
  <c r="R9" i="12" a="1"/>
  <c r="R9" i="12"/>
  <c r="R8" i="12" a="1"/>
  <c r="R8" i="12"/>
  <c r="Q27" i="12" a="1"/>
  <c r="Q27" i="12"/>
  <c r="Q26" i="12" a="1"/>
  <c r="Q26" i="12"/>
  <c r="Q25" i="12" a="1"/>
  <c r="Q25" i="12"/>
  <c r="Q24" i="12" a="1"/>
  <c r="Q24" i="12"/>
  <c r="Q23" i="12" a="1"/>
  <c r="Q23" i="12"/>
  <c r="Q22" i="12" a="1"/>
  <c r="Q22" i="12"/>
  <c r="Q21" i="12" a="1"/>
  <c r="Q21" i="12"/>
  <c r="Q20" i="12" a="1"/>
  <c r="Q20" i="12"/>
  <c r="Q19" i="12" a="1"/>
  <c r="Q19" i="12"/>
  <c r="Q18" i="12" a="1"/>
  <c r="Q18" i="12"/>
  <c r="Q17" i="12" a="1"/>
  <c r="Q17" i="12"/>
  <c r="Q16" i="12" a="1"/>
  <c r="Q16" i="12"/>
  <c r="Q15" i="12" a="1"/>
  <c r="Q15" i="12"/>
  <c r="Q14" i="12" a="1"/>
  <c r="Q14" i="12"/>
  <c r="Q13" i="12" a="1"/>
  <c r="Q13" i="12"/>
  <c r="Q12" i="12" a="1"/>
  <c r="Q12" i="12"/>
  <c r="Q11" i="12" a="1"/>
  <c r="Q11" i="12"/>
  <c r="Q10" i="12" a="1"/>
  <c r="Q10" i="12"/>
  <c r="Q9" i="12" a="1"/>
  <c r="Q9" i="12"/>
  <c r="Q8" i="12" a="1"/>
  <c r="Q8" i="12"/>
  <c r="P27" i="12" a="1"/>
  <c r="P27" i="12"/>
  <c r="P26" i="12" a="1"/>
  <c r="P26" i="12"/>
  <c r="P25" i="12" a="1"/>
  <c r="P25" i="12"/>
  <c r="P24" i="12" a="1"/>
  <c r="P24" i="12"/>
  <c r="P23" i="12" a="1"/>
  <c r="P23" i="12"/>
  <c r="P22" i="12" a="1"/>
  <c r="P22" i="12"/>
  <c r="P21" i="12" a="1"/>
  <c r="P21" i="12"/>
  <c r="P20" i="12" a="1"/>
  <c r="P20" i="12"/>
  <c r="P19" i="12" a="1"/>
  <c r="P19" i="12"/>
  <c r="P18" i="12" a="1"/>
  <c r="P18" i="12"/>
  <c r="P17" i="12" a="1"/>
  <c r="P17" i="12"/>
  <c r="P16" i="12" a="1"/>
  <c r="P16" i="12"/>
  <c r="P15" i="12" a="1"/>
  <c r="P15" i="12"/>
  <c r="P14" i="12" a="1"/>
  <c r="P14" i="12"/>
  <c r="P13" i="12" a="1"/>
  <c r="P13" i="12"/>
  <c r="P12" i="12" a="1"/>
  <c r="P12" i="12"/>
  <c r="P11" i="12" a="1"/>
  <c r="P11" i="12"/>
  <c r="P10" i="12" a="1"/>
  <c r="P10" i="12"/>
  <c r="P9" i="12" a="1"/>
  <c r="P9" i="12"/>
  <c r="P8" i="12" a="1"/>
  <c r="P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M27" i="12" a="1"/>
  <c r="M27" i="12"/>
  <c r="M26" i="12" a="1"/>
  <c r="M26" i="12"/>
  <c r="M25" i="12" a="1"/>
  <c r="M25" i="12"/>
  <c r="M24" i="12" a="1"/>
  <c r="M24" i="12"/>
  <c r="M23" i="12" a="1"/>
  <c r="M23" i="12"/>
  <c r="M22" i="12" a="1"/>
  <c r="M22" i="12"/>
  <c r="M21" i="12" a="1"/>
  <c r="M21" i="12"/>
  <c r="M20" i="12" a="1"/>
  <c r="M20" i="12"/>
  <c r="M19" i="12" a="1"/>
  <c r="M19" i="12"/>
  <c r="M18" i="12" a="1"/>
  <c r="M18" i="12"/>
  <c r="M17" i="12" a="1"/>
  <c r="M17" i="12"/>
  <c r="M16" i="12" a="1"/>
  <c r="M16" i="12"/>
  <c r="M15" i="12" a="1"/>
  <c r="M15" i="12"/>
  <c r="M14" i="12" a="1"/>
  <c r="M14" i="12"/>
  <c r="M13" i="12" a="1"/>
  <c r="M13" i="12"/>
  <c r="M12" i="12" a="1"/>
  <c r="M12" i="12"/>
  <c r="M11" i="12" a="1"/>
  <c r="M11" i="12"/>
  <c r="M10" i="12" a="1"/>
  <c r="M10" i="12"/>
  <c r="M9" i="12" a="1"/>
  <c r="M9" i="12"/>
  <c r="M8" i="12" a="1"/>
  <c r="M8" i="12"/>
  <c r="K27" i="12" a="1"/>
  <c r="K27" i="12"/>
  <c r="K26" i="12" a="1"/>
  <c r="K26" i="12"/>
  <c r="K25" i="12" a="1"/>
  <c r="K25" i="12"/>
  <c r="K24" i="12" a="1"/>
  <c r="K24" i="12"/>
  <c r="K23" i="12" a="1"/>
  <c r="K23" i="12"/>
  <c r="K22" i="12" a="1"/>
  <c r="K22" i="12"/>
  <c r="K21" i="12" a="1"/>
  <c r="K21" i="12"/>
  <c r="K20" i="12" a="1"/>
  <c r="K20" i="12"/>
  <c r="K19" i="12" a="1"/>
  <c r="K19" i="12"/>
  <c r="K18" i="12" a="1"/>
  <c r="K18" i="12"/>
  <c r="K17" i="12" a="1"/>
  <c r="K17" i="12"/>
  <c r="K16" i="12" a="1"/>
  <c r="K16" i="12"/>
  <c r="K15" i="12" a="1"/>
  <c r="K15" i="12"/>
  <c r="K14" i="12" a="1"/>
  <c r="K14" i="12"/>
  <c r="K13" i="12" a="1"/>
  <c r="K13" i="12"/>
  <c r="K12" i="12" a="1"/>
  <c r="K12" i="12"/>
  <c r="K11" i="12" a="1"/>
  <c r="K11" i="12"/>
  <c r="K10" i="12" a="1"/>
  <c r="K10" i="12"/>
  <c r="K9" i="12" a="1"/>
  <c r="K9" i="12"/>
  <c r="K8" i="12" a="1"/>
  <c r="K8" i="12"/>
  <c r="B4" i="12" a="1"/>
  <c r="B4" i="12"/>
  <c r="D1" i="12" a="1"/>
  <c r="D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<sst xmlns="http://schemas.openxmlformats.org/spreadsheetml/2006/main" count="44" uniqueCount="44">
  <si>
    <t>Vol</t>
  </si>
  <si>
    <t>Live</t>
  </si>
  <si>
    <t>Updated</t>
  </si>
  <si>
    <t>Live: reads the latest swaption vols on every Shift+F9. Fixed: keeps the vols last read on this sheet. Updated = when the vols last changed in LiveFeed.</t>
  </si>
  <si>
    <t>BondOption (JGB OTC options, European, physical delivery)</t>
  </si>
  <si>
    <t>Trade date (blank = today)</t>
  </si>
  <si>
    <t>Trade date used</t>
  </si>
  <si>
    <t>Normal vol -&gt; bp/day: divide by SQRT of</t>
  </si>
  <si>
    <t>Inputs: yellow columns. Data: python -m engine.common.morning_batch (JGB terms / JCL close). Vols: LiveFeed.xlsm RealTimeVol. Premium is not discounted.</t>
  </si>
  <si>
    <t>Bond</t>
  </si>
  <si>
    <t>Type</t>
  </si>
  <si>
    <t>Expiry</t>
  </si>
  <si>
    <t>Settle lag (bd)</t>
  </si>
  <si>
    <t>Notional (100mn JPY)</t>
  </si>
  <si>
    <t>Repo (%)</t>
  </si>
  <si>
    <t>ATM slide (bp)</t>
  </si>
  <si>
    <t>Strike slide (bp)</t>
  </si>
  <si>
    <t>Normal vol override (bp/yr)</t>
  </si>
  <si>
    <t>bp vol override (bp/day)</t>
  </si>
  <si>
    <t>Coupon (%)</t>
  </si>
  <si>
    <t>Maturity</t>
  </si>
  <si>
    <t>Close yield (%)</t>
  </si>
  <si>
    <t>Close date</t>
  </si>
  <si>
    <t>ATM yield (%)</t>
  </si>
  <si>
    <t>Strike yield (%)</t>
  </si>
  <si>
    <t>Spot settle</t>
  </si>
  <si>
    <t>Exercise settle</t>
  </si>
  <si>
    <t>Spot price</t>
  </si>
  <si>
    <t>Strike price</t>
  </si>
  <si>
    <t>Fwd clean</t>
  </si>
  <si>
    <t>Fwd dirty</t>
  </si>
  <si>
    <t>Fwd yield (%)</t>
  </si>
  <si>
    <t>Fwd DD</t>
  </si>
  <si>
    <t>Fwd MD</t>
  </si>
  <si>
    <t>Normal vol (bp/yr)</t>
  </si>
  <si>
    <t>Normal vol used (bp/yr)</t>
  </si>
  <si>
    <t>bp vol used (bp/day)</t>
  </si>
  <si>
    <t>Price vol (%)</t>
  </si>
  <si>
    <t>Term (bd/252)</t>
  </si>
  <si>
    <t>Premium (sen)</t>
  </si>
  <si>
    <t>Premium (JPY)</t>
  </si>
  <si>
    <t>JS182</t>
  </si>
  <si>
    <t>Put</t>
  </si>
  <si>
    <t>Live vol (Name / RIC / Value)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</si>
</sst>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0" formatCode="yyyy\-mm\-dd"/>
    <numFmt numFmtId="181" formatCode="0.000"/>
    <numFmt numFmtId="182" formatCode="0.0"/>
    <numFmt numFmtId="183" formatCode="0.0000"/>
    <numFmt numFmtId="184" formatCode="0.000000"/>
    <numFmt numFmtId="185" formatCode="0.00000"/>
  </numFmts>
  <fonts count="4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19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18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49" fontId="0" fillId="2" borderId="0" xfId="0" applyNumberFormat="1" applyFill="1">
      <alignment vertical="center"/>
    </xf>
    <xf numFmtId="0" fontId="3" fillId="2" borderId="0" xfId="0" applyFont="1" applyFill="1" applyAlignment="1">
      <alignment vertical="center" wrapText="1"/>
    </xf>
    <xf numFmtId="180" fontId="0" fillId="2" borderId="0" xfId="0" applyNumberFormat="1" applyFill="1">
      <alignment vertical="center"/>
    </xf>
    <xf numFmtId="1" fontId="0" fillId="2" borderId="0" xfId="0" applyNumberFormat="1" applyFill="1">
      <alignment vertical="center"/>
    </xf>
    <xf numFmtId="3" fontId="0" fillId="0" borderId="0" xfId="0" applyNumberFormat="1">
      <alignment vertical="center"/>
    </xf>
    <xf numFmtId="3" fontId="0" fillId="2" borderId="0" xfId="0" applyNumberFormat="1" applyFill="1">
      <alignment vertical="center"/>
    </xf>
    <xf numFmtId="181" fontId="0" fillId="0" borderId="0" xfId="0" applyNumberFormat="1">
      <alignment vertical="center"/>
    </xf>
    <xf numFmtId="181" fontId="0" fillId="2" borderId="0" xfId="0" applyNumberFormat="1" applyFill="1">
      <alignment vertical="center"/>
    </xf>
    <xf numFmtId="182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183" fontId="0" fillId="0" borderId="0" xfId="0" applyNumberFormat="1">
      <alignment vertical="center"/>
    </xf>
    <xf numFmtId="183" fontId="0" fillId="2" borderId="0" xfId="0" applyNumberFormat="1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A823-2B9A-41C7-B3F3-B9279A6EA1F8}">
  <sheetPr codeName="Sheet1"/>
  <dimension ref="A1:BD27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" outlineLevelCol="1" x14ac:dyDescent="0.55000000000000004"/>
  <cols>
    <col min="1" max="4" width="11.58203125" customWidth="1"/>
    <col min="5" max="5" width="12.58203125" customWidth="1"/>
    <col min="6" max="32" width="11.58203125" customWidth="1"/>
    <col min="53" max="55" width="0" hidden="1" customWidth="1" outlineLevel="1"/>
    <col min="56" max="56" width="8.6640625" collapsed="1"/>
  </cols>
  <sheetData>
    <row r="1" spans="1:53" x14ac:dyDescent="0.55000000000000004">
      <c r="A1" t="s">
        <v>0</v>
      </c>
      <c r="B1" t="s">
        <v>1</v>
      </c>
      <c r="C1" t="s">
        <v>2</v>
      </c>
      <c r="D1" cm="1">
        <f t="array" aca="1" ref="D1" ca="1">LiveInfo("vol",_xlfn.ANCHORARRAY($BA$3))</f>
      </c>
      <c r="E1" t="s">
        <v>3</v>
      </c>
    </row>
    <row r="2" spans="1:53" x14ac:dyDescent="0.55000000000000004">
      <c r="A2" s="2" t="s">
        <v>4</v>
      </c>
      <c r="BA2" t="s">
        <v>43</v>
      </c>
    </row>
    <row r="3" spans="1:53" x14ac:dyDescent="0.55000000000000004">
      <c r="A3" t="s">
        <v>5</v>
      </c>
      <c r="B3" s="3"/>
      <c r="D3" t="s">
        <v>8</v>
      </c>
      <c r="BA3" cm="1">
        <f t="array" aca="1" ref="BA3" ca="1">IF($B$1="Fixed",LiveSnapshot("vol"),LiveQuotes("vol"))</f>
      </c>
    </row>
    <row r="4" spans="1:53" x14ac:dyDescent="0.55000000000000004">
      <c r="A4" t="s">
        <v>6</v>
      </c>
      <c r="B4" s="3" cm="1">
        <f t="array" aca="1" ref="B4" ca="1">ValuationDate(B3)</f>
      </c>
    </row>
    <row r="5" spans="1:53" x14ac:dyDescent="0.55000000000000004">
      <c r="A5" t="s">
        <v>7</v>
      </c>
      <c r="B5">
        <v>252</v>
      </c>
    </row>
    <row r="7" spans="1:53" ht="45" customHeight="1" x14ac:dyDescent="0.55000000000000004">
      <c r="A7" s="6" t="s">
        <v>9</v>
      </c>
      <c r="B7" s="6" t="s">
        <v>10</v>
      </c>
      <c r="C7" s="6" t="s">
        <v>11</v>
      </c>
      <c r="D7" s="6" t="s">
        <v>12</v>
      </c>
      <c r="E7" s="6" t="s">
        <v>13</v>
      </c>
      <c r="F7" s="6" t="s">
        <v>14</v>
      </c>
      <c r="G7" s="6" t="s">
        <v>15</v>
      </c>
      <c r="H7" s="6" t="s">
        <v>16</v>
      </c>
      <c r="I7" s="6" t="s">
        <v>17</v>
      </c>
      <c r="J7" s="6" t="s">
        <v>18</v>
      </c>
      <c r="K7" s="4" t="s">
        <v>19</v>
      </c>
      <c r="L7" s="4" t="s">
        <v>20</v>
      </c>
      <c r="M7" s="4" t="s">
        <v>21</v>
      </c>
      <c r="N7" s="4" t="s">
        <v>22</v>
      </c>
      <c r="O7" s="4" t="s">
        <v>23</v>
      </c>
      <c r="P7" s="4" t="s">
        <v>24</v>
      </c>
      <c r="Q7" s="4" t="s">
        <v>25</v>
      </c>
      <c r="R7" s="4" t="s">
        <v>26</v>
      </c>
      <c r="S7" s="4" t="s">
        <v>27</v>
      </c>
      <c r="T7" s="4" t="s">
        <v>28</v>
      </c>
      <c r="U7" s="4" t="s">
        <v>29</v>
      </c>
      <c r="V7" s="4" t="s">
        <v>30</v>
      </c>
      <c r="W7" s="4" t="s">
        <v>31</v>
      </c>
      <c r="X7" s="4" t="s">
        <v>32</v>
      </c>
      <c r="Y7" s="4" t="s">
        <v>33</v>
      </c>
      <c r="Z7" s="4" t="s">
        <v>34</v>
      </c>
      <c r="AA7" s="4" t="s">
        <v>35</v>
      </c>
      <c r="AB7" s="4" t="s">
        <v>36</v>
      </c>
      <c r="AC7" s="4" t="s">
        <v>37</v>
      </c>
      <c r="AD7" s="4" t="s">
        <v>38</v>
      </c>
      <c r="AE7" s="4" t="s">
        <v>39</v>
      </c>
      <c r="AF7" s="4" t="s">
        <v>40</v>
      </c>
    </row>
    <row r="8" spans="1:53" x14ac:dyDescent="0.55000000000000004">
      <c r="A8" s="5" t="s">
        <v>41</v>
      </c>
      <c r="B8" s="5" t="s">
        <v>42</v>
      </c>
      <c r="C8" s="7">
        <v>46371.625</v>
      </c>
      <c r="D8" s="8">
        <v>1</v>
      </c>
      <c r="E8" s="10">
        <v>10</v>
      </c>
      <c r="F8" s="12">
        <v>0.5</v>
      </c>
      <c r="G8" s="13">
        <v>0</v>
      </c>
      <c r="H8" s="13">
        <v>0</v>
      </c>
      <c r="I8" s="14"/>
      <c r="J8" s="16"/>
      <c r="K8" s="11" cm="1">
        <f t="array" aca="1" ref="K8" ca="1">IF($A8="","",JgbInfo($A8))</f>
      </c>
      <c r="L8" s="3"/>
      <c r="M8" s="11" cm="1">
        <f t="array" aca="1" ref="M8" ca="1">IF($A8="","",JgbClose($A8,TradeDate))</f>
      </c>
      <c r="N8" s="3"/>
      <c r="O8" s="11">
        <f ca="1">IF($A8="","",M8+N(G8)/100)</f>
      </c>
      <c r="P8" s="11" cm="1">
        <f t="array" aca="1" ref="P8" ca="1">IF($A8="","",JgbYield($A8,T8,R8))</f>
      </c>
      <c r="Q8" s="3" cm="1">
        <f t="array" aca="1" ref="Q8" ca="1">IF($A8="","",JgbSettle(TradeDate,1))</f>
      </c>
      <c r="R8" s="3" cm="1">
        <f t="array" aca="1" ref="R8" ca="1">IF($A8="","",JgbSettle(C8,D8))</f>
      </c>
      <c r="S8" s="11" cm="1">
        <f t="array" aca="1" ref="S8" ca="1">IF($A8="","",JgbPrice($A8,O8,Q8))</f>
      </c>
      <c r="T8" s="11" cm="1">
        <f t="array" aca="1" ref="T8" ca="1">IF($A8="","",JgbPrice($A8,O8+N(H8)/100,C8))</f>
      </c>
      <c r="U8" s="17" cm="1">
        <f t="array" aca="1" ref="U8" ca="1">IF($A8="","",BondForward($A8,S8,Q8,R8,F8))</f>
      </c>
      <c r="V8" s="17"/>
      <c r="W8" s="11" cm="1">
        <f t="array" aca="1" ref="W8" ca="1">IF($A8="","",ForwardDuration($A8,V8,R8))</f>
      </c>
      <c r="X8" s="17"/>
      <c r="Y8" s="15"/>
      <c r="Z8" s="1" cm="1">
        <f t="array" aca="1" ref="Z8" ca="1">IF($A8="","",SwaptionVol(_xlfn.ANCHORARRAY($BA$3),TradeDate,C8,$A8))</f>
      </c>
      <c r="AA8" s="1">
        <f ca="1">IF($A8="","",IF(J8&lt;&gt;"",J8*SQRT(VolDays),IF(I8&lt;&gt;"",I8,Z8)))</f>
      </c>
      <c r="AB8" s="15">
        <f ca="1">IF($A8="","",IF(J8&lt;&gt;"",J8,AA8/SQRT(VolDays)))</f>
      </c>
      <c r="AC8" s="18">
        <f ca="1">IF($A8="","",AB8*SQRT(252)*Y8/100)</f>
      </c>
      <c r="AD8" s="17" cm="1">
        <f t="array" aca="1" ref="AD8" ca="1">IF($A8="","",OptionTerm(TradeDate,C8))</f>
      </c>
      <c r="AE8" s="15" cm="1">
        <f t="array" aca="1" ref="AE8" ca="1">IF($A8="","",BlackPremium(B8,U8,T8,AC8,AD8)*100)</f>
      </c>
      <c r="AF8" s="9">
        <f ca="1">IF(OR($A8="",E8=""),"",AE8*E8*10000)</f>
      </c>
    </row>
    <row r="9" spans="1:53" x14ac:dyDescent="0.55000000000000004">
      <c r="A9" s="5"/>
      <c r="B9" s="5"/>
      <c r="C9" s="7"/>
      <c r="D9" s="8"/>
      <c r="E9" s="10"/>
      <c r="F9" s="12"/>
      <c r="G9" s="13"/>
      <c r="H9" s="13"/>
      <c r="I9" s="14"/>
      <c r="J9" s="16"/>
      <c r="K9" s="11" cm="1">
        <f t="array" aca="1" ref="K9" ca="1">IF($A9="","",JgbInfo($A9))</f>
      </c>
      <c r="L9" s="3"/>
      <c r="M9" s="11" cm="1">
        <f t="array" aca="1" ref="M9" ca="1">IF($A9="","",JgbClose($A9,TradeDate))</f>
      </c>
      <c r="N9" s="3"/>
      <c r="O9" s="11">
        <f ca="1">IF($A9="","",M9+N(G9)/100)</f>
      </c>
      <c r="P9" s="11" cm="1">
        <f t="array" aca="1" ref="P9" ca="1">IF($A9="","",JgbYield($A9,T9,R9))</f>
      </c>
      <c r="Q9" s="3" cm="1">
        <f t="array" aca="1" ref="Q9" ca="1">IF($A9="","",JgbSettle(TradeDate,1))</f>
      </c>
      <c r="R9" s="3" cm="1">
        <f t="array" aca="1" ref="R9" ca="1">IF($A9="","",JgbSettle(C9,D9))</f>
      </c>
      <c r="S9" s="11" cm="1">
        <f t="array" aca="1" ref="S9" ca="1">IF($A9="","",JgbPrice($A9,O9,Q9))</f>
      </c>
      <c r="T9" s="11" cm="1">
        <f t="array" aca="1" ref="T9" ca="1">IF($A9="","",JgbPrice($A9,O9+N(H9)/100,C9))</f>
      </c>
      <c r="U9" s="17" cm="1">
        <f t="array" aca="1" ref="U9" ca="1">IF($A9="","",BondForward($A9,S9,Q9,R9,F9))</f>
      </c>
      <c r="V9" s="17"/>
      <c r="W9" s="11" cm="1">
        <f t="array" aca="1" ref="W9" ca="1">IF($A9="","",ForwardDuration($A9,V9,R9))</f>
      </c>
      <c r="X9" s="17"/>
      <c r="Y9" s="15"/>
      <c r="Z9" s="1" cm="1">
        <f t="array" aca="1" ref="Z9" ca="1">IF($A9="","",SwaptionVol(_xlfn.ANCHORARRAY($BA$3),TradeDate,C9,$A9))</f>
      </c>
      <c r="AA9" s="1">
        <f ca="1">IF($A9="","",IF(J9&lt;&gt;"",J9*SQRT(VolDays),IF(I9&lt;&gt;"",I9,Z9)))</f>
      </c>
      <c r="AB9" s="15">
        <f ca="1">IF($A9="","",IF(J9&lt;&gt;"",J9,AA9/SQRT(VolDays)))</f>
      </c>
      <c r="AC9" s="18">
        <f ca="1">IF($A9="","",AB9*SQRT(252)*Y9/100)</f>
      </c>
      <c r="AD9" s="17" cm="1">
        <f t="array" aca="1" ref="AD9" ca="1">IF($A9="","",OptionTerm(TradeDate,C9))</f>
      </c>
      <c r="AE9" s="15" cm="1">
        <f t="array" aca="1" ref="AE9" ca="1">IF($A9="","",BlackPremium(B9,U9,T9,AC9,AD9)*100)</f>
      </c>
      <c r="AF9" s="9">
        <f ca="1">IF(OR($A9="",E9=""),"",AE9*E9*10000)</f>
      </c>
    </row>
    <row r="10" spans="1:53" x14ac:dyDescent="0.55000000000000004">
      <c r="A10" s="5"/>
      <c r="B10" s="5"/>
      <c r="C10" s="7"/>
      <c r="D10" s="8"/>
      <c r="E10" s="10"/>
      <c r="F10" s="12"/>
      <c r="G10" s="13"/>
      <c r="H10" s="13"/>
      <c r="I10" s="14"/>
      <c r="J10" s="16"/>
      <c r="K10" s="11" cm="1">
        <f t="array" aca="1" ref="K10" ca="1">IF($A10="","",JgbInfo($A10))</f>
      </c>
      <c r="L10" s="3"/>
      <c r="M10" s="11" cm="1">
        <f t="array" aca="1" ref="M10" ca="1">IF($A10="","",JgbClose($A10,TradeDate))</f>
      </c>
      <c r="N10" s="3"/>
      <c r="O10" s="11">
        <f ca="1">IF($A10="","",M10+N(G10)/100)</f>
      </c>
      <c r="P10" s="11" cm="1">
        <f t="array" aca="1" ref="P10" ca="1">IF($A10="","",JgbYield($A10,T10,R10))</f>
      </c>
      <c r="Q10" s="3" cm="1">
        <f t="array" aca="1" ref="Q10" ca="1">IF($A10="","",JgbSettle(TradeDate,1))</f>
      </c>
      <c r="R10" s="3" cm="1">
        <f t="array" aca="1" ref="R10" ca="1">IF($A10="","",JgbSettle(C10,D10))</f>
      </c>
      <c r="S10" s="11" cm="1">
        <f t="array" aca="1" ref="S10" ca="1">IF($A10="","",JgbPrice($A10,O10,Q10))</f>
      </c>
      <c r="T10" s="11" cm="1">
        <f t="array" aca="1" ref="T10" ca="1">IF($A10="","",JgbPrice($A10,O10+N(H10)/100,C10))</f>
      </c>
      <c r="U10" s="17" cm="1">
        <f t="array" aca="1" ref="U10" ca="1">IF($A10="","",BondForward($A10,S10,Q10,R10,F10))</f>
      </c>
      <c r="V10" s="17"/>
      <c r="W10" s="11" cm="1">
        <f t="array" aca="1" ref="W10" ca="1">IF($A10="","",ForwardDuration($A10,V10,R10))</f>
      </c>
      <c r="X10" s="17"/>
      <c r="Y10" s="15"/>
      <c r="Z10" s="1" cm="1">
        <f t="array" aca="1" ref="Z10" ca="1">IF($A10="","",SwaptionVol(_xlfn.ANCHORARRAY($BA$3),TradeDate,C10,$A10))</f>
      </c>
      <c r="AA10" s="1">
        <f ca="1">IF($A10="","",IF(J10&lt;&gt;"",J10*SQRT(VolDays),IF(I10&lt;&gt;"",I10,Z10)))</f>
      </c>
      <c r="AB10" s="15">
        <f ca="1">IF($A10="","",IF(J10&lt;&gt;"",J10,AA10/SQRT(VolDays)))</f>
      </c>
      <c r="AC10" s="18">
        <f ca="1">IF($A10="","",AB10*SQRT(252)*Y10/100)</f>
      </c>
      <c r="AD10" s="17" cm="1">
        <f t="array" aca="1" ref="AD10" ca="1">IF($A10="","",OptionTerm(TradeDate,C10))</f>
      </c>
      <c r="AE10" s="15" cm="1">
        <f t="array" aca="1" ref="AE10" ca="1">IF($A10="","",BlackPremium(B10,U10,T10,AC10,AD10)*100)</f>
      </c>
      <c r="AF10" s="9">
        <f ca="1">IF(OR($A10="",E10=""),"",AE10*E10*10000)</f>
      </c>
    </row>
    <row r="11" spans="1:53" x14ac:dyDescent="0.55000000000000004">
      <c r="A11" s="5"/>
      <c r="B11" s="5"/>
      <c r="C11" s="7"/>
      <c r="D11" s="8"/>
      <c r="E11" s="10"/>
      <c r="F11" s="12"/>
      <c r="G11" s="13"/>
      <c r="H11" s="13"/>
      <c r="I11" s="14"/>
      <c r="J11" s="16"/>
      <c r="K11" s="11" cm="1">
        <f t="array" aca="1" ref="K11" ca="1">IF($A11="","",JgbInfo($A11))</f>
      </c>
      <c r="L11" s="3"/>
      <c r="M11" s="11" cm="1">
        <f t="array" aca="1" ref="M11" ca="1">IF($A11="","",JgbClose($A11,TradeDate))</f>
      </c>
      <c r="N11" s="3"/>
      <c r="O11" s="11">
        <f ca="1">IF($A11="","",M11+N(G11)/100)</f>
      </c>
      <c r="P11" s="11" cm="1">
        <f t="array" aca="1" ref="P11" ca="1">IF($A11="","",JgbYield($A11,T11,R11))</f>
      </c>
      <c r="Q11" s="3" cm="1">
        <f t="array" aca="1" ref="Q11" ca="1">IF($A11="","",JgbSettle(TradeDate,1))</f>
      </c>
      <c r="R11" s="3" cm="1">
        <f t="array" aca="1" ref="R11" ca="1">IF($A11="","",JgbSettle(C11,D11))</f>
      </c>
      <c r="S11" s="11" cm="1">
        <f t="array" aca="1" ref="S11" ca="1">IF($A11="","",JgbPrice($A11,O11,Q11))</f>
      </c>
      <c r="T11" s="11" cm="1">
        <f t="array" aca="1" ref="T11" ca="1">IF($A11="","",JgbPrice($A11,O11+N(H11)/100,C11))</f>
      </c>
      <c r="U11" s="17" cm="1">
        <f t="array" aca="1" ref="U11" ca="1">IF($A11="","",BondForward($A11,S11,Q11,R11,F11))</f>
      </c>
      <c r="V11" s="17"/>
      <c r="W11" s="11" cm="1">
        <f t="array" aca="1" ref="W11" ca="1">IF($A11="","",ForwardDuration($A11,V11,R11))</f>
      </c>
      <c r="X11" s="17"/>
      <c r="Y11" s="15"/>
      <c r="Z11" s="1" cm="1">
        <f t="array" aca="1" ref="Z11" ca="1">IF($A11="","",SwaptionVol(_xlfn.ANCHORARRAY($BA$3),TradeDate,C11,$A11))</f>
      </c>
      <c r="AA11" s="1">
        <f ca="1">IF($A11="","",IF(J11&lt;&gt;"",J11*SQRT(VolDays),IF(I11&lt;&gt;"",I11,Z11)))</f>
      </c>
      <c r="AB11" s="15">
        <f ca="1">IF($A11="","",IF(J11&lt;&gt;"",J11,AA11/SQRT(VolDays)))</f>
      </c>
      <c r="AC11" s="18">
        <f ca="1">IF($A11="","",AB11*SQRT(252)*Y11/100)</f>
      </c>
      <c r="AD11" s="17" cm="1">
        <f t="array" aca="1" ref="AD11" ca="1">IF($A11="","",OptionTerm(TradeDate,C11))</f>
      </c>
      <c r="AE11" s="15" cm="1">
        <f t="array" aca="1" ref="AE11" ca="1">IF($A11="","",BlackPremium(B11,U11,T11,AC11,AD11)*100)</f>
      </c>
      <c r="AF11" s="9">
        <f ca="1">IF(OR($A11="",E11=""),"",AE11*E11*10000)</f>
      </c>
    </row>
    <row r="12" spans="1:53" x14ac:dyDescent="0.55000000000000004">
      <c r="A12" s="5"/>
      <c r="B12" s="5"/>
      <c r="C12" s="7"/>
      <c r="D12" s="8"/>
      <c r="E12" s="10"/>
      <c r="F12" s="12"/>
      <c r="G12" s="13"/>
      <c r="H12" s="13"/>
      <c r="I12" s="14"/>
      <c r="J12" s="16"/>
      <c r="K12" s="11" cm="1">
        <f t="array" aca="1" ref="K12" ca="1">IF($A12="","",JgbInfo($A12))</f>
      </c>
      <c r="L12" s="3"/>
      <c r="M12" s="11" cm="1">
        <f t="array" aca="1" ref="M12" ca="1">IF($A12="","",JgbClose($A12,TradeDate))</f>
      </c>
      <c r="N12" s="3"/>
      <c r="O12" s="11">
        <f ca="1">IF($A12="","",M12+N(G12)/100)</f>
      </c>
      <c r="P12" s="11" cm="1">
        <f t="array" aca="1" ref="P12" ca="1">IF($A12="","",JgbYield($A12,T12,R12))</f>
      </c>
      <c r="Q12" s="3" cm="1">
        <f t="array" aca="1" ref="Q12" ca="1">IF($A12="","",JgbSettle(TradeDate,1))</f>
      </c>
      <c r="R12" s="3" cm="1">
        <f t="array" aca="1" ref="R12" ca="1">IF($A12="","",JgbSettle(C12,D12))</f>
      </c>
      <c r="S12" s="11" cm="1">
        <f t="array" aca="1" ref="S12" ca="1">IF($A12="","",JgbPrice($A12,O12,Q12))</f>
      </c>
      <c r="T12" s="11" cm="1">
        <f t="array" aca="1" ref="T12" ca="1">IF($A12="","",JgbPrice($A12,O12+N(H12)/100,C12))</f>
      </c>
      <c r="U12" s="17" cm="1">
        <f t="array" aca="1" ref="U12" ca="1">IF($A12="","",BondForward($A12,S12,Q12,R12,F12))</f>
      </c>
      <c r="V12" s="17"/>
      <c r="W12" s="11" cm="1">
        <f t="array" aca="1" ref="W12" ca="1">IF($A12="","",ForwardDuration($A12,V12,R12))</f>
      </c>
      <c r="X12" s="17"/>
      <c r="Y12" s="15"/>
      <c r="Z12" s="1" cm="1">
        <f t="array" aca="1" ref="Z12" ca="1">IF($A12="","",SwaptionVol(_xlfn.ANCHORARRAY($BA$3),TradeDate,C12,$A12))</f>
      </c>
      <c r="AA12" s="1">
        <f ca="1">IF($A12="","",IF(J12&lt;&gt;"",J12*SQRT(VolDays),IF(I12&lt;&gt;"",I12,Z12)))</f>
      </c>
      <c r="AB12" s="15">
        <f ca="1">IF($A12="","",IF(J12&lt;&gt;"",J12,AA12/SQRT(VolDays)))</f>
      </c>
      <c r="AC12" s="18">
        <f ca="1">IF($A12="","",AB12*SQRT(252)*Y12/100)</f>
      </c>
      <c r="AD12" s="17" cm="1">
        <f t="array" aca="1" ref="AD12" ca="1">IF($A12="","",OptionTerm(TradeDate,C12))</f>
      </c>
      <c r="AE12" s="15" cm="1">
        <f t="array" aca="1" ref="AE12" ca="1">IF($A12="","",BlackPremium(B12,U12,T12,AC12,AD12)*100)</f>
      </c>
      <c r="AF12" s="9">
        <f ca="1">IF(OR($A12="",E12=""),"",AE12*E12*10000)</f>
      </c>
    </row>
    <row r="13" spans="1:53" x14ac:dyDescent="0.55000000000000004">
      <c r="A13" s="5"/>
      <c r="B13" s="5"/>
      <c r="C13" s="7"/>
      <c r="D13" s="8"/>
      <c r="E13" s="10"/>
      <c r="F13" s="12"/>
      <c r="G13" s="13"/>
      <c r="H13" s="13"/>
      <c r="I13" s="14"/>
      <c r="J13" s="16"/>
      <c r="K13" s="11" cm="1">
        <f t="array" aca="1" ref="K13" ca="1">IF($A13="","",JgbInfo($A13))</f>
      </c>
      <c r="L13" s="3"/>
      <c r="M13" s="11" cm="1">
        <f t="array" aca="1" ref="M13" ca="1">IF($A13="","",JgbClose($A13,TradeDate))</f>
      </c>
      <c r="N13" s="3"/>
      <c r="O13" s="11">
        <f ca="1">IF($A13="","",M13+N(G13)/100)</f>
      </c>
      <c r="P13" s="11" cm="1">
        <f t="array" aca="1" ref="P13" ca="1">IF($A13="","",JgbYield($A13,T13,R13))</f>
      </c>
      <c r="Q13" s="3" cm="1">
        <f t="array" aca="1" ref="Q13" ca="1">IF($A13="","",JgbSettle(TradeDate,1))</f>
      </c>
      <c r="R13" s="3" cm="1">
        <f t="array" aca="1" ref="R13" ca="1">IF($A13="","",JgbSettle(C13,D13))</f>
      </c>
      <c r="S13" s="11" cm="1">
        <f t="array" aca="1" ref="S13" ca="1">IF($A13="","",JgbPrice($A13,O13,Q13))</f>
      </c>
      <c r="T13" s="11" cm="1">
        <f t="array" aca="1" ref="T13" ca="1">IF($A13="","",JgbPrice($A13,O13+N(H13)/100,C13))</f>
      </c>
      <c r="U13" s="17" cm="1">
        <f t="array" aca="1" ref="U13" ca="1">IF($A13="","",BondForward($A13,S13,Q13,R13,F13))</f>
      </c>
      <c r="V13" s="17"/>
      <c r="W13" s="11" cm="1">
        <f t="array" aca="1" ref="W13" ca="1">IF($A13="","",ForwardDuration($A13,V13,R13))</f>
      </c>
      <c r="X13" s="17"/>
      <c r="Y13" s="15"/>
      <c r="Z13" s="1" cm="1">
        <f t="array" aca="1" ref="Z13" ca="1">IF($A13="","",SwaptionVol(_xlfn.ANCHORARRAY($BA$3),TradeDate,C13,$A13))</f>
      </c>
      <c r="AA13" s="1">
        <f ca="1">IF($A13="","",IF(J13&lt;&gt;"",J13*SQRT(VolDays),IF(I13&lt;&gt;"",I13,Z13)))</f>
      </c>
      <c r="AB13" s="15">
        <f ca="1">IF($A13="","",IF(J13&lt;&gt;"",J13,AA13/SQRT(VolDays)))</f>
      </c>
      <c r="AC13" s="18">
        <f ca="1">IF($A13="","",AB13*SQRT(252)*Y13/100)</f>
      </c>
      <c r="AD13" s="17" cm="1">
        <f t="array" aca="1" ref="AD13" ca="1">IF($A13="","",OptionTerm(TradeDate,C13))</f>
      </c>
      <c r="AE13" s="15" cm="1">
        <f t="array" aca="1" ref="AE13" ca="1">IF($A13="","",BlackPremium(B13,U13,T13,AC13,AD13)*100)</f>
      </c>
      <c r="AF13" s="9">
        <f ca="1">IF(OR($A13="",E13=""),"",AE13*E13*10000)</f>
      </c>
    </row>
    <row r="14" spans="1:53" x14ac:dyDescent="0.55000000000000004">
      <c r="A14" s="5"/>
      <c r="B14" s="5"/>
      <c r="C14" s="7"/>
      <c r="D14" s="8"/>
      <c r="E14" s="10"/>
      <c r="F14" s="12"/>
      <c r="G14" s="13"/>
      <c r="H14" s="13"/>
      <c r="I14" s="14"/>
      <c r="J14" s="16"/>
      <c r="K14" s="11" cm="1">
        <f t="array" aca="1" ref="K14" ca="1">IF($A14="","",JgbInfo($A14))</f>
      </c>
      <c r="L14" s="3"/>
      <c r="M14" s="11" cm="1">
        <f t="array" aca="1" ref="M14" ca="1">IF($A14="","",JgbClose($A14,TradeDate))</f>
      </c>
      <c r="N14" s="3"/>
      <c r="O14" s="11">
        <f ca="1">IF($A14="","",M14+N(G14)/100)</f>
      </c>
      <c r="P14" s="11" cm="1">
        <f t="array" aca="1" ref="P14" ca="1">IF($A14="","",JgbYield($A14,T14,R14))</f>
      </c>
      <c r="Q14" s="3" cm="1">
        <f t="array" aca="1" ref="Q14" ca="1">IF($A14="","",JgbSettle(TradeDate,1))</f>
      </c>
      <c r="R14" s="3" cm="1">
        <f t="array" aca="1" ref="R14" ca="1">IF($A14="","",JgbSettle(C14,D14))</f>
      </c>
      <c r="S14" s="11" cm="1">
        <f t="array" aca="1" ref="S14" ca="1">IF($A14="","",JgbPrice($A14,O14,Q14))</f>
      </c>
      <c r="T14" s="11" cm="1">
        <f t="array" aca="1" ref="T14" ca="1">IF($A14="","",JgbPrice($A14,O14+N(H14)/100,C14))</f>
      </c>
      <c r="U14" s="17" cm="1">
        <f t="array" aca="1" ref="U14" ca="1">IF($A14="","",BondForward($A14,S14,Q14,R14,F14))</f>
      </c>
      <c r="V14" s="17"/>
      <c r="W14" s="11" cm="1">
        <f t="array" aca="1" ref="W14" ca="1">IF($A14="","",ForwardDuration($A14,V14,R14))</f>
      </c>
      <c r="X14" s="17"/>
      <c r="Y14" s="15"/>
      <c r="Z14" s="1" cm="1">
        <f t="array" aca="1" ref="Z14" ca="1">IF($A14="","",SwaptionVol(_xlfn.ANCHORARRAY($BA$3),TradeDate,C14,$A14))</f>
      </c>
      <c r="AA14" s="1">
        <f ca="1">IF($A14="","",IF(J14&lt;&gt;"",J14*SQRT(VolDays),IF(I14&lt;&gt;"",I14,Z14)))</f>
      </c>
      <c r="AB14" s="15">
        <f ca="1">IF($A14="","",IF(J14&lt;&gt;"",J14,AA14/SQRT(VolDays)))</f>
      </c>
      <c r="AC14" s="18">
        <f ca="1">IF($A14="","",AB14*SQRT(252)*Y14/100)</f>
      </c>
      <c r="AD14" s="17" cm="1">
        <f t="array" aca="1" ref="AD14" ca="1">IF($A14="","",OptionTerm(TradeDate,C14))</f>
      </c>
      <c r="AE14" s="15" cm="1">
        <f t="array" aca="1" ref="AE14" ca="1">IF($A14="","",BlackPremium(B14,U14,T14,AC14,AD14)*100)</f>
      </c>
      <c r="AF14" s="9">
        <f ca="1">IF(OR($A14="",E14=""),"",AE14*E14*10000)</f>
      </c>
    </row>
    <row r="15" spans="1:53" x14ac:dyDescent="0.55000000000000004">
      <c r="A15" s="5"/>
      <c r="B15" s="5"/>
      <c r="C15" s="7"/>
      <c r="D15" s="8"/>
      <c r="E15" s="10"/>
      <c r="F15" s="12"/>
      <c r="G15" s="13"/>
      <c r="H15" s="13"/>
      <c r="I15" s="14"/>
      <c r="J15" s="16"/>
      <c r="K15" s="11" cm="1">
        <f t="array" aca="1" ref="K15" ca="1">IF($A15="","",JgbInfo($A15))</f>
      </c>
      <c r="L15" s="3"/>
      <c r="M15" s="11" cm="1">
        <f t="array" aca="1" ref="M15" ca="1">IF($A15="","",JgbClose($A15,TradeDate))</f>
      </c>
      <c r="N15" s="3"/>
      <c r="O15" s="11">
        <f ca="1">IF($A15="","",M15+N(G15)/100)</f>
      </c>
      <c r="P15" s="11" cm="1">
        <f t="array" aca="1" ref="P15" ca="1">IF($A15="","",JgbYield($A15,T15,R15))</f>
      </c>
      <c r="Q15" s="3" cm="1">
        <f t="array" aca="1" ref="Q15" ca="1">IF($A15="","",JgbSettle(TradeDate,1))</f>
      </c>
      <c r="R15" s="3" cm="1">
        <f t="array" aca="1" ref="R15" ca="1">IF($A15="","",JgbSettle(C15,D15))</f>
      </c>
      <c r="S15" s="11" cm="1">
        <f t="array" aca="1" ref="S15" ca="1">IF($A15="","",JgbPrice($A15,O15,Q15))</f>
      </c>
      <c r="T15" s="11" cm="1">
        <f t="array" aca="1" ref="T15" ca="1">IF($A15="","",JgbPrice($A15,O15+N(H15)/100,C15))</f>
      </c>
      <c r="U15" s="17" cm="1">
        <f t="array" aca="1" ref="U15" ca="1">IF($A15="","",BondForward($A15,S15,Q15,R15,F15))</f>
      </c>
      <c r="V15" s="17"/>
      <c r="W15" s="11" cm="1">
        <f t="array" aca="1" ref="W15" ca="1">IF($A15="","",ForwardDuration($A15,V15,R15))</f>
      </c>
      <c r="X15" s="17"/>
      <c r="Y15" s="15"/>
      <c r="Z15" s="1" cm="1">
        <f t="array" aca="1" ref="Z15" ca="1">IF($A15="","",SwaptionVol(_xlfn.ANCHORARRAY($BA$3),TradeDate,C15,$A15))</f>
      </c>
      <c r="AA15" s="1">
        <f ca="1">IF($A15="","",IF(J15&lt;&gt;"",J15*SQRT(VolDays),IF(I15&lt;&gt;"",I15,Z15)))</f>
      </c>
      <c r="AB15" s="15">
        <f ca="1">IF($A15="","",IF(J15&lt;&gt;"",J15,AA15/SQRT(VolDays)))</f>
      </c>
      <c r="AC15" s="18">
        <f ca="1">IF($A15="","",AB15*SQRT(252)*Y15/100)</f>
      </c>
      <c r="AD15" s="17" cm="1">
        <f t="array" aca="1" ref="AD15" ca="1">IF($A15="","",OptionTerm(TradeDate,C15))</f>
      </c>
      <c r="AE15" s="15" cm="1">
        <f t="array" aca="1" ref="AE15" ca="1">IF($A15="","",BlackPremium(B15,U15,T15,AC15,AD15)*100)</f>
      </c>
      <c r="AF15" s="9">
        <f ca="1">IF(OR($A15="",E15=""),"",AE15*E15*10000)</f>
      </c>
    </row>
    <row r="16" spans="1:53" x14ac:dyDescent="0.55000000000000004">
      <c r="A16" s="5"/>
      <c r="B16" s="5"/>
      <c r="C16" s="7"/>
      <c r="D16" s="8"/>
      <c r="E16" s="10"/>
      <c r="F16" s="12"/>
      <c r="G16" s="13"/>
      <c r="H16" s="13"/>
      <c r="I16" s="14"/>
      <c r="J16" s="16"/>
      <c r="K16" s="11" cm="1">
        <f t="array" aca="1" ref="K16" ca="1">IF($A16="","",JgbInfo($A16))</f>
      </c>
      <c r="L16" s="3"/>
      <c r="M16" s="11" cm="1">
        <f t="array" aca="1" ref="M16" ca="1">IF($A16="","",JgbClose($A16,TradeDate))</f>
      </c>
      <c r="N16" s="3"/>
      <c r="O16" s="11">
        <f ca="1">IF($A16="","",M16+N(G16)/100)</f>
      </c>
      <c r="P16" s="11" cm="1">
        <f t="array" aca="1" ref="P16" ca="1">IF($A16="","",JgbYield($A16,T16,R16))</f>
      </c>
      <c r="Q16" s="3" cm="1">
        <f t="array" aca="1" ref="Q16" ca="1">IF($A16="","",JgbSettle(TradeDate,1))</f>
      </c>
      <c r="R16" s="3" cm="1">
        <f t="array" aca="1" ref="R16" ca="1">IF($A16="","",JgbSettle(C16,D16))</f>
      </c>
      <c r="S16" s="11" cm="1">
        <f t="array" aca="1" ref="S16" ca="1">IF($A16="","",JgbPrice($A16,O16,Q16))</f>
      </c>
      <c r="T16" s="11" cm="1">
        <f t="array" aca="1" ref="T16" ca="1">IF($A16="","",JgbPrice($A16,O16+N(H16)/100,C16))</f>
      </c>
      <c r="U16" s="17" cm="1">
        <f t="array" aca="1" ref="U16" ca="1">IF($A16="","",BondForward($A16,S16,Q16,R16,F16))</f>
      </c>
      <c r="V16" s="17"/>
      <c r="W16" s="11" cm="1">
        <f t="array" aca="1" ref="W16" ca="1">IF($A16="","",ForwardDuration($A16,V16,R16))</f>
      </c>
      <c r="X16" s="17"/>
      <c r="Y16" s="15"/>
      <c r="Z16" s="1" cm="1">
        <f t="array" aca="1" ref="Z16" ca="1">IF($A16="","",SwaptionVol(_xlfn.ANCHORARRAY($BA$3),TradeDate,C16,$A16))</f>
      </c>
      <c r="AA16" s="1">
        <f ca="1">IF($A16="","",IF(J16&lt;&gt;"",J16*SQRT(VolDays),IF(I16&lt;&gt;"",I16,Z16)))</f>
      </c>
      <c r="AB16" s="15">
        <f ca="1">IF($A16="","",IF(J16&lt;&gt;"",J16,AA16/SQRT(VolDays)))</f>
      </c>
      <c r="AC16" s="18">
        <f ca="1">IF($A16="","",AB16*SQRT(252)*Y16/100)</f>
      </c>
      <c r="AD16" s="17" cm="1">
        <f t="array" aca="1" ref="AD16" ca="1">IF($A16="","",OptionTerm(TradeDate,C16))</f>
      </c>
      <c r="AE16" s="15" cm="1">
        <f t="array" aca="1" ref="AE16" ca="1">IF($A16="","",BlackPremium(B16,U16,T16,AC16,AD16)*100)</f>
      </c>
      <c r="AF16" s="9">
        <f ca="1">IF(OR($A16="",E16=""),"",AE16*E16*10000)</f>
      </c>
    </row>
    <row r="17" spans="1:32" x14ac:dyDescent="0.55000000000000004">
      <c r="A17" s="5"/>
      <c r="B17" s="5"/>
      <c r="C17" s="7"/>
      <c r="D17" s="8"/>
      <c r="E17" s="10"/>
      <c r="F17" s="12"/>
      <c r="G17" s="13"/>
      <c r="H17" s="13"/>
      <c r="I17" s="14"/>
      <c r="J17" s="16"/>
      <c r="K17" s="11" cm="1">
        <f t="array" aca="1" ref="K17" ca="1">IF($A17="","",JgbInfo($A17))</f>
      </c>
      <c r="L17" s="3"/>
      <c r="M17" s="11" cm="1">
        <f t="array" aca="1" ref="M17" ca="1">IF($A17="","",JgbClose($A17,TradeDate))</f>
      </c>
      <c r="N17" s="3"/>
      <c r="O17" s="11">
        <f ca="1">IF($A17="","",M17+N(G17)/100)</f>
      </c>
      <c r="P17" s="11" cm="1">
        <f t="array" aca="1" ref="P17" ca="1">IF($A17="","",JgbYield($A17,T17,R17))</f>
      </c>
      <c r="Q17" s="3" cm="1">
        <f t="array" aca="1" ref="Q17" ca="1">IF($A17="","",JgbSettle(TradeDate,1))</f>
      </c>
      <c r="R17" s="3" cm="1">
        <f t="array" aca="1" ref="R17" ca="1">IF($A17="","",JgbSettle(C17,D17))</f>
      </c>
      <c r="S17" s="11" cm="1">
        <f t="array" aca="1" ref="S17" ca="1">IF($A17="","",JgbPrice($A17,O17,Q17))</f>
      </c>
      <c r="T17" s="11" cm="1">
        <f t="array" aca="1" ref="T17" ca="1">IF($A17="","",JgbPrice($A17,O17+N(H17)/100,C17))</f>
      </c>
      <c r="U17" s="17" cm="1">
        <f t="array" aca="1" ref="U17" ca="1">IF($A17="","",BondForward($A17,S17,Q17,R17,F17))</f>
      </c>
      <c r="V17" s="17"/>
      <c r="W17" s="11" cm="1">
        <f t="array" aca="1" ref="W17" ca="1">IF($A17="","",ForwardDuration($A17,V17,R17))</f>
      </c>
      <c r="X17" s="17"/>
      <c r="Y17" s="15"/>
      <c r="Z17" s="1" cm="1">
        <f t="array" aca="1" ref="Z17" ca="1">IF($A17="","",SwaptionVol(_xlfn.ANCHORARRAY($BA$3),TradeDate,C17,$A17))</f>
      </c>
      <c r="AA17" s="1">
        <f ca="1">IF($A17="","",IF(J17&lt;&gt;"",J17*SQRT(VolDays),IF(I17&lt;&gt;"",I17,Z17)))</f>
      </c>
      <c r="AB17" s="15">
        <f ca="1">IF($A17="","",IF(J17&lt;&gt;"",J17,AA17/SQRT(VolDays)))</f>
      </c>
      <c r="AC17" s="18">
        <f ca="1">IF($A17="","",AB17*SQRT(252)*Y17/100)</f>
      </c>
      <c r="AD17" s="17" cm="1">
        <f t="array" aca="1" ref="AD17" ca="1">IF($A17="","",OptionTerm(TradeDate,C17))</f>
      </c>
      <c r="AE17" s="15" cm="1">
        <f t="array" aca="1" ref="AE17" ca="1">IF($A17="","",BlackPremium(B17,U17,T17,AC17,AD17)*100)</f>
      </c>
      <c r="AF17" s="9">
        <f ca="1">IF(OR($A17="",E17=""),"",AE17*E17*10000)</f>
      </c>
    </row>
    <row r="18" spans="1:32" x14ac:dyDescent="0.55000000000000004">
      <c r="A18" s="5"/>
      <c r="B18" s="5"/>
      <c r="C18" s="7"/>
      <c r="D18" s="8"/>
      <c r="E18" s="10"/>
      <c r="F18" s="12"/>
      <c r="G18" s="13"/>
      <c r="H18" s="13"/>
      <c r="I18" s="14"/>
      <c r="J18" s="16"/>
      <c r="K18" s="11" cm="1">
        <f t="array" aca="1" ref="K18" ca="1">IF($A18="","",JgbInfo($A18))</f>
      </c>
      <c r="L18" s="3"/>
      <c r="M18" s="11" cm="1">
        <f t="array" aca="1" ref="M18" ca="1">IF($A18="","",JgbClose($A18,TradeDate))</f>
      </c>
      <c r="N18" s="3"/>
      <c r="O18" s="11">
        <f ca="1">IF($A18="","",M18+N(G18)/100)</f>
      </c>
      <c r="P18" s="11" cm="1">
        <f t="array" aca="1" ref="P18" ca="1">IF($A18="","",JgbYield($A18,T18,R18))</f>
      </c>
      <c r="Q18" s="3" cm="1">
        <f t="array" aca="1" ref="Q18" ca="1">IF($A18="","",JgbSettle(TradeDate,1))</f>
      </c>
      <c r="R18" s="3" cm="1">
        <f t="array" aca="1" ref="R18" ca="1">IF($A18="","",JgbSettle(C18,D18))</f>
      </c>
      <c r="S18" s="11" cm="1">
        <f t="array" aca="1" ref="S18" ca="1">IF($A18="","",JgbPrice($A18,O18,Q18))</f>
      </c>
      <c r="T18" s="11" cm="1">
        <f t="array" aca="1" ref="T18" ca="1">IF($A18="","",JgbPrice($A18,O18+N(H18)/100,C18))</f>
      </c>
      <c r="U18" s="17" cm="1">
        <f t="array" aca="1" ref="U18" ca="1">IF($A18="","",BondForward($A18,S18,Q18,R18,F18))</f>
      </c>
      <c r="V18" s="17"/>
      <c r="W18" s="11" cm="1">
        <f t="array" aca="1" ref="W18" ca="1">IF($A18="","",ForwardDuration($A18,V18,R18))</f>
      </c>
      <c r="X18" s="17"/>
      <c r="Y18" s="15"/>
      <c r="Z18" s="1" cm="1">
        <f t="array" aca="1" ref="Z18" ca="1">IF($A18="","",SwaptionVol(_xlfn.ANCHORARRAY($BA$3),TradeDate,C18,$A18))</f>
      </c>
      <c r="AA18" s="1">
        <f ca="1">IF($A18="","",IF(J18&lt;&gt;"",J18*SQRT(VolDays),IF(I18&lt;&gt;"",I18,Z18)))</f>
      </c>
      <c r="AB18" s="15">
        <f ca="1">IF($A18="","",IF(J18&lt;&gt;"",J18,AA18/SQRT(VolDays)))</f>
      </c>
      <c r="AC18" s="18">
        <f ca="1">IF($A18="","",AB18*SQRT(252)*Y18/100)</f>
      </c>
      <c r="AD18" s="17" cm="1">
        <f t="array" aca="1" ref="AD18" ca="1">IF($A18="","",OptionTerm(TradeDate,C18))</f>
      </c>
      <c r="AE18" s="15" cm="1">
        <f t="array" aca="1" ref="AE18" ca="1">IF($A18="","",BlackPremium(B18,U18,T18,AC18,AD18)*100)</f>
      </c>
      <c r="AF18" s="9">
        <f ca="1">IF(OR($A18="",E18=""),"",AE18*E18*10000)</f>
      </c>
    </row>
    <row r="19" spans="1:32" x14ac:dyDescent="0.55000000000000004">
      <c r="A19" s="5"/>
      <c r="B19" s="5"/>
      <c r="C19" s="7"/>
      <c r="D19" s="8"/>
      <c r="E19" s="10"/>
      <c r="F19" s="12"/>
      <c r="G19" s="13"/>
      <c r="H19" s="13"/>
      <c r="I19" s="14"/>
      <c r="J19" s="16"/>
      <c r="K19" s="11" cm="1">
        <f t="array" aca="1" ref="K19" ca="1">IF($A19="","",JgbInfo($A19))</f>
      </c>
      <c r="L19" s="3"/>
      <c r="M19" s="11" cm="1">
        <f t="array" aca="1" ref="M19" ca="1">IF($A19="","",JgbClose($A19,TradeDate))</f>
      </c>
      <c r="N19" s="3"/>
      <c r="O19" s="11">
        <f ca="1">IF($A19="","",M19+N(G19)/100)</f>
      </c>
      <c r="P19" s="11" cm="1">
        <f t="array" aca="1" ref="P19" ca="1">IF($A19="","",JgbYield($A19,T19,R19))</f>
      </c>
      <c r="Q19" s="3" cm="1">
        <f t="array" aca="1" ref="Q19" ca="1">IF($A19="","",JgbSettle(TradeDate,1))</f>
      </c>
      <c r="R19" s="3" cm="1">
        <f t="array" aca="1" ref="R19" ca="1">IF($A19="","",JgbSettle(C19,D19))</f>
      </c>
      <c r="S19" s="11" cm="1">
        <f t="array" aca="1" ref="S19" ca="1">IF($A19="","",JgbPrice($A19,O19,Q19))</f>
      </c>
      <c r="T19" s="11" cm="1">
        <f t="array" aca="1" ref="T19" ca="1">IF($A19="","",JgbPrice($A19,O19+N(H19)/100,C19))</f>
      </c>
      <c r="U19" s="17" cm="1">
        <f t="array" aca="1" ref="U19" ca="1">IF($A19="","",BondForward($A19,S19,Q19,R19,F19))</f>
      </c>
      <c r="V19" s="17"/>
      <c r="W19" s="11" cm="1">
        <f t="array" aca="1" ref="W19" ca="1">IF($A19="","",ForwardDuration($A19,V19,R19))</f>
      </c>
      <c r="X19" s="17"/>
      <c r="Y19" s="15"/>
      <c r="Z19" s="1" cm="1">
        <f t="array" aca="1" ref="Z19" ca="1">IF($A19="","",SwaptionVol(_xlfn.ANCHORARRAY($BA$3),TradeDate,C19,$A19))</f>
      </c>
      <c r="AA19" s="1">
        <f ca="1">IF($A19="","",IF(J19&lt;&gt;"",J19*SQRT(VolDays),IF(I19&lt;&gt;"",I19,Z19)))</f>
      </c>
      <c r="AB19" s="15">
        <f ca="1">IF($A19="","",IF(J19&lt;&gt;"",J19,AA19/SQRT(VolDays)))</f>
      </c>
      <c r="AC19" s="18">
        <f ca="1">IF($A19="","",AB19*SQRT(252)*Y19/100)</f>
      </c>
      <c r="AD19" s="17" cm="1">
        <f t="array" aca="1" ref="AD19" ca="1">IF($A19="","",OptionTerm(TradeDate,C19))</f>
      </c>
      <c r="AE19" s="15" cm="1">
        <f t="array" aca="1" ref="AE19" ca="1">IF($A19="","",BlackPremium(B19,U19,T19,AC19,AD19)*100)</f>
      </c>
      <c r="AF19" s="9">
        <f ca="1">IF(OR($A19="",E19=""),"",AE19*E19*10000)</f>
      </c>
    </row>
    <row r="20" spans="1:32" x14ac:dyDescent="0.55000000000000004">
      <c r="A20" s="5"/>
      <c r="B20" s="5"/>
      <c r="C20" s="7"/>
      <c r="D20" s="8"/>
      <c r="E20" s="10"/>
      <c r="F20" s="12"/>
      <c r="G20" s="13"/>
      <c r="H20" s="13"/>
      <c r="I20" s="14"/>
      <c r="J20" s="16"/>
      <c r="K20" s="11" cm="1">
        <f t="array" aca="1" ref="K20" ca="1">IF($A20="","",JgbInfo($A20))</f>
      </c>
      <c r="L20" s="3"/>
      <c r="M20" s="11" cm="1">
        <f t="array" aca="1" ref="M20" ca="1">IF($A20="","",JgbClose($A20,TradeDate))</f>
      </c>
      <c r="N20" s="3"/>
      <c r="O20" s="11">
        <f ca="1">IF($A20="","",M20+N(G20)/100)</f>
      </c>
      <c r="P20" s="11" cm="1">
        <f t="array" aca="1" ref="P20" ca="1">IF($A20="","",JgbYield($A20,T20,R20))</f>
      </c>
      <c r="Q20" s="3" cm="1">
        <f t="array" aca="1" ref="Q20" ca="1">IF($A20="","",JgbSettle(TradeDate,1))</f>
      </c>
      <c r="R20" s="3" cm="1">
        <f t="array" aca="1" ref="R20" ca="1">IF($A20="","",JgbSettle(C20,D20))</f>
      </c>
      <c r="S20" s="11" cm="1">
        <f t="array" aca="1" ref="S20" ca="1">IF($A20="","",JgbPrice($A20,O20,Q20))</f>
      </c>
      <c r="T20" s="11" cm="1">
        <f t="array" aca="1" ref="T20" ca="1">IF($A20="","",JgbPrice($A20,O20+N(H20)/100,C20))</f>
      </c>
      <c r="U20" s="17" cm="1">
        <f t="array" aca="1" ref="U20" ca="1">IF($A20="","",BondForward($A20,S20,Q20,R20,F20))</f>
      </c>
      <c r="V20" s="17"/>
      <c r="W20" s="11" cm="1">
        <f t="array" aca="1" ref="W20" ca="1">IF($A20="","",ForwardDuration($A20,V20,R20))</f>
      </c>
      <c r="X20" s="17"/>
      <c r="Y20" s="15"/>
      <c r="Z20" s="1" cm="1">
        <f t="array" aca="1" ref="Z20" ca="1">IF($A20="","",SwaptionVol(_xlfn.ANCHORARRAY($BA$3),TradeDate,C20,$A20))</f>
      </c>
      <c r="AA20" s="1">
        <f ca="1">IF($A20="","",IF(J20&lt;&gt;"",J20*SQRT(VolDays),IF(I20&lt;&gt;"",I20,Z20)))</f>
      </c>
      <c r="AB20" s="15">
        <f ca="1">IF($A20="","",IF(J20&lt;&gt;"",J20,AA20/SQRT(VolDays)))</f>
      </c>
      <c r="AC20" s="18">
        <f ca="1">IF($A20="","",AB20*SQRT(252)*Y20/100)</f>
      </c>
      <c r="AD20" s="17" cm="1">
        <f t="array" aca="1" ref="AD20" ca="1">IF($A20="","",OptionTerm(TradeDate,C20))</f>
      </c>
      <c r="AE20" s="15" cm="1">
        <f t="array" aca="1" ref="AE20" ca="1">IF($A20="","",BlackPremium(B20,U20,T20,AC20,AD20)*100)</f>
      </c>
      <c r="AF20" s="9">
        <f ca="1">IF(OR($A20="",E20=""),"",AE20*E20*10000)</f>
      </c>
    </row>
    <row r="21" spans="1:32" x14ac:dyDescent="0.55000000000000004">
      <c r="A21" s="5"/>
      <c r="B21" s="5"/>
      <c r="C21" s="7"/>
      <c r="D21" s="8"/>
      <c r="E21" s="10"/>
      <c r="F21" s="12"/>
      <c r="G21" s="13"/>
      <c r="H21" s="13"/>
      <c r="I21" s="14"/>
      <c r="J21" s="16"/>
      <c r="K21" s="11" cm="1">
        <f t="array" aca="1" ref="K21" ca="1">IF($A21="","",JgbInfo($A21))</f>
      </c>
      <c r="L21" s="3"/>
      <c r="M21" s="11" cm="1">
        <f t="array" aca="1" ref="M21" ca="1">IF($A21="","",JgbClose($A21,TradeDate))</f>
      </c>
      <c r="N21" s="3"/>
      <c r="O21" s="11">
        <f ca="1">IF($A21="","",M21+N(G21)/100)</f>
      </c>
      <c r="P21" s="11" cm="1">
        <f t="array" aca="1" ref="P21" ca="1">IF($A21="","",JgbYield($A21,T21,R21))</f>
      </c>
      <c r="Q21" s="3" cm="1">
        <f t="array" aca="1" ref="Q21" ca="1">IF($A21="","",JgbSettle(TradeDate,1))</f>
      </c>
      <c r="R21" s="3" cm="1">
        <f t="array" aca="1" ref="R21" ca="1">IF($A21="","",JgbSettle(C21,D21))</f>
      </c>
      <c r="S21" s="11" cm="1">
        <f t="array" aca="1" ref="S21" ca="1">IF($A21="","",JgbPrice($A21,O21,Q21))</f>
      </c>
      <c r="T21" s="11" cm="1">
        <f t="array" aca="1" ref="T21" ca="1">IF($A21="","",JgbPrice($A21,O21+N(H21)/100,C21))</f>
      </c>
      <c r="U21" s="17" cm="1">
        <f t="array" aca="1" ref="U21" ca="1">IF($A21="","",BondForward($A21,S21,Q21,R21,F21))</f>
      </c>
      <c r="V21" s="17"/>
      <c r="W21" s="11" cm="1">
        <f t="array" aca="1" ref="W21" ca="1">IF($A21="","",ForwardDuration($A21,V21,R21))</f>
      </c>
      <c r="X21" s="17"/>
      <c r="Y21" s="15"/>
      <c r="Z21" s="1" cm="1">
        <f t="array" aca="1" ref="Z21" ca="1">IF($A21="","",SwaptionVol(_xlfn.ANCHORARRAY($BA$3),TradeDate,C21,$A21))</f>
      </c>
      <c r="AA21" s="1">
        <f ca="1">IF($A21="","",IF(J21&lt;&gt;"",J21*SQRT(VolDays),IF(I21&lt;&gt;"",I21,Z21)))</f>
      </c>
      <c r="AB21" s="15">
        <f ca="1">IF($A21="","",IF(J21&lt;&gt;"",J21,AA21/SQRT(VolDays)))</f>
      </c>
      <c r="AC21" s="18">
        <f ca="1">IF($A21="","",AB21*SQRT(252)*Y21/100)</f>
      </c>
      <c r="AD21" s="17" cm="1">
        <f t="array" aca="1" ref="AD21" ca="1">IF($A21="","",OptionTerm(TradeDate,C21))</f>
      </c>
      <c r="AE21" s="15" cm="1">
        <f t="array" aca="1" ref="AE21" ca="1">IF($A21="","",BlackPremium(B21,U21,T21,AC21,AD21)*100)</f>
      </c>
      <c r="AF21" s="9">
        <f ca="1">IF(OR($A21="",E21=""),"",AE21*E21*10000)</f>
      </c>
    </row>
    <row r="22" spans="1:32" x14ac:dyDescent="0.55000000000000004">
      <c r="A22" s="5"/>
      <c r="B22" s="5"/>
      <c r="C22" s="7"/>
      <c r="D22" s="8"/>
      <c r="E22" s="10"/>
      <c r="F22" s="12"/>
      <c r="G22" s="13"/>
      <c r="H22" s="13"/>
      <c r="I22" s="14"/>
      <c r="J22" s="16"/>
      <c r="K22" s="11" cm="1">
        <f t="array" aca="1" ref="K22" ca="1">IF($A22="","",JgbInfo($A22))</f>
      </c>
      <c r="L22" s="3"/>
      <c r="M22" s="11" cm="1">
        <f t="array" aca="1" ref="M22" ca="1">IF($A22="","",JgbClose($A22,TradeDate))</f>
      </c>
      <c r="N22" s="3"/>
      <c r="O22" s="11">
        <f ca="1">IF($A22="","",M22+N(G22)/100)</f>
      </c>
      <c r="P22" s="11" cm="1">
        <f t="array" aca="1" ref="P22" ca="1">IF($A22="","",JgbYield($A22,T22,R22))</f>
      </c>
      <c r="Q22" s="3" cm="1">
        <f t="array" aca="1" ref="Q22" ca="1">IF($A22="","",JgbSettle(TradeDate,1))</f>
      </c>
      <c r="R22" s="3" cm="1">
        <f t="array" aca="1" ref="R22" ca="1">IF($A22="","",JgbSettle(C22,D22))</f>
      </c>
      <c r="S22" s="11" cm="1">
        <f t="array" aca="1" ref="S22" ca="1">IF($A22="","",JgbPrice($A22,O22,Q22))</f>
      </c>
      <c r="T22" s="11" cm="1">
        <f t="array" aca="1" ref="T22" ca="1">IF($A22="","",JgbPrice($A22,O22+N(H22)/100,C22))</f>
      </c>
      <c r="U22" s="17" cm="1">
        <f t="array" aca="1" ref="U22" ca="1">IF($A22="","",BondForward($A22,S22,Q22,R22,F22))</f>
      </c>
      <c r="V22" s="17"/>
      <c r="W22" s="11" cm="1">
        <f t="array" aca="1" ref="W22" ca="1">IF($A22="","",ForwardDuration($A22,V22,R22))</f>
      </c>
      <c r="X22" s="17"/>
      <c r="Y22" s="15"/>
      <c r="Z22" s="1" cm="1">
        <f t="array" aca="1" ref="Z22" ca="1">IF($A22="","",SwaptionVol(_xlfn.ANCHORARRAY($BA$3),TradeDate,C22,$A22))</f>
      </c>
      <c r="AA22" s="1">
        <f ca="1">IF($A22="","",IF(J22&lt;&gt;"",J22*SQRT(VolDays),IF(I22&lt;&gt;"",I22,Z22)))</f>
      </c>
      <c r="AB22" s="15">
        <f ca="1">IF($A22="","",IF(J22&lt;&gt;"",J22,AA22/SQRT(VolDays)))</f>
      </c>
      <c r="AC22" s="18">
        <f ca="1">IF($A22="","",AB22*SQRT(252)*Y22/100)</f>
      </c>
      <c r="AD22" s="17" cm="1">
        <f t="array" aca="1" ref="AD22" ca="1">IF($A22="","",OptionTerm(TradeDate,C22))</f>
      </c>
      <c r="AE22" s="15" cm="1">
        <f t="array" aca="1" ref="AE22" ca="1">IF($A22="","",BlackPremium(B22,U22,T22,AC22,AD22)*100)</f>
      </c>
      <c r="AF22" s="9">
        <f ca="1">IF(OR($A22="",E22=""),"",AE22*E22*10000)</f>
      </c>
    </row>
    <row r="23" spans="1:32" x14ac:dyDescent="0.55000000000000004">
      <c r="A23" s="5"/>
      <c r="B23" s="5"/>
      <c r="C23" s="7"/>
      <c r="D23" s="8"/>
      <c r="E23" s="10"/>
      <c r="F23" s="12"/>
      <c r="G23" s="13"/>
      <c r="H23" s="13"/>
      <c r="I23" s="14"/>
      <c r="J23" s="16"/>
      <c r="K23" s="11" cm="1">
        <f t="array" aca="1" ref="K23" ca="1">IF($A23="","",JgbInfo($A23))</f>
      </c>
      <c r="L23" s="3"/>
      <c r="M23" s="11" cm="1">
        <f t="array" aca="1" ref="M23" ca="1">IF($A23="","",JgbClose($A23,TradeDate))</f>
      </c>
      <c r="N23" s="3"/>
      <c r="O23" s="11">
        <f ca="1">IF($A23="","",M23+N(G23)/100)</f>
      </c>
      <c r="P23" s="11" cm="1">
        <f t="array" aca="1" ref="P23" ca="1">IF($A23="","",JgbYield($A23,T23,R23))</f>
      </c>
      <c r="Q23" s="3" cm="1">
        <f t="array" aca="1" ref="Q23" ca="1">IF($A23="","",JgbSettle(TradeDate,1))</f>
      </c>
      <c r="R23" s="3" cm="1">
        <f t="array" aca="1" ref="R23" ca="1">IF($A23="","",JgbSettle(C23,D23))</f>
      </c>
      <c r="S23" s="11" cm="1">
        <f t="array" aca="1" ref="S23" ca="1">IF($A23="","",JgbPrice($A23,O23,Q23))</f>
      </c>
      <c r="T23" s="11" cm="1">
        <f t="array" aca="1" ref="T23" ca="1">IF($A23="","",JgbPrice($A23,O23+N(H23)/100,C23))</f>
      </c>
      <c r="U23" s="17" cm="1">
        <f t="array" aca="1" ref="U23" ca="1">IF($A23="","",BondForward($A23,S23,Q23,R23,F23))</f>
      </c>
      <c r="V23" s="17"/>
      <c r="W23" s="11" cm="1">
        <f t="array" aca="1" ref="W23" ca="1">IF($A23="","",ForwardDuration($A23,V23,R23))</f>
      </c>
      <c r="X23" s="17"/>
      <c r="Y23" s="15"/>
      <c r="Z23" s="1" cm="1">
        <f t="array" aca="1" ref="Z23" ca="1">IF($A23="","",SwaptionVol(_xlfn.ANCHORARRAY($BA$3),TradeDate,C23,$A23))</f>
      </c>
      <c r="AA23" s="1">
        <f ca="1">IF($A23="","",IF(J23&lt;&gt;"",J23*SQRT(VolDays),IF(I23&lt;&gt;"",I23,Z23)))</f>
      </c>
      <c r="AB23" s="15">
        <f ca="1">IF($A23="","",IF(J23&lt;&gt;"",J23,AA23/SQRT(VolDays)))</f>
      </c>
      <c r="AC23" s="18">
        <f ca="1">IF($A23="","",AB23*SQRT(252)*Y23/100)</f>
      </c>
      <c r="AD23" s="17" cm="1">
        <f t="array" aca="1" ref="AD23" ca="1">IF($A23="","",OptionTerm(TradeDate,C23))</f>
      </c>
      <c r="AE23" s="15" cm="1">
        <f t="array" aca="1" ref="AE23" ca="1">IF($A23="","",BlackPremium(B23,U23,T23,AC23,AD23)*100)</f>
      </c>
      <c r="AF23" s="9">
        <f ca="1">IF(OR($A23="",E23=""),"",AE23*E23*10000)</f>
      </c>
    </row>
    <row r="24" spans="1:32" x14ac:dyDescent="0.55000000000000004">
      <c r="A24" s="5"/>
      <c r="B24" s="5"/>
      <c r="C24" s="7"/>
      <c r="D24" s="8"/>
      <c r="E24" s="10"/>
      <c r="F24" s="12"/>
      <c r="G24" s="13"/>
      <c r="H24" s="13"/>
      <c r="I24" s="14"/>
      <c r="J24" s="16"/>
      <c r="K24" s="11" cm="1">
        <f t="array" aca="1" ref="K24" ca="1">IF($A24="","",JgbInfo($A24))</f>
      </c>
      <c r="L24" s="3"/>
      <c r="M24" s="11" cm="1">
        <f t="array" aca="1" ref="M24" ca="1">IF($A24="","",JgbClose($A24,TradeDate))</f>
      </c>
      <c r="N24" s="3"/>
      <c r="O24" s="11">
        <f ca="1">IF($A24="","",M24+N(G24)/100)</f>
      </c>
      <c r="P24" s="11" cm="1">
        <f t="array" aca="1" ref="P24" ca="1">IF($A24="","",JgbYield($A24,T24,R24))</f>
      </c>
      <c r="Q24" s="3" cm="1">
        <f t="array" aca="1" ref="Q24" ca="1">IF($A24="","",JgbSettle(TradeDate,1))</f>
      </c>
      <c r="R24" s="3" cm="1">
        <f t="array" aca="1" ref="R24" ca="1">IF($A24="","",JgbSettle(C24,D24))</f>
      </c>
      <c r="S24" s="11" cm="1">
        <f t="array" aca="1" ref="S24" ca="1">IF($A24="","",JgbPrice($A24,O24,Q24))</f>
      </c>
      <c r="T24" s="11" cm="1">
        <f t="array" aca="1" ref="T24" ca="1">IF($A24="","",JgbPrice($A24,O24+N(H24)/100,C24))</f>
      </c>
      <c r="U24" s="17" cm="1">
        <f t="array" aca="1" ref="U24" ca="1">IF($A24="","",BondForward($A24,S24,Q24,R24,F24))</f>
      </c>
      <c r="V24" s="17"/>
      <c r="W24" s="11" cm="1">
        <f t="array" aca="1" ref="W24" ca="1">IF($A24="","",ForwardDuration($A24,V24,R24))</f>
      </c>
      <c r="X24" s="17"/>
      <c r="Y24" s="15"/>
      <c r="Z24" s="1" cm="1">
        <f t="array" aca="1" ref="Z24" ca="1">IF($A24="","",SwaptionVol(_xlfn.ANCHORARRAY($BA$3),TradeDate,C24,$A24))</f>
      </c>
      <c r="AA24" s="1">
        <f ca="1">IF($A24="","",IF(J24&lt;&gt;"",J24*SQRT(VolDays),IF(I24&lt;&gt;"",I24,Z24)))</f>
      </c>
      <c r="AB24" s="15">
        <f ca="1">IF($A24="","",IF(J24&lt;&gt;"",J24,AA24/SQRT(VolDays)))</f>
      </c>
      <c r="AC24" s="18">
        <f ca="1">IF($A24="","",AB24*SQRT(252)*Y24/100)</f>
      </c>
      <c r="AD24" s="17" cm="1">
        <f t="array" aca="1" ref="AD24" ca="1">IF($A24="","",OptionTerm(TradeDate,C24))</f>
      </c>
      <c r="AE24" s="15" cm="1">
        <f t="array" aca="1" ref="AE24" ca="1">IF($A24="","",BlackPremium(B24,U24,T24,AC24,AD24)*100)</f>
      </c>
      <c r="AF24" s="9">
        <f ca="1">IF(OR($A24="",E24=""),"",AE24*E24*10000)</f>
      </c>
    </row>
    <row r="25" spans="1:32" x14ac:dyDescent="0.55000000000000004">
      <c r="A25" s="5"/>
      <c r="B25" s="5"/>
      <c r="C25" s="7"/>
      <c r="D25" s="8"/>
      <c r="E25" s="10"/>
      <c r="F25" s="12"/>
      <c r="G25" s="13"/>
      <c r="H25" s="13"/>
      <c r="I25" s="14"/>
      <c r="J25" s="16"/>
      <c r="K25" s="11" cm="1">
        <f t="array" aca="1" ref="K25" ca="1">IF($A25="","",JgbInfo($A25))</f>
      </c>
      <c r="L25" s="3"/>
      <c r="M25" s="11" cm="1">
        <f t="array" aca="1" ref="M25" ca="1">IF($A25="","",JgbClose($A25,TradeDate))</f>
      </c>
      <c r="N25" s="3"/>
      <c r="O25" s="11">
        <f ca="1">IF($A25="","",M25+N(G25)/100)</f>
      </c>
      <c r="P25" s="11" cm="1">
        <f t="array" aca="1" ref="P25" ca="1">IF($A25="","",JgbYield($A25,T25,R25))</f>
      </c>
      <c r="Q25" s="3" cm="1">
        <f t="array" aca="1" ref="Q25" ca="1">IF($A25="","",JgbSettle(TradeDate,1))</f>
      </c>
      <c r="R25" s="3" cm="1">
        <f t="array" aca="1" ref="R25" ca="1">IF($A25="","",JgbSettle(C25,D25))</f>
      </c>
      <c r="S25" s="11" cm="1">
        <f t="array" aca="1" ref="S25" ca="1">IF($A25="","",JgbPrice($A25,O25,Q25))</f>
      </c>
      <c r="T25" s="11" cm="1">
        <f t="array" aca="1" ref="T25" ca="1">IF($A25="","",JgbPrice($A25,O25+N(H25)/100,C25))</f>
      </c>
      <c r="U25" s="17" cm="1">
        <f t="array" aca="1" ref="U25" ca="1">IF($A25="","",BondForward($A25,S25,Q25,R25,F25))</f>
      </c>
      <c r="V25" s="17"/>
      <c r="W25" s="11" cm="1">
        <f t="array" aca="1" ref="W25" ca="1">IF($A25="","",ForwardDuration($A25,V25,R25))</f>
      </c>
      <c r="X25" s="17"/>
      <c r="Y25" s="15"/>
      <c r="Z25" s="1" cm="1">
        <f t="array" aca="1" ref="Z25" ca="1">IF($A25="","",SwaptionVol(_xlfn.ANCHORARRAY($BA$3),TradeDate,C25,$A25))</f>
      </c>
      <c r="AA25" s="1">
        <f ca="1">IF($A25="","",IF(J25&lt;&gt;"",J25*SQRT(VolDays),IF(I25&lt;&gt;"",I25,Z25)))</f>
      </c>
      <c r="AB25" s="15">
        <f ca="1">IF($A25="","",IF(J25&lt;&gt;"",J25,AA25/SQRT(VolDays)))</f>
      </c>
      <c r="AC25" s="18">
        <f ca="1">IF($A25="","",AB25*SQRT(252)*Y25/100)</f>
      </c>
      <c r="AD25" s="17" cm="1">
        <f t="array" aca="1" ref="AD25" ca="1">IF($A25="","",OptionTerm(TradeDate,C25))</f>
      </c>
      <c r="AE25" s="15" cm="1">
        <f t="array" aca="1" ref="AE25" ca="1">IF($A25="","",BlackPremium(B25,U25,T25,AC25,AD25)*100)</f>
      </c>
      <c r="AF25" s="9">
        <f ca="1">IF(OR($A25="",E25=""),"",AE25*E25*10000)</f>
      </c>
    </row>
    <row r="26" spans="1:32" x14ac:dyDescent="0.55000000000000004">
      <c r="A26" s="5"/>
      <c r="B26" s="5"/>
      <c r="C26" s="7"/>
      <c r="D26" s="8"/>
      <c r="E26" s="10"/>
      <c r="F26" s="12"/>
      <c r="G26" s="13"/>
      <c r="H26" s="13"/>
      <c r="I26" s="14"/>
      <c r="J26" s="16"/>
      <c r="K26" s="11" cm="1">
        <f t="array" aca="1" ref="K26" ca="1">IF($A26="","",JgbInfo($A26))</f>
      </c>
      <c r="L26" s="3"/>
      <c r="M26" s="11" cm="1">
        <f t="array" aca="1" ref="M26" ca="1">IF($A26="","",JgbClose($A26,TradeDate))</f>
      </c>
      <c r="N26" s="3"/>
      <c r="O26" s="11">
        <f ca="1">IF($A26="","",M26+N(G26)/100)</f>
      </c>
      <c r="P26" s="11" cm="1">
        <f t="array" aca="1" ref="P26" ca="1">IF($A26="","",JgbYield($A26,T26,R26))</f>
      </c>
      <c r="Q26" s="3" cm="1">
        <f t="array" aca="1" ref="Q26" ca="1">IF($A26="","",JgbSettle(TradeDate,1))</f>
      </c>
      <c r="R26" s="3" cm="1">
        <f t="array" aca="1" ref="R26" ca="1">IF($A26="","",JgbSettle(C26,D26))</f>
      </c>
      <c r="S26" s="11" cm="1">
        <f t="array" aca="1" ref="S26" ca="1">IF($A26="","",JgbPrice($A26,O26,Q26))</f>
      </c>
      <c r="T26" s="11" cm="1">
        <f t="array" aca="1" ref="T26" ca="1">IF($A26="","",JgbPrice($A26,O26+N(H26)/100,C26))</f>
      </c>
      <c r="U26" s="17" cm="1">
        <f t="array" aca="1" ref="U26" ca="1">IF($A26="","",BondForward($A26,S26,Q26,R26,F26))</f>
      </c>
      <c r="V26" s="17"/>
      <c r="W26" s="11" cm="1">
        <f t="array" aca="1" ref="W26" ca="1">IF($A26="","",ForwardDuration($A26,V26,R26))</f>
      </c>
      <c r="X26" s="17"/>
      <c r="Y26" s="15"/>
      <c r="Z26" s="1" cm="1">
        <f t="array" aca="1" ref="Z26" ca="1">IF($A26="","",SwaptionVol(_xlfn.ANCHORARRAY($BA$3),TradeDate,C26,$A26))</f>
      </c>
      <c r="AA26" s="1">
        <f ca="1">IF($A26="","",IF(J26&lt;&gt;"",J26*SQRT(VolDays),IF(I26&lt;&gt;"",I26,Z26)))</f>
      </c>
      <c r="AB26" s="15">
        <f ca="1">IF($A26="","",IF(J26&lt;&gt;"",J26,AA26/SQRT(VolDays)))</f>
      </c>
      <c r="AC26" s="18">
        <f ca="1">IF($A26="","",AB26*SQRT(252)*Y26/100)</f>
      </c>
      <c r="AD26" s="17" cm="1">
        <f t="array" aca="1" ref="AD26" ca="1">IF($A26="","",OptionTerm(TradeDate,C26))</f>
      </c>
      <c r="AE26" s="15" cm="1">
        <f t="array" aca="1" ref="AE26" ca="1">IF($A26="","",BlackPremium(B26,U26,T26,AC26,AD26)*100)</f>
      </c>
      <c r="AF26" s="9">
        <f ca="1">IF(OR($A26="",E26=""),"",AE26*E26*10000)</f>
      </c>
    </row>
    <row r="27" spans="1:32" x14ac:dyDescent="0.55000000000000004">
      <c r="A27" s="5"/>
      <c r="B27" s="5"/>
      <c r="C27" s="7"/>
      <c r="D27" s="8"/>
      <c r="E27" s="10"/>
      <c r="F27" s="12"/>
      <c r="G27" s="13"/>
      <c r="H27" s="13"/>
      <c r="I27" s="14"/>
      <c r="J27" s="16"/>
      <c r="K27" s="11" cm="1">
        <f t="array" aca="1" ref="K27" ca="1">IF($A27="","",JgbInfo($A27))</f>
      </c>
      <c r="L27" s="3"/>
      <c r="M27" s="11" cm="1">
        <f t="array" aca="1" ref="M27" ca="1">IF($A27="","",JgbClose($A27,TradeDate))</f>
      </c>
      <c r="N27" s="3"/>
      <c r="O27" s="11">
        <f ca="1">IF($A27="","",M27+N(G27)/100)</f>
      </c>
      <c r="P27" s="11" cm="1">
        <f t="array" aca="1" ref="P27" ca="1">IF($A27="","",JgbYield($A27,T27,R27))</f>
      </c>
      <c r="Q27" s="3" cm="1">
        <f t="array" aca="1" ref="Q27" ca="1">IF($A27="","",JgbSettle(TradeDate,1))</f>
      </c>
      <c r="R27" s="3" cm="1">
        <f t="array" aca="1" ref="R27" ca="1">IF($A27="","",JgbSettle(C27,D27))</f>
      </c>
      <c r="S27" s="11" cm="1">
        <f t="array" aca="1" ref="S27" ca="1">IF($A27="","",JgbPrice($A27,O27,Q27))</f>
      </c>
      <c r="T27" s="11" cm="1">
        <f t="array" aca="1" ref="T27" ca="1">IF($A27="","",JgbPrice($A27,O27+N(H27)/100,C27))</f>
      </c>
      <c r="U27" s="17" cm="1">
        <f t="array" aca="1" ref="U27" ca="1">IF($A27="","",BondForward($A27,S27,Q27,R27,F27))</f>
      </c>
      <c r="V27" s="17"/>
      <c r="W27" s="11" cm="1">
        <f t="array" aca="1" ref="W27" ca="1">IF($A27="","",ForwardDuration($A27,V27,R27))</f>
      </c>
      <c r="X27" s="17"/>
      <c r="Y27" s="15"/>
      <c r="Z27" s="1" cm="1">
        <f t="array" aca="1" ref="Z27" ca="1">IF($A27="","",SwaptionVol(_xlfn.ANCHORARRAY($BA$3),TradeDate,C27,$A27))</f>
      </c>
      <c r="AA27" s="1">
        <f ca="1">IF($A27="","",IF(J27&lt;&gt;"",J27*SQRT(VolDays),IF(I27&lt;&gt;"",I27,Z27)))</f>
      </c>
      <c r="AB27" s="15">
        <f ca="1">IF($A27="","",IF(J27&lt;&gt;"",J27,AA27/SQRT(VolDays)))</f>
      </c>
      <c r="AC27" s="18">
        <f ca="1">IF($A27="","",AB27*SQRT(252)*Y27/100)</f>
      </c>
      <c r="AD27" s="17" cm="1">
        <f t="array" aca="1" ref="AD27" ca="1">IF($A27="","",OptionTerm(TradeDate,C27))</f>
      </c>
      <c r="AE27" s="15" cm="1">
        <f t="array" aca="1" ref="AE27" ca="1">IF($A27="","",BlackPremium(B27,U27,T27,AC27,AD27)*100)</f>
      </c>
      <c r="AF27" s="9">
        <f ca="1">IF(OR($A27="",E27=""),"",AE27*E27*10000)</f>
      </c>
    </row>
  </sheetData>
  <phoneticPr fontId="2"/>
  <dataValidations count="3">
    <dataValidation type="list" allowBlank="1" showInputMessage="1" showErrorMessage="1" sqref="B1" xr:uid="{36C5E859-5BF1-49D1-B35C-FF27FD53EBD2}">
      <formula1>"Live,Fixed"</formula1>
    </dataValidation>
    <dataValidation type="list" allowBlank="1" showInputMessage="1" showErrorMessage="1" sqref="B8:B27" xr:uid="{04B196FC-20A6-47CF-967B-BFF766D266BE}">
      <formula1>"Call,Put"</formula1>
    </dataValidation>
    <dataValidation type="list" allowBlank="1" showInputMessage="1" showErrorMessage="1" sqref="D8:D27" xr:uid="{A21BB52E-2AD1-4CF3-ADBE-EC6F9A6EC50A}">
      <formula1>"1,2"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Option</vt:lpstr>
      <vt:lpstr>TradeDate</vt:lpstr>
      <vt:lpstr>VolDays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2026-10-18T14:39:21Z</dcterms:modified>
</cp:coreProperties>
</file>