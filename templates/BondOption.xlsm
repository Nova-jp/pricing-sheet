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6099A499-54E9-4FAD-9A7E-3EA4244C47B1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Option" sheetId="12" r:id="rId1"/>
    <sheet name="Bonds" sheetId="13" r:id="rId2"/>
    <sheet name="Holidays" sheetId="14" r:id="rId3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d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e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BondList">_xlfn.ANCHORARRAY(Bonds!$A$3)</definedName>
    <definedName name="Holidays">_xlfn.ANCHORARRAY(Holidays!$A$3)</definedName>
    <definedName name="JGB_AI">_xlfn.LAMBDA(_xlpm.c,_xlpm.d,_xlpm.m,_xlpm.c*(_xlpm.d-JGB_PREV_COUPON(_xlpm.d,_xlpm.m))/365)</definedName>
    <definedName name="JGB_CARRY_COUPONS">_xlfn.LAMBDA(_xlpm.c,_xlpm.m,_xlpm.s0,_xlpm.se,_xlpm.r,_xlfn.LET(_xlpm.pd,EDATE(_xlpm.m,-6*_xlfn.SEQUENCE(INT((_xlpm.m-_xlpm.s0)/181)+2,1,0)),SUM((_xlpm.s0&lt;_xlpm.pd)*(_xlpm.pd&lt;=_xlpm.se)*_xlpm.c/2*(1+_xlpm.r/100*(_xlpm.se-_xlpm.pd)/365))))</definedName>
    <definedName name="JGB_PREV_COUPON">_xlfn.LAMBDA(_xlpm.d,_xlpm.m,_xlfn.LET(_xlpm.pd,EDATE(_xlpm.m,-6*_xlfn.SEQUENCE(INT((_xlpm.m-_xlpm.d)/181)+2,1,0)),MAX(_xlfn._xlws.FILTER(_xlpm.pd,_xlpm.pd&lt;=_xlpm.d))))</definedName>
    <definedName name="JGB_PRICE">_xlfn.LAMBDA(_xlpm.c,_xlpm.y,_xlpm.a,_xlpm.m,_xlfn.LET(_xlpm.n,JGB_YEARS(_xlpm.a,_xlpm.m),ROUNDDOWN(ROUND(100*(_xlpm.c+100/_xlpm.n)/(_xlpm.y+100/_xlpm.n),9),3)))</definedName>
    <definedName name="JGB_YEARS">_xlfn.LAMBDA(_xlpm.a,_xlpm.m,_xlfn.LET(_xlpm.y,_xlfn.SEQUENCE(YEAR(_xlpm.m)-YEAR(_xlpm.a)+1,1,YEAR(_xlpm.a)),_xlpm.d,DATE(_xlpm.y,2,29),(_xlpm.m-_xlpm.a-SUM((MONTH(_xlpm.d)=2)*(_xlpm.d&gt;_xlpm.a)*(_xlpm.d&lt;=_xlpm.m)))/365))</definedName>
    <definedName name="JGB_YIELD">_xlfn.LAMBDA(_xlpm.c,_xlpm.p,_xlpm.a,_xlpm.m,_xlfn.LET(_xlpm.n,JGB_YEARS(_xlpm.a,_xlpm.m),ROUNDDOWN(ROUND((_xlpm.c+(100-_xlpm.p)/_xlpm.n)/_xlpm.p*100,9),3)))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" i="12" l="1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O8" i="12"/>
  <c r="AO9" i="12"/>
  <c r="AO10" i="12"/>
  <c r="AO11" i="12"/>
  <c r="AO12" i="12"/>
  <c r="AO13" i="12"/>
  <c r="AO14" i="12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M8" i="12" a="1"/>
  <c r="AM8" i="12"/>
  <c r="AM9" i="12" a="1"/>
  <c r="AM9" i="12"/>
  <c r="AM10" i="12" a="1"/>
  <c r="AM10" i="12"/>
  <c r="AM11" i="12" a="1"/>
  <c r="AM11" i="12"/>
  <c r="AM12" i="12" a="1"/>
  <c r="AM12" i="12"/>
  <c r="AM13" i="12" a="1"/>
  <c r="AM13" i="12"/>
  <c r="AM14" i="12" a="1"/>
  <c r="AM14" i="12"/>
  <c r="AM15" i="12" a="1"/>
  <c r="AM15" i="12"/>
  <c r="AM16" i="12" a="1"/>
  <c r="AM16" i="12"/>
  <c r="AM17" i="12" a="1"/>
  <c r="AM17" i="12"/>
  <c r="AM18" i="12" a="1"/>
  <c r="AM18" i="12"/>
  <c r="AM19" i="12" a="1"/>
  <c r="AM19" i="12"/>
  <c r="AM20" i="12" a="1"/>
  <c r="AM20" i="12"/>
  <c r="AM21" i="12" a="1"/>
  <c r="AM21" i="12"/>
  <c r="AM22" i="12" a="1"/>
  <c r="AM22" i="12"/>
  <c r="AM23" i="12" a="1"/>
  <c r="AM23" i="12"/>
  <c r="AM24" i="12" a="1"/>
  <c r="AM24" i="12"/>
  <c r="AM25" i="12" a="1"/>
  <c r="AM25" i="12"/>
  <c r="AM26" i="12" a="1"/>
  <c r="AM26" i="12"/>
  <c r="AM27" i="12" a="1"/>
  <c r="AM27" i="12"/>
  <c r="AL8" i="12" a="1"/>
  <c r="AL8" i="12"/>
  <c r="AL9" i="12" a="1"/>
  <c r="AL9" i="12"/>
  <c r="AL10" i="12" a="1"/>
  <c r="AL10" i="12"/>
  <c r="AL11" i="12" a="1"/>
  <c r="AL11" i="12"/>
  <c r="AL12" i="12" a="1"/>
  <c r="AL12" i="12"/>
  <c r="AL13" i="12" a="1"/>
  <c r="AL13" i="12"/>
  <c r="AL14" i="12" a="1"/>
  <c r="AL14" i="12"/>
  <c r="AL15" i="12" a="1"/>
  <c r="AL15" i="12"/>
  <c r="AL16" i="12" a="1"/>
  <c r="AL16" i="12"/>
  <c r="AL17" i="12" a="1"/>
  <c r="AL17" i="12"/>
  <c r="AL18" i="12" a="1"/>
  <c r="AL18" i="12"/>
  <c r="AL19" i="12" a="1"/>
  <c r="AL19" i="12"/>
  <c r="AL20" i="12" a="1"/>
  <c r="AL20" i="12"/>
  <c r="AL21" i="12" a="1"/>
  <c r="AL21" i="12"/>
  <c r="AL22" i="12" a="1"/>
  <c r="AL22" i="12"/>
  <c r="AL23" i="12" a="1"/>
  <c r="AL23" i="12"/>
  <c r="AL24" i="12" a="1"/>
  <c r="AL24" i="12"/>
  <c r="AL25" i="12" a="1"/>
  <c r="AL25" i="12"/>
  <c r="AL26" i="12" a="1"/>
  <c r="AL26" i="12"/>
  <c r="AL27" i="12" a="1"/>
  <c r="AL27" i="12"/>
  <c r="AK8" i="12" a="1"/>
  <c r="AK8" i="12"/>
  <c r="AK9" i="12" a="1"/>
  <c r="AK9" i="12"/>
  <c r="AK10" i="12" a="1"/>
  <c r="AK10" i="12"/>
  <c r="AK11" i="12" a="1"/>
  <c r="AK11" i="12"/>
  <c r="AK12" i="12" a="1"/>
  <c r="AK12" i="12"/>
  <c r="AK13" i="12" a="1"/>
  <c r="AK13" i="12"/>
  <c r="AK14" i="12" a="1"/>
  <c r="AK14" i="12"/>
  <c r="AK15" i="12" a="1"/>
  <c r="AK15" i="12"/>
  <c r="AK16" i="12" a="1"/>
  <c r="AK16" i="12"/>
  <c r="AK17" i="12" a="1"/>
  <c r="AK17" i="12"/>
  <c r="AK18" i="12" a="1"/>
  <c r="AK18" i="12"/>
  <c r="AK19" i="12" a="1"/>
  <c r="AK19" i="12"/>
  <c r="AK20" i="12" a="1"/>
  <c r="AK20" i="12"/>
  <c r="AK21" i="12" a="1"/>
  <c r="AK21" i="12"/>
  <c r="AK22" i="12" a="1"/>
  <c r="AK22" i="12"/>
  <c r="AK23" i="12" a="1"/>
  <c r="AK23" i="12"/>
  <c r="AK24" i="12" a="1"/>
  <c r="AK24" i="12"/>
  <c r="AK25" i="12" a="1"/>
  <c r="AK25" i="12"/>
  <c r="AK26" i="12" a="1"/>
  <c r="AK26" i="12"/>
  <c r="AK27" i="12" a="1"/>
  <c r="AK27" i="12"/>
  <c r="AJ8" i="12" a="1"/>
  <c r="AJ8" i="12"/>
  <c r="AJ9" i="12" a="1"/>
  <c r="AJ9" i="12"/>
  <c r="AJ10" i="12" a="1"/>
  <c r="AJ10" i="12"/>
  <c r="AJ11" i="12" a="1"/>
  <c r="AJ11" i="12"/>
  <c r="AJ12" i="12" a="1"/>
  <c r="AJ12" i="12"/>
  <c r="AJ13" i="12" a="1"/>
  <c r="AJ13" i="12"/>
  <c r="AJ14" i="12" a="1"/>
  <c r="AJ14" i="12"/>
  <c r="AJ15" i="12" a="1"/>
  <c r="AJ15" i="12"/>
  <c r="AJ16" i="12" a="1"/>
  <c r="AJ16" i="12"/>
  <c r="AJ17" i="12" a="1"/>
  <c r="AJ17" i="12"/>
  <c r="AJ18" i="12" a="1"/>
  <c r="AJ18" i="12"/>
  <c r="AJ19" i="12" a="1"/>
  <c r="AJ19" i="12"/>
  <c r="AJ20" i="12" a="1"/>
  <c r="AJ20" i="12"/>
  <c r="AJ21" i="12" a="1"/>
  <c r="AJ21" i="12"/>
  <c r="AJ22" i="12" a="1"/>
  <c r="AJ22" i="12"/>
  <c r="AJ23" i="12" a="1"/>
  <c r="AJ23" i="12"/>
  <c r="AJ24" i="12" a="1"/>
  <c r="AJ24" i="12"/>
  <c r="AJ25" i="12" a="1"/>
  <c r="AJ25" i="12"/>
  <c r="AJ26" i="12" a="1"/>
  <c r="AJ26" i="12"/>
  <c r="AJ27" i="12" a="1"/>
  <c r="AJ2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F8" i="12" a="1"/>
  <c r="AF8" i="12"/>
  <c r="AF9" i="12" a="1"/>
  <c r="AF9" i="12"/>
  <c r="AF10" i="12" a="1"/>
  <c r="AF10" i="12"/>
  <c r="AF11" i="12" a="1"/>
  <c r="AF11" i="12"/>
  <c r="AF12" i="12" a="1"/>
  <c r="AF12" i="12"/>
  <c r="AF13" i="12" a="1"/>
  <c r="AF13" i="12"/>
  <c r="AF14" i="12" a="1"/>
  <c r="AF14" i="12"/>
  <c r="AF15" i="12" a="1"/>
  <c r="AF15" i="12"/>
  <c r="AF16" i="12" a="1"/>
  <c r="AF16" i="12"/>
  <c r="AF17" i="12" a="1"/>
  <c r="AF17" i="12"/>
  <c r="AF18" i="12" a="1"/>
  <c r="AF18" i="12"/>
  <c r="AF19" i="12" a="1"/>
  <c r="AF19" i="12"/>
  <c r="AF20" i="12" a="1"/>
  <c r="AF20" i="12"/>
  <c r="AF21" i="12" a="1"/>
  <c r="AF21" i="12"/>
  <c r="AF22" i="12" a="1"/>
  <c r="AF22" i="12"/>
  <c r="AF23" i="12" a="1"/>
  <c r="AF23" i="12"/>
  <c r="AF24" i="12" a="1"/>
  <c r="AF24" i="12"/>
  <c r="AF25" i="12" a="1"/>
  <c r="AF25" i="12"/>
  <c r="AF26" i="12" a="1"/>
  <c r="AF26" i="12"/>
  <c r="AF27" i="12" a="1"/>
  <c r="AF2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Z8" i="12" a="1"/>
  <c r="Z8" i="12"/>
  <c r="Z9" i="12" a="1"/>
  <c r="Z9" i="12"/>
  <c r="Z10" i="12" a="1"/>
  <c r="Z10" i="12"/>
  <c r="Z11" i="12" a="1"/>
  <c r="Z11" i="12"/>
  <c r="Z12" i="12" a="1"/>
  <c r="Z12" i="12"/>
  <c r="Z13" i="12" a="1"/>
  <c r="Z13" i="12"/>
  <c r="Z14" i="12" a="1"/>
  <c r="Z14" i="12"/>
  <c r="Z15" i="12" a="1"/>
  <c r="Z15" i="12"/>
  <c r="Z16" i="12" a="1"/>
  <c r="Z16" i="12"/>
  <c r="Z17" i="12" a="1"/>
  <c r="Z17" i="12"/>
  <c r="Z18" i="12" a="1"/>
  <c r="Z18" i="12"/>
  <c r="Z19" i="12" a="1"/>
  <c r="Z19" i="12"/>
  <c r="Z20" i="12" a="1"/>
  <c r="Z20" i="12"/>
  <c r="Z21" i="12" a="1"/>
  <c r="Z21" i="12"/>
  <c r="Z22" i="12" a="1"/>
  <c r="Z22" i="12"/>
  <c r="Z23" i="12" a="1"/>
  <c r="Z23" i="12"/>
  <c r="Z24" i="12" a="1"/>
  <c r="Z24" i="12"/>
  <c r="Z25" i="12" a="1"/>
  <c r="Z25" i="12"/>
  <c r="Z26" i="12" a="1"/>
  <c r="Z26" i="12"/>
  <c r="Z27" i="12" a="1"/>
  <c r="Z27" i="12"/>
  <c r="Y8" i="12" a="1"/>
  <c r="Y8" i="12"/>
  <c r="Y9" i="12" a="1"/>
  <c r="Y9" i="12"/>
  <c r="Y10" i="12" a="1"/>
  <c r="Y10" i="12"/>
  <c r="Y11" i="12" a="1"/>
  <c r="Y11" i="12"/>
  <c r="Y12" i="12" a="1"/>
  <c r="Y12" i="12"/>
  <c r="Y13" i="12" a="1"/>
  <c r="Y13" i="12"/>
  <c r="Y14" i="12" a="1"/>
  <c r="Y14" i="12"/>
  <c r="Y15" i="12" a="1"/>
  <c r="Y15" i="12"/>
  <c r="Y16" i="12" a="1"/>
  <c r="Y16" i="12"/>
  <c r="Y17" i="12" a="1"/>
  <c r="Y17" i="12"/>
  <c r="Y18" i="12" a="1"/>
  <c r="Y18" i="12"/>
  <c r="Y19" i="12" a="1"/>
  <c r="Y19" i="12"/>
  <c r="Y20" i="12" a="1"/>
  <c r="Y20" i="12"/>
  <c r="Y21" i="12" a="1"/>
  <c r="Y21" i="12"/>
  <c r="Y22" i="12" a="1"/>
  <c r="Y22" i="12"/>
  <c r="Y23" i="12" a="1"/>
  <c r="Y23" i="12"/>
  <c r="Y24" i="12" a="1"/>
  <c r="Y24" i="12"/>
  <c r="Y25" i="12" a="1"/>
  <c r="Y25" i="12"/>
  <c r="Y26" i="12" a="1"/>
  <c r="Y26" i="12"/>
  <c r="Y27" i="12" a="1"/>
  <c r="Y27" i="12"/>
  <c r="X8" i="12" a="1"/>
  <c r="X8" i="12"/>
  <c r="X9" i="12" a="1"/>
  <c r="X9" i="12"/>
  <c r="X10" i="12" a="1"/>
  <c r="X10" i="12"/>
  <c r="X11" i="12" a="1"/>
  <c r="X11" i="12"/>
  <c r="X12" i="12" a="1"/>
  <c r="X12" i="12"/>
  <c r="X13" i="12" a="1"/>
  <c r="X13" i="12"/>
  <c r="X14" i="12" a="1"/>
  <c r="X14" i="12"/>
  <c r="X15" i="12" a="1"/>
  <c r="X15" i="12"/>
  <c r="X16" i="12" a="1"/>
  <c r="X16" i="12"/>
  <c r="X17" i="12" a="1"/>
  <c r="X17" i="12"/>
  <c r="X18" i="12" a="1"/>
  <c r="X18" i="12"/>
  <c r="X19" i="12" a="1"/>
  <c r="X19" i="12"/>
  <c r="X20" i="12" a="1"/>
  <c r="X20" i="12"/>
  <c r="X21" i="12" a="1"/>
  <c r="X21" i="12"/>
  <c r="X22" i="12" a="1"/>
  <c r="X22" i="12"/>
  <c r="X23" i="12" a="1"/>
  <c r="X23" i="12"/>
  <c r="X24" i="12" a="1"/>
  <c r="X24" i="12"/>
  <c r="X25" i="12" a="1"/>
  <c r="X25" i="12"/>
  <c r="X26" i="12" a="1"/>
  <c r="X26" i="12"/>
  <c r="X27" i="12" a="1"/>
  <c r="X27" i="12"/>
  <c r="W8" i="12" a="1"/>
  <c r="W8" i="12"/>
  <c r="W9" i="12" a="1"/>
  <c r="W9" i="12"/>
  <c r="W10" i="12" a="1"/>
  <c r="W10" i="12"/>
  <c r="W11" i="12" a="1"/>
  <c r="W11" i="12"/>
  <c r="W12" i="12" a="1"/>
  <c r="W12" i="12"/>
  <c r="W13" i="12" a="1"/>
  <c r="W13" i="12"/>
  <c r="W14" i="12" a="1"/>
  <c r="W14" i="12"/>
  <c r="W15" i="12" a="1"/>
  <c r="W15" i="12"/>
  <c r="W16" i="12" a="1"/>
  <c r="W16" i="12"/>
  <c r="W17" i="12" a="1"/>
  <c r="W17" i="12"/>
  <c r="W18" i="12" a="1"/>
  <c r="W18" i="12"/>
  <c r="W19" i="12" a="1"/>
  <c r="W19" i="12"/>
  <c r="W20" i="12" a="1"/>
  <c r="W20" i="12"/>
  <c r="W21" i="12" a="1"/>
  <c r="W21" i="12"/>
  <c r="W22" i="12" a="1"/>
  <c r="W22" i="12"/>
  <c r="W23" i="12" a="1"/>
  <c r="W23" i="12"/>
  <c r="W24" i="12" a="1"/>
  <c r="W24" i="12"/>
  <c r="W25" i="12" a="1"/>
  <c r="W25" i="12"/>
  <c r="W26" i="12" a="1"/>
  <c r="W26" i="12"/>
  <c r="W27" i="12" a="1"/>
  <c r="W2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R8" i="12" a="1"/>
  <c r="R8" i="12"/>
  <c r="R9" i="12" a="1"/>
  <c r="R9" i="12"/>
  <c r="R10" i="12" a="1"/>
  <c r="R10" i="12"/>
  <c r="R11" i="12" a="1"/>
  <c r="R11" i="12"/>
  <c r="R12" i="12" a="1"/>
  <c r="R12" i="12"/>
  <c r="R13" i="12" a="1"/>
  <c r="R13" i="12"/>
  <c r="R14" i="12" a="1"/>
  <c r="R14" i="12"/>
  <c r="R15" i="12" a="1"/>
  <c r="R15" i="12"/>
  <c r="R16" i="12" a="1"/>
  <c r="R16" i="12"/>
  <c r="R17" i="12" a="1"/>
  <c r="R17" i="12"/>
  <c r="R18" i="12" a="1"/>
  <c r="R18" i="12"/>
  <c r="R19" i="12" a="1"/>
  <c r="R19" i="12"/>
  <c r="R20" i="12" a="1"/>
  <c r="R20" i="12"/>
  <c r="R21" i="12" a="1"/>
  <c r="R21" i="12"/>
  <c r="R22" i="12" a="1"/>
  <c r="R22" i="12"/>
  <c r="R23" i="12" a="1"/>
  <c r="R23" i="12"/>
  <c r="R24" i="12" a="1"/>
  <c r="R24" i="12"/>
  <c r="R25" i="12" a="1"/>
  <c r="R25" i="12"/>
  <c r="R26" i="12" a="1"/>
  <c r="R26" i="12"/>
  <c r="R27" i="12" a="1"/>
  <c r="R27" i="12"/>
  <c r="Q8" i="12" a="1"/>
  <c r="Q8" i="12"/>
  <c r="Q9" i="12" a="1"/>
  <c r="Q9" i="12"/>
  <c r="Q10" i="12" a="1"/>
  <c r="Q10" i="12"/>
  <c r="Q11" i="12" a="1"/>
  <c r="Q11" i="12"/>
  <c r="Q12" i="12" a="1"/>
  <c r="Q12" i="12"/>
  <c r="Q13" i="12" a="1"/>
  <c r="Q13" i="12"/>
  <c r="Q14" i="12" a="1"/>
  <c r="Q14" i="12"/>
  <c r="Q15" i="12" a="1"/>
  <c r="Q15" i="12"/>
  <c r="Q16" i="12" a="1"/>
  <c r="Q16" i="12"/>
  <c r="Q17" i="12" a="1"/>
  <c r="Q17" i="12"/>
  <c r="Q18" i="12" a="1"/>
  <c r="Q18" i="12"/>
  <c r="Q19" i="12" a="1"/>
  <c r="Q19" i="12"/>
  <c r="Q20" i="12" a="1"/>
  <c r="Q20" i="12"/>
  <c r="Q21" i="12" a="1"/>
  <c r="Q21" i="12"/>
  <c r="Q22" i="12" a="1"/>
  <c r="Q22" i="12"/>
  <c r="Q23" i="12" a="1"/>
  <c r="Q23" i="12"/>
  <c r="Q24" i="12" a="1"/>
  <c r="Q24" i="12"/>
  <c r="Q25" i="12" a="1"/>
  <c r="Q25" i="12"/>
  <c r="Q26" i="12" a="1"/>
  <c r="Q26" i="12"/>
  <c r="Q27" i="12" a="1"/>
  <c r="Q27" i="12"/>
  <c r="P8" i="12" a="1"/>
  <c r="P8" i="12"/>
  <c r="P9" i="12" a="1"/>
  <c r="P9" i="12"/>
  <c r="P10" i="12" a="1"/>
  <c r="P10" i="12"/>
  <c r="P11" i="12" a="1"/>
  <c r="P11" i="12"/>
  <c r="P12" i="12" a="1"/>
  <c r="P12" i="12"/>
  <c r="P13" i="12" a="1"/>
  <c r="P13" i="12"/>
  <c r="P14" i="12" a="1"/>
  <c r="P14" i="12"/>
  <c r="P15" i="12" a="1"/>
  <c r="P15" i="12"/>
  <c r="P16" i="12" a="1"/>
  <c r="P16" i="12"/>
  <c r="P17" i="12" a="1"/>
  <c r="P17" i="12"/>
  <c r="P18" i="12" a="1"/>
  <c r="P18" i="12"/>
  <c r="P19" i="12" a="1"/>
  <c r="P19" i="12"/>
  <c r="P20" i="12" a="1"/>
  <c r="P20" i="12"/>
  <c r="P21" i="12" a="1"/>
  <c r="P21" i="12"/>
  <c r="P22" i="12" a="1"/>
  <c r="P22" i="12"/>
  <c r="P23" i="12" a="1"/>
  <c r="P23" i="12"/>
  <c r="P24" i="12" a="1"/>
  <c r="P24" i="12"/>
  <c r="P25" i="12" a="1"/>
  <c r="P25" i="12"/>
  <c r="P26" i="12" a="1"/>
  <c r="P26" i="12"/>
  <c r="P27" i="12" a="1"/>
  <c r="P27" i="12"/>
  <c r="O8" i="12" a="1"/>
  <c r="O8" i="12"/>
  <c r="O9" i="12" a="1"/>
  <c r="O9" i="12"/>
  <c r="O10" i="12" a="1"/>
  <c r="O10" i="12"/>
  <c r="O11" i="12" a="1"/>
  <c r="O11" i="12"/>
  <c r="O12" i="12" a="1"/>
  <c r="O12" i="12"/>
  <c r="O13" i="12" a="1"/>
  <c r="O13" i="12"/>
  <c r="O14" i="12" a="1"/>
  <c r="O14" i="12"/>
  <c r="O15" i="12" a="1"/>
  <c r="O15" i="12"/>
  <c r="O16" i="12" a="1"/>
  <c r="O16" i="12"/>
  <c r="O17" i="12" a="1"/>
  <c r="O17" i="12"/>
  <c r="O18" i="12" a="1"/>
  <c r="O18" i="12"/>
  <c r="O19" i="12" a="1"/>
  <c r="O19" i="12"/>
  <c r="O20" i="12" a="1"/>
  <c r="O20" i="12"/>
  <c r="O21" i="12" a="1"/>
  <c r="O21" i="12"/>
  <c r="O22" i="12" a="1"/>
  <c r="O22" i="12"/>
  <c r="O23" i="12" a="1"/>
  <c r="O23" i="12"/>
  <c r="O24" i="12" a="1"/>
  <c r="O24" i="12"/>
  <c r="O25" i="12" a="1"/>
  <c r="O25" i="12"/>
  <c r="O26" i="12" a="1"/>
  <c r="O26" i="12"/>
  <c r="O27" i="12" a="1"/>
  <c r="O27" i="12"/>
  <c r="N8" i="12" a="1"/>
  <c r="N8" i="12"/>
  <c r="N9" i="12" a="1"/>
  <c r="N9" i="12"/>
  <c r="N10" i="12" a="1"/>
  <c r="N10" i="12"/>
  <c r="N11" i="12" a="1"/>
  <c r="N11" i="12"/>
  <c r="N12" i="12" a="1"/>
  <c r="N12" i="12"/>
  <c r="N13" i="12" a="1"/>
  <c r="N13" i="12"/>
  <c r="N14" i="12" a="1"/>
  <c r="N14" i="12"/>
  <c r="N15" i="12" a="1"/>
  <c r="N15" i="12"/>
  <c r="N16" i="12" a="1"/>
  <c r="N16" i="12"/>
  <c r="N17" i="12" a="1"/>
  <c r="N17" i="12"/>
  <c r="N18" i="12" a="1"/>
  <c r="N18" i="12"/>
  <c r="N19" i="12" a="1"/>
  <c r="N19" i="12"/>
  <c r="N20" i="12" a="1"/>
  <c r="N20" i="12"/>
  <c r="N21" i="12" a="1"/>
  <c r="N21" i="12"/>
  <c r="N22" i="12" a="1"/>
  <c r="N22" i="12"/>
  <c r="N23" i="12" a="1"/>
  <c r="N23" i="12"/>
  <c r="N24" i="12" a="1"/>
  <c r="N24" i="12"/>
  <c r="N25" i="12" a="1"/>
  <c r="N25" i="12"/>
  <c r="N26" i="12" a="1"/>
  <c r="N26" i="12"/>
  <c r="N27" i="12" a="1"/>
  <c r="N27" i="12"/>
  <c r="A3" i="14" a="1"/>
  <c r="A3" i="14"/>
  <c r="A3" i="13" a="1"/>
  <c r="A3" i="13"/>
  <c r="BA3" i="12" a="1"/>
  <c r="BA3" i="12"/>
  <c r="B4" i="12" a="1"/>
  <c r="B4" i="12"/>
  <c r="D1" i="12" a="1"/>
  <c r="D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<sst xmlns="http://schemas.openxmlformats.org/spreadsheetml/2006/main" count="63" uniqueCount="59">
  <si>
    <t>Vol</t>
  </si>
  <si>
    <t>Live</t>
  </si>
  <si>
    <t>Updated</t>
  </si>
  <si>
    <t>Live: reads the latest swaption vols on every Shift+F9. Fixed: keeps the vols last read on this sheet. Updated = when the vols last changed in LiveFeed.</t>
  </si>
  <si>
    <t>BondOption (JGB OTC options, European, physical delivery)</t>
  </si>
  <si>
    <t>Trade date (blank = today)</t>
  </si>
  <si>
    <t>Trade date used</t>
  </si>
  <si>
    <t>Normal vol -&gt; bp/day: divide by SQRT of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</si>
  <si>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</si>
  <si>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</si>
  <si>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</si>
  <si>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</si>
  <si>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</si>
  <si>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</si>
  <si>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</si>
  <si>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Strike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</si>
  <si>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</si>
  <si>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</si>
  <si>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</si>
  <si>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</si>
  <si>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</si>
  <si>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</si>
  <si>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</si>
  <si>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</si>
  <si>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</si>
  <si>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</si>
  <si>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</si>
  <si>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</si>
  <si>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</si>
  <si>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</si>
  <si>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yield (%)</t>
  </si>
  <si>
    <t>Fwd DD</t>
  </si>
  <si>
    <t>Fwd MD</t>
  </si>
  <si>
    <t>Normal vol (bp/yr)</t>
  </si>
  <si>
    <t>Normal vol used (bp/yr)</t>
  </si>
  <si>
    <t>bp vol used (bp/day)</t>
  </si>
  <si>
    <t>Price vol (%)</t>
  </si>
  <si>
    <t>Term (bd/252)</t>
  </si>
  <si>
    <t>Premium (sen)</t>
  </si>
  <si>
    <t>Premium (JPY)</t>
  </si>
  <si>
    <t>JS182</t>
  </si>
  <si>
    <t>Live vol (Name / RIC / Value)</t>
  </si>
  <si>
    <t>JGB master and JCL close on or before the trade date (python -m engine.common.morning_batch)</t>
  </si>
  <si>
    <t>Code</t>
  </si>
  <si>
    <t>RIC</t>
  </si>
  <si>
    <t>ISIN</t>
  </si>
  <si>
    <t>Japan holidays excluding weekends (QuantLib ql.Japan())</t>
  </si>
  <si>
    <t>Date</t>
  </si>
  <si>
    <t>Scheme</t>
  </si>
  <si>
    <t>Strike fwd price</t>
  </si>
  <si>
    <t>Fwd offset (sen)</t>
  </si>
  <si>
    <t>Accrued (spot)</t>
  </si>
  <si>
    <t>Accrued (exercise)</t>
  </si>
  <si>
    <t>Interim coupons (fwd value)</t>
  </si>
  <si>
    <t>Strike basis</t>
  </si>
  <si>
    <t>Strike yield @ exercise settle (%)</t>
  </si>
  <si>
    <t>Strike + premium</t>
  </si>
  <si>
    <t>TB</t>
  </si>
  <si>
    <t>Inputs: yellow columns. Strike: fill exactly one of Strike slide / Strike yield / Strike fwd price / Fwd offset (ITMBW: none). Any computed cell can be overwritten by hand. Data: python -m engine.common.morning_batch (Bonds sheet). Vols: live feed. Premium is not discounted.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</si>
</sst>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"/>
    <numFmt numFmtId="178" formatCode="0.0"/>
    <numFmt numFmtId="179" formatCode="0.0000"/>
    <numFmt numFmtId="180" formatCode="0.000000"/>
    <numFmt numFmtId="181" formatCode="0.00000"/>
  </numFmts>
  <fonts count="4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21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76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3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179" fontId="0" fillId="0" borderId="0" xfId="0" applyNumberFormat="1">
      <alignment vertical="center"/>
    </xf>
    <xf numFmtId="179" fontId="0" fillId="2" borderId="0" xfId="0" applyNumberFormat="1" applyFill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D2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" outlineLevelCol="1" x14ac:dyDescent="0.55000000000000004"/>
  <cols>
    <col min="1" max="41" width="11.58203125" customWidth="1"/>
    <col min="53" max="55" width="0" hidden="1" customWidth="1" outlineLevel="1"/>
    <col min="56" max="56" width="8.6640625" collapsed="1"/>
  </cols>
  <sheetData>
    <row r="1" spans="1:53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LiveInfo("vol",_xlfn.ANCHORARRAY($BA$3))</f>
      </c>
      <c r="E1" t="s">
        <v>3</v>
      </c>
    </row>
    <row r="2" spans="1:53" x14ac:dyDescent="0.55000000000000004">
      <c r="A2" s="2" t="s">
        <v>4</v>
      </c>
      <c r="BA2" t="s">
        <v>41</v>
      </c>
    </row>
    <row r="3" spans="1:53" x14ac:dyDescent="0.55000000000000004">
      <c r="A3" t="s">
        <v>5</v>
      </c>
      <c r="B3" s="3"/>
      <c r="D3" t="s">
        <v>58</v>
      </c>
      <c r="BA3" cm="1">
        <f t="array" aca="1" ref="BA3" ca="1">IF($B$1="Fixed",LiveSnapshot("vol"),LiveQuotes("vol"))</f>
      </c>
    </row>
    <row r="4" spans="1:53" x14ac:dyDescent="0.55000000000000004">
      <c r="A4" t="s">
        <v>6</v>
      </c>
      <c r="B4" s="3" cm="1">
        <f t="array" aca="1" ref="B4" ca="1">ValuationDate(B3)</f>
      </c>
    </row>
    <row r="5" spans="1:53" x14ac:dyDescent="0.55000000000000004">
      <c r="A5" t="s">
        <v>7</v>
      </c>
      <c r="B5">
        <v>252</v>
      </c>
    </row>
    <row r="7" spans="1:53" ht="45" customHeight="1" x14ac:dyDescent="0.55000000000000004">
      <c r="A7" s="6" t="s">
        <v>8</v>
      </c>
      <c r="B7" s="6" t="s">
        <v>48</v>
      </c>
      <c r="C7" s="6" t="s">
        <v>10</v>
      </c>
      <c r="D7" s="6" t="s">
        <v>11</v>
      </c>
      <c r="E7" s="6" t="s">
        <v>12</v>
      </c>
      <c r="F7" s="6" t="s">
        <v>13</v>
      </c>
      <c r="G7" s="6" t="s">
        <v>14</v>
      </c>
      <c r="H7" s="6" t="s">
        <v>15</v>
      </c>
      <c r="I7" s="6" t="s">
        <v>23</v>
      </c>
      <c r="J7" s="6" t="s">
        <v>49</v>
      </c>
      <c r="K7" s="6" t="s">
        <v>50</v>
      </c>
      <c r="L7" s="6" t="s">
        <v>16</v>
      </c>
      <c r="M7" s="6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9</v>
      </c>
      <c r="S7" s="4" t="s">
        <v>22</v>
      </c>
      <c r="T7" s="4" t="s">
        <v>24</v>
      </c>
      <c r="U7" s="4" t="s">
        <v>25</v>
      </c>
      <c r="V7" s="4" t="s">
        <v>37</v>
      </c>
      <c r="W7" s="4" t="s">
        <v>26</v>
      </c>
      <c r="X7" s="4" t="s">
        <v>51</v>
      </c>
      <c r="Y7" s="4" t="s">
        <v>52</v>
      </c>
      <c r="Z7" s="4" t="s">
        <v>53</v>
      </c>
      <c r="AA7" s="4" t="s">
        <v>29</v>
      </c>
      <c r="AB7" s="4" t="s">
        <v>28</v>
      </c>
      <c r="AC7" s="4" t="s">
        <v>30</v>
      </c>
      <c r="AD7" s="4" t="s">
        <v>31</v>
      </c>
      <c r="AE7" s="4" t="s">
        <v>32</v>
      </c>
      <c r="AF7" s="4" t="s">
        <v>33</v>
      </c>
      <c r="AG7" s="4" t="s">
        <v>34</v>
      </c>
      <c r="AH7" s="4" t="s">
        <v>35</v>
      </c>
      <c r="AI7" s="4" t="s">
        <v>36</v>
      </c>
      <c r="AJ7" s="4" t="s">
        <v>54</v>
      </c>
      <c r="AK7" s="4" t="s">
        <v>27</v>
      </c>
      <c r="AL7" s="4" t="s">
        <v>55</v>
      </c>
      <c r="AM7" s="4" t="s">
        <v>38</v>
      </c>
      <c r="AN7" s="4" t="s">
        <v>39</v>
      </c>
      <c r="AO7" s="4" t="s">
        <v>56</v>
      </c>
    </row>
    <row r="8" spans="1:53" x14ac:dyDescent="0.55000000000000004">
      <c r="A8" s="5" t="s">
        <v>40</v>
      </c>
      <c r="B8" s="5" t="s">
        <v>57</v>
      </c>
      <c r="C8" s="7">
        <v>46371.625</v>
      </c>
      <c r="D8" s="8">
        <v>1</v>
      </c>
      <c r="E8" s="10">
        <v>10</v>
      </c>
      <c r="F8" s="12">
        <v>0.5</v>
      </c>
      <c r="G8" s="13">
        <v>0</v>
      </c>
      <c r="H8" s="13">
        <v>0</v>
      </c>
      <c r="I8" s="12"/>
      <c r="J8" s="12"/>
      <c r="K8" s="13"/>
      <c r="L8" s="14"/>
      <c r="M8" s="16"/>
      <c r="N8" s="11" cm="1">
        <f t="array" aca="1" ref="N8" ca="1">IF($A8="","",_xlfn.XLOOKUP($A8,INDEX(BondList,0,1),INDEX(BondList,0,2)))</f>
      </c>
      <c r="O8" s="3" cm="1">
        <f t="array" aca="1" ref="O8" ca="1">IF($A8="","",_xlfn.XLOOKUP($A8,INDEX(BondList,0,1),INDEX(BondList,0,3)))</f>
      </c>
      <c r="P8" s="11" cm="1">
        <f t="array" aca="1" ref="P8" ca="1">IF($A8="","",_xlfn.XLOOKUP($A8,INDEX(BondList,0,1),INDEX(BondList,0,4)))</f>
      </c>
      <c r="Q8" s="3" cm="1">
        <f t="array" aca="1" ref="Q8" ca="1">IF($A8="","",_xlfn.XLOOKUP($A8,INDEX(BondList,0,1),INDEX(BondList,0,5)))</f>
      </c>
      <c r="R8" cm="1">
        <f t="array" aca="1" ref="R8" ca="1">IF($A8="","",_xlfn.SWITCH($B8,"BW","Call","CC","Call","ITMBW","Call","TB","Put",NA()))</f>
      </c>
      <c r="S8" s="11">
        <f t="shared" ref="S8:S27" ca="1" si="0">IF($A8="","",$P8+N($G8)/100)</f>
      </c>
      <c r="T8" s="3">
        <f ca="1">IF($A8="","",WORKDAY(TradeDate,1,Holidays))</f>
      </c>
      <c r="U8" s="3">
        <f ca="1">IF($A8="","",WORKDAY($C8,$D8,Holidays))</f>
      </c>
      <c r="V8" s="17">
        <f ca="1">IF($A8="","",NETWORKDAYS(TradeDate,$C8-1,Holidays)/252)</f>
      </c>
      <c r="W8" s="11" cm="1">
        <f t="array" aca="1" ref="W8" ca="1">IF($A8="","",JGB_PRICE($N8,$S8,$T8,$O8))</f>
      </c>
      <c r="X8" s="17" cm="1">
        <f t="array" aca="1" ref="X8" ca="1">IF($A8="","",JGB_AI($N8,$T8,$O8))</f>
      </c>
      <c r="Y8" s="17" cm="1">
        <f t="array" aca="1" ref="Y8" ca="1">IF($A8="","",JGB_AI($N8,$U8,$O8))</f>
      </c>
      <c r="Z8" s="17" cm="1">
        <f t="array" aca="1" ref="Z8" ca="1">IF($A8="","",JGB_CARRY_COUPONS($N8,$O8,$T8,$U8,$F8))</f>
      </c>
      <c r="AA8" s="17">
        <f t="shared" ref="AA8:AA27" ca="1" si="1">IF($A8="","",($W8+$X8)*(1+$F8/100*($U8-$T8)/365)-$Z8)</f>
      </c>
      <c r="AB8" s="17">
        <f t="shared" ref="AB8:AB27" ca="1" si="2">IF($A8="","",$AA8-$Y8)</f>
      </c>
      <c r="AC8" s="11">
        <f ca="1">IF($A8="","",INDEX(JgbForwardRisk($N8,$O8,$AA8,$U8),1,1))</f>
      </c>
      <c r="AD8" s="17">
        <f ca="1">IF($A8="","",INDEX(JgbForwardRisk($N8,$O8,$AA8,$U8),1,2))</f>
      </c>
      <c r="AE8" s="15">
        <f ca="1">IF($A8="","",INDEX(JgbForwardRisk($N8,$O8,$AA8,$U8),1,3))</f>
      </c>
      <c r="AF8" s="1" cm="1">
        <f t="array" aca="1" ref="AF8" ca="1">IF($A8="","",SwaptionVol(_xlfn.ANCHORARRAY($BA$3),TradeDate,$C8,$O8))</f>
      </c>
      <c r="AG8" s="1">
        <f t="shared" ref="AG8:AG27" ca="1" si="3">IF($A8="","",IF($M8&lt;&gt;"",$M8*SQRT(VolDays),IF($L8&lt;&gt;"",$L8,$AF8)))</f>
      </c>
      <c r="AH8" s="15">
        <f t="shared" ref="AH8:AH27" ca="1" si="4">IF($A8="","",IF($M8&lt;&gt;"",$M8,$AG8/SQRT(VolDays)))</f>
      </c>
      <c r="AI8" s="18">
        <f t="shared" ref="AI8:AI27" ca="1" si="5">IF($A8="","",$AH8*SQRT(252)*$AE8/100)</f>
      </c>
      <c r="AJ8" cm="1">
        <f t="array" aca="1" ref="AJ8" ca="1">IF($A8="","",_xlfn.LET(_xlpm.n,COUNTA($H8:$K8),IF($B8="ITMBW",IF(_xlpm.n=0,"ITMBW","Error: ITMBW takes no strike input"),IF(_xlpm.n=1,_xlfn.XLOOKUP(TRUE,$H8:$K8&lt;&gt;"",{"Slide","Yield","Fwd price","Fwd offset"}),IF(_xlpm.n=0,"Error: enter one strike input","Error: enter only one strike input")))))</f>
      </c>
      <c r="AK8" s="11" cm="1">
        <f t="array" aca="1" ref="AK8" ca="1">IF($A8="","",IF($AJ8="Slide",JGB_PRICE($N8,$S8+$H8/100,$C8,$O8),IF($AJ8="Yield",JGB_PRICE($N8,$I8,$C8,$O8),IF($AJ8="Fwd price",$J8,IF($AJ8="Fwd offset",ROUNDDOWN(ROUND($AB8+$K8/100,9),3),IF($AJ8="ITMBW",ItmBuyWriteStrike($AB8,$W8,$AI8,$V8),NA()))))))</f>
      </c>
      <c r="AL8" s="11" cm="1">
        <f t="array" aca="1" ref="AL8" ca="1">IF($A8="","",JGB_YIELD($N8,$AK8,$U8,$O8))</f>
      </c>
      <c r="AM8" s="15" cm="1">
        <f t="array" aca="1" ref="AM8" ca="1">IF($A8="","",BlackPremium($R8,$AB8,$AK8,$AI8,$V8)*100)</f>
      </c>
      <c r="AN8" s="9">
        <f t="shared" ref="AN8:AN27" ca="1" si="6">IF(OR($A8="",$E8=""),"",$AM8*$E8*10000)</f>
      </c>
      <c r="AO8" s="11">
        <f t="shared" ref="AO8:AO27" ca="1" si="7">IF($A8="","",$AK8+$AM8/100)</f>
      </c>
    </row>
    <row r="9" spans="1:53" x14ac:dyDescent="0.55000000000000004">
      <c r="A9" s="5"/>
      <c r="B9" s="5"/>
      <c r="C9" s="7"/>
      <c r="D9" s="8"/>
      <c r="E9" s="10"/>
      <c r="F9" s="12"/>
      <c r="G9" s="13"/>
      <c r="H9" s="13"/>
      <c r="I9" s="12"/>
      <c r="J9" s="12"/>
      <c r="K9" s="13"/>
      <c r="L9" s="14"/>
      <c r="M9" s="16"/>
      <c r="N9" s="11" cm="1">
        <f t="array" aca="1" ref="N9" ca="1">IF($A9="","",_xlfn.XLOOKUP($A9,INDEX(BondList,0,1),INDEX(BondList,0,2)))</f>
      </c>
      <c r="O9" s="3" cm="1">
        <f t="array" aca="1" ref="O9" ca="1">IF($A9="","",_xlfn.XLOOKUP($A9,INDEX(BondList,0,1),INDEX(BondList,0,3)))</f>
      </c>
      <c r="P9" s="11" cm="1">
        <f t="array" aca="1" ref="P9" ca="1">IF($A9="","",_xlfn.XLOOKUP($A9,INDEX(BondList,0,1),INDEX(BondList,0,4)))</f>
      </c>
      <c r="Q9" s="3" cm="1">
        <f t="array" aca="1" ref="Q9" ca="1">IF($A9="","",_xlfn.XLOOKUP($A9,INDEX(BondList,0,1),INDEX(BondList,0,5)))</f>
      </c>
      <c r="R9" cm="1">
        <f t="array" aca="1" ref="R9" ca="1">IF($A9="","",_xlfn.SWITCH($B9,"BW","Call","CC","Call","ITMBW","Call","TB","Put",NA()))</f>
      </c>
      <c r="S9" s="11">
        <f t="shared" ca="1" si="0"/>
      </c>
      <c r="T9" s="3">
        <f ca="1">IF($A9="","",WORKDAY(TradeDate,1,Holidays))</f>
      </c>
      <c r="U9" s="3">
        <f ca="1">IF($A9="","",WORKDAY($C9,$D9,Holidays))</f>
      </c>
      <c r="V9" s="17">
        <f ca="1">IF($A9="","",NETWORKDAYS(TradeDate,$C9-1,Holidays)/252)</f>
      </c>
      <c r="W9" s="11" cm="1">
        <f t="array" aca="1" ref="W9" ca="1">IF($A9="","",JGB_PRICE($N9,$S9,$T9,$O9))</f>
      </c>
      <c r="X9" s="17" cm="1">
        <f t="array" aca="1" ref="X9" ca="1">IF($A9="","",JGB_AI($N9,$T9,$O9))</f>
      </c>
      <c r="Y9" s="17" cm="1">
        <f t="array" aca="1" ref="Y9" ca="1">IF($A9="","",JGB_AI($N9,$U9,$O9))</f>
      </c>
      <c r="Z9" s="17" cm="1">
        <f t="array" aca="1" ref="Z9" ca="1">IF($A9="","",JGB_CARRY_COUPONS($N9,$O9,$T9,$U9,$F9))</f>
      </c>
      <c r="AA9" s="17">
        <f t="shared" ca="1" si="1"/>
      </c>
      <c r="AB9" s="17">
        <f t="shared" ca="1" si="2"/>
      </c>
      <c r="AC9" s="11">
        <f ca="1">IF($A9="","",INDEX(JgbForwardRisk($N9,$O9,$AA9,$U9),1,1))</f>
      </c>
      <c r="AD9" s="17">
        <f ca="1">IF($A9="","",INDEX(JgbForwardRisk($N9,$O9,$AA9,$U9),1,2))</f>
      </c>
      <c r="AE9" s="15">
        <f ca="1">IF($A9="","",INDEX(JgbForwardRisk($N9,$O9,$AA9,$U9),1,3))</f>
      </c>
      <c r="AF9" s="1" cm="1">
        <f t="array" aca="1" ref="AF9" ca="1">IF($A9="","",SwaptionVol(_xlfn.ANCHORARRAY($BA$3),TradeDate,$C9,$O9))</f>
      </c>
      <c r="AG9" s="1">
        <f t="shared" ca="1" si="3"/>
      </c>
      <c r="AH9" s="15">
        <f t="shared" ca="1" si="4"/>
      </c>
      <c r="AI9" s="18">
        <f t="shared" ca="1" si="5"/>
      </c>
      <c r="AJ9" cm="1">
        <f t="array" aca="1" ref="AJ9" ca="1">IF($A9="","",_xlfn.LET(_xlpm.n,COUNTA($H9:$K9),IF($B9="ITMBW",IF(_xlpm.n=0,"ITMBW","Error: ITMBW takes no strike input"),IF(_xlpm.n=1,_xlfn.XLOOKUP(TRUE,$H9:$K9&lt;&gt;"",{"Slide","Yield","Fwd price","Fwd offset"}),IF(_xlpm.n=0,"Error: enter one strike input","Error: enter only one strike input")))))</f>
      </c>
      <c r="AK9" s="11" cm="1">
        <f t="array" aca="1" ref="AK9" ca="1">IF($A9="","",IF($AJ9="Slide",JGB_PRICE($N9,$S9+$H9/100,$C9,$O9),IF($AJ9="Yield",JGB_PRICE($N9,$I9,$C9,$O9),IF($AJ9="Fwd price",$J9,IF($AJ9="Fwd offset",ROUNDDOWN(ROUND($AB9+$K9/100,9),3),IF($AJ9="ITMBW",ItmBuyWriteStrike($AB9,$W9,$AI9,$V9),NA()))))))</f>
      </c>
      <c r="AL9" s="11" cm="1">
        <f t="array" aca="1" ref="AL9" ca="1">IF($A9="","",JGB_YIELD($N9,$AK9,$U9,$O9))</f>
      </c>
      <c r="AM9" s="15" cm="1">
        <f t="array" aca="1" ref="AM9" ca="1">IF($A9="","",BlackPremium($R9,$AB9,$AK9,$AI9,$V9)*100)</f>
      </c>
      <c r="AN9" s="9">
        <f t="shared" ca="1" si="6"/>
      </c>
      <c r="AO9" s="11">
        <f t="shared" ca="1" si="7"/>
      </c>
    </row>
    <row r="10" spans="1:53" x14ac:dyDescent="0.55000000000000004">
      <c r="A10" s="5"/>
      <c r="B10" s="5"/>
      <c r="C10" s="7"/>
      <c r="D10" s="8"/>
      <c r="E10" s="10"/>
      <c r="F10" s="12"/>
      <c r="G10" s="13"/>
      <c r="H10" s="13"/>
      <c r="I10" s="12"/>
      <c r="J10" s="12"/>
      <c r="K10" s="13"/>
      <c r="L10" s="14"/>
      <c r="M10" s="16"/>
      <c r="N10" s="11" cm="1">
        <f t="array" aca="1" ref="N10" ca="1">IF($A10="","",_xlfn.XLOOKUP($A10,INDEX(BondList,0,1),INDEX(BondList,0,2)))</f>
      </c>
      <c r="O10" s="3" cm="1">
        <f t="array" aca="1" ref="O10" ca="1">IF($A10="","",_xlfn.XLOOKUP($A10,INDEX(BondList,0,1),INDEX(BondList,0,3)))</f>
      </c>
      <c r="P10" s="11" cm="1">
        <f t="array" aca="1" ref="P10" ca="1">IF($A10="","",_xlfn.XLOOKUP($A10,INDEX(BondList,0,1),INDEX(BondList,0,4)))</f>
      </c>
      <c r="Q10" s="3" cm="1">
        <f t="array" aca="1" ref="Q10" ca="1">IF($A10="","",_xlfn.XLOOKUP($A10,INDEX(BondList,0,1),INDEX(BondList,0,5)))</f>
      </c>
      <c r="R10" cm="1">
        <f t="array" aca="1" ref="R10" ca="1">IF($A10="","",_xlfn.SWITCH($B10,"BW","Call","CC","Call","ITMBW","Call","TB","Put",NA()))</f>
      </c>
      <c r="S10" s="11">
        <f t="shared" ca="1" si="0"/>
      </c>
      <c r="T10" s="3">
        <f ca="1">IF($A10="","",WORKDAY(TradeDate,1,Holidays))</f>
      </c>
      <c r="U10" s="3">
        <f ca="1">IF($A10="","",WORKDAY($C10,$D10,Holidays))</f>
      </c>
      <c r="V10" s="17">
        <f ca="1">IF($A10="","",NETWORKDAYS(TradeDate,$C10-1,Holidays)/252)</f>
      </c>
      <c r="W10" s="11" cm="1">
        <f t="array" aca="1" ref="W10" ca="1">IF($A10="","",JGB_PRICE($N10,$S10,$T10,$O10))</f>
      </c>
      <c r="X10" s="17" cm="1">
        <f t="array" aca="1" ref="X10" ca="1">IF($A10="","",JGB_AI($N10,$T10,$O10))</f>
      </c>
      <c r="Y10" s="17" cm="1">
        <f t="array" aca="1" ref="Y10" ca="1">IF($A10="","",JGB_AI($N10,$U10,$O10))</f>
      </c>
      <c r="Z10" s="17" cm="1">
        <f t="array" aca="1" ref="Z10" ca="1">IF($A10="","",JGB_CARRY_COUPONS($N10,$O10,$T10,$U10,$F10))</f>
      </c>
      <c r="AA10" s="17">
        <f t="shared" ca="1" si="1"/>
      </c>
      <c r="AB10" s="17">
        <f t="shared" ca="1" si="2"/>
      </c>
      <c r="AC10" s="11">
        <f ca="1">IF($A10="","",INDEX(JgbForwardRisk($N10,$O10,$AA10,$U10),1,1))</f>
      </c>
      <c r="AD10" s="17">
        <f ca="1">IF($A10="","",INDEX(JgbForwardRisk($N10,$O10,$AA10,$U10),1,2))</f>
      </c>
      <c r="AE10" s="15">
        <f ca="1">IF($A10="","",INDEX(JgbForwardRisk($N10,$O10,$AA10,$U10),1,3))</f>
      </c>
      <c r="AF10" s="1" cm="1">
        <f t="array" aca="1" ref="AF10" ca="1">IF($A10="","",SwaptionVol(_xlfn.ANCHORARRAY($BA$3),TradeDate,$C10,$O10))</f>
      </c>
      <c r="AG10" s="1">
        <f t="shared" ca="1" si="3"/>
      </c>
      <c r="AH10" s="15">
        <f t="shared" ca="1" si="4"/>
      </c>
      <c r="AI10" s="18">
        <f t="shared" ca="1" si="5"/>
      </c>
      <c r="AJ10" cm="1">
        <f t="array" aca="1" ref="AJ10" ca="1">IF($A10="","",_xlfn.LET(_xlpm.n,COUNTA($H10:$K10),IF($B10="ITMBW",IF(_xlpm.n=0,"ITMBW","Error: ITMBW takes no strike input"),IF(_xlpm.n=1,_xlfn.XLOOKUP(TRUE,$H10:$K10&lt;&gt;"",{"Slide","Yield","Fwd price","Fwd offset"}),IF(_xlpm.n=0,"Error: enter one strike input","Error: enter only one strike input")))))</f>
      </c>
      <c r="AK10" s="11" cm="1">
        <f t="array" aca="1" ref="AK10" ca="1">IF($A10="","",IF($AJ10="Slide",JGB_PRICE($N10,$S10+$H10/100,$C10,$O10),IF($AJ10="Yield",JGB_PRICE($N10,$I10,$C10,$O10),IF($AJ10="Fwd price",$J10,IF($AJ10="Fwd offset",ROUNDDOWN(ROUND($AB10+$K10/100,9),3),IF($AJ10="ITMBW",ItmBuyWriteStrike($AB10,$W10,$AI10,$V10),NA()))))))</f>
      </c>
      <c r="AL10" s="11" cm="1">
        <f t="array" aca="1" ref="AL10" ca="1">IF($A10="","",JGB_YIELD($N10,$AK10,$U10,$O10))</f>
      </c>
      <c r="AM10" s="15" cm="1">
        <f t="array" aca="1" ref="AM10" ca="1">IF($A10="","",BlackPremium($R10,$AB10,$AK10,$AI10,$V10)*100)</f>
      </c>
      <c r="AN10" s="9">
        <f t="shared" ca="1" si="6"/>
      </c>
      <c r="AO10" s="11">
        <f t="shared" ca="1" si="7"/>
      </c>
    </row>
    <row r="11" spans="1:53" x14ac:dyDescent="0.55000000000000004">
      <c r="A11" s="5"/>
      <c r="B11" s="5"/>
      <c r="C11" s="7"/>
      <c r="D11" s="8"/>
      <c r="E11" s="10"/>
      <c r="F11" s="12"/>
      <c r="G11" s="13"/>
      <c r="H11" s="13"/>
      <c r="I11" s="12"/>
      <c r="J11" s="12"/>
      <c r="K11" s="13"/>
      <c r="L11" s="14"/>
      <c r="M11" s="16"/>
      <c r="N11" s="11" cm="1">
        <f t="array" aca="1" ref="N11" ca="1">IF($A11="","",_xlfn.XLOOKUP($A11,INDEX(BondList,0,1),INDEX(BondList,0,2)))</f>
      </c>
      <c r="O11" s="3" cm="1">
        <f t="array" aca="1" ref="O11" ca="1">IF($A11="","",_xlfn.XLOOKUP($A11,INDEX(BondList,0,1),INDEX(BondList,0,3)))</f>
      </c>
      <c r="P11" s="11" cm="1">
        <f t="array" aca="1" ref="P11" ca="1">IF($A11="","",_xlfn.XLOOKUP($A11,INDEX(BondList,0,1),INDEX(BondList,0,4)))</f>
      </c>
      <c r="Q11" s="3" cm="1">
        <f t="array" aca="1" ref="Q11" ca="1">IF($A11="","",_xlfn.XLOOKUP($A11,INDEX(BondList,0,1),INDEX(BondList,0,5)))</f>
      </c>
      <c r="R11" cm="1">
        <f t="array" aca="1" ref="R11" ca="1">IF($A11="","",_xlfn.SWITCH($B11,"BW","Call","CC","Call","ITMBW","Call","TB","Put",NA()))</f>
      </c>
      <c r="S11" s="11">
        <f t="shared" ca="1" si="0"/>
      </c>
      <c r="T11" s="3">
        <f ca="1">IF($A11="","",WORKDAY(TradeDate,1,Holidays))</f>
      </c>
      <c r="U11" s="3">
        <f ca="1">IF($A11="","",WORKDAY($C11,$D11,Holidays))</f>
      </c>
      <c r="V11" s="17">
        <f ca="1">IF($A11="","",NETWORKDAYS(TradeDate,$C11-1,Holidays)/252)</f>
      </c>
      <c r="W11" s="11" cm="1">
        <f t="array" aca="1" ref="W11" ca="1">IF($A11="","",JGB_PRICE($N11,$S11,$T11,$O11))</f>
      </c>
      <c r="X11" s="17" cm="1">
        <f t="array" aca="1" ref="X11" ca="1">IF($A11="","",JGB_AI($N11,$T11,$O11))</f>
      </c>
      <c r="Y11" s="17" cm="1">
        <f t="array" aca="1" ref="Y11" ca="1">IF($A11="","",JGB_AI($N11,$U11,$O11))</f>
      </c>
      <c r="Z11" s="17" cm="1">
        <f t="array" aca="1" ref="Z11" ca="1">IF($A11="","",JGB_CARRY_COUPONS($N11,$O11,$T11,$U11,$F11))</f>
      </c>
      <c r="AA11" s="17">
        <f t="shared" ca="1" si="1"/>
      </c>
      <c r="AB11" s="17">
        <f t="shared" ca="1" si="2"/>
      </c>
      <c r="AC11" s="11">
        <f ca="1">IF($A11="","",INDEX(JgbForwardRisk($N11,$O11,$AA11,$U11),1,1))</f>
      </c>
      <c r="AD11" s="17">
        <f ca="1">IF($A11="","",INDEX(JgbForwardRisk($N11,$O11,$AA11,$U11),1,2))</f>
      </c>
      <c r="AE11" s="15">
        <f ca="1">IF($A11="","",INDEX(JgbForwardRisk($N11,$O11,$AA11,$U11),1,3))</f>
      </c>
      <c r="AF11" s="1" cm="1">
        <f t="array" aca="1" ref="AF11" ca="1">IF($A11="","",SwaptionVol(_xlfn.ANCHORARRAY($BA$3),TradeDate,$C11,$O11))</f>
      </c>
      <c r="AG11" s="1">
        <f t="shared" ca="1" si="3"/>
      </c>
      <c r="AH11" s="15">
        <f t="shared" ca="1" si="4"/>
      </c>
      <c r="AI11" s="18">
        <f t="shared" ca="1" si="5"/>
      </c>
      <c r="AJ11" cm="1">
        <f t="array" aca="1" ref="AJ11" ca="1">IF($A11="","",_xlfn.LET(_xlpm.n,COUNTA($H11:$K11),IF($B11="ITMBW",IF(_xlpm.n=0,"ITMBW","Error: ITMBW takes no strike input"),IF(_xlpm.n=1,_xlfn.XLOOKUP(TRUE,$H11:$K11&lt;&gt;"",{"Slide","Yield","Fwd price","Fwd offset"}),IF(_xlpm.n=0,"Error: enter one strike input","Error: enter only one strike input")))))</f>
      </c>
      <c r="AK11" s="11" cm="1">
        <f t="array" aca="1" ref="AK11" ca="1">IF($A11="","",IF($AJ11="Slide",JGB_PRICE($N11,$S11+$H11/100,$C11,$O11),IF($AJ11="Yield",JGB_PRICE($N11,$I11,$C11,$O11),IF($AJ11="Fwd price",$J11,IF($AJ11="Fwd offset",ROUNDDOWN(ROUND($AB11+$K11/100,9),3),IF($AJ11="ITMBW",ItmBuyWriteStrike($AB11,$W11,$AI11,$V11),NA()))))))</f>
      </c>
      <c r="AL11" s="11" cm="1">
        <f t="array" aca="1" ref="AL11" ca="1">IF($A11="","",JGB_YIELD($N11,$AK11,$U11,$O11))</f>
      </c>
      <c r="AM11" s="15" cm="1">
        <f t="array" aca="1" ref="AM11" ca="1">IF($A11="","",BlackPremium($R11,$AB11,$AK11,$AI11,$V11)*100)</f>
      </c>
      <c r="AN11" s="9">
        <f t="shared" ca="1" si="6"/>
      </c>
      <c r="AO11" s="11">
        <f t="shared" ca="1" si="7"/>
      </c>
    </row>
    <row r="12" spans="1:53" x14ac:dyDescent="0.55000000000000004">
      <c r="A12" s="5"/>
      <c r="B12" s="5"/>
      <c r="C12" s="7"/>
      <c r="D12" s="8"/>
      <c r="E12" s="10"/>
      <c r="F12" s="12"/>
      <c r="G12" s="13"/>
      <c r="H12" s="13"/>
      <c r="I12" s="12"/>
      <c r="J12" s="12"/>
      <c r="K12" s="13"/>
      <c r="L12" s="14"/>
      <c r="M12" s="16"/>
      <c r="N12" s="11" cm="1">
        <f t="array" aca="1" ref="N12" ca="1">IF($A12="","",_xlfn.XLOOKUP($A12,INDEX(BondList,0,1),INDEX(BondList,0,2)))</f>
      </c>
      <c r="O12" s="3" cm="1">
        <f t="array" aca="1" ref="O12" ca="1">IF($A12="","",_xlfn.XLOOKUP($A12,INDEX(BondList,0,1),INDEX(BondList,0,3)))</f>
      </c>
      <c r="P12" s="11" cm="1">
        <f t="array" aca="1" ref="P12" ca="1">IF($A12="","",_xlfn.XLOOKUP($A12,INDEX(BondList,0,1),INDEX(BondList,0,4)))</f>
      </c>
      <c r="Q12" s="3" cm="1">
        <f t="array" aca="1" ref="Q12" ca="1">IF($A12="","",_xlfn.XLOOKUP($A12,INDEX(BondList,0,1),INDEX(BondList,0,5)))</f>
      </c>
      <c r="R12" cm="1">
        <f t="array" aca="1" ref="R12" ca="1">IF($A12="","",_xlfn.SWITCH($B12,"BW","Call","CC","Call","ITMBW","Call","TB","Put",NA()))</f>
      </c>
      <c r="S12" s="11">
        <f t="shared" ca="1" si="0"/>
      </c>
      <c r="T12" s="3">
        <f ca="1">IF($A12="","",WORKDAY(TradeDate,1,Holidays))</f>
      </c>
      <c r="U12" s="3">
        <f ca="1">IF($A12="","",WORKDAY($C12,$D12,Holidays))</f>
      </c>
      <c r="V12" s="17">
        <f ca="1">IF($A12="","",NETWORKDAYS(TradeDate,$C12-1,Holidays)/252)</f>
      </c>
      <c r="W12" s="11" cm="1">
        <f t="array" aca="1" ref="W12" ca="1">IF($A12="","",JGB_PRICE($N12,$S12,$T12,$O12))</f>
      </c>
      <c r="X12" s="17" cm="1">
        <f t="array" aca="1" ref="X12" ca="1">IF($A12="","",JGB_AI($N12,$T12,$O12))</f>
      </c>
      <c r="Y12" s="17" cm="1">
        <f t="array" aca="1" ref="Y12" ca="1">IF($A12="","",JGB_AI($N12,$U12,$O12))</f>
      </c>
      <c r="Z12" s="17" cm="1">
        <f t="array" aca="1" ref="Z12" ca="1">IF($A12="","",JGB_CARRY_COUPONS($N12,$O12,$T12,$U12,$F12))</f>
      </c>
      <c r="AA12" s="17">
        <f t="shared" ca="1" si="1"/>
      </c>
      <c r="AB12" s="17">
        <f t="shared" ca="1" si="2"/>
      </c>
      <c r="AC12" s="11">
        <f ca="1">IF($A12="","",INDEX(JgbForwardRisk($N12,$O12,$AA12,$U12),1,1))</f>
      </c>
      <c r="AD12" s="17">
        <f ca="1">IF($A12="","",INDEX(JgbForwardRisk($N12,$O12,$AA12,$U12),1,2))</f>
      </c>
      <c r="AE12" s="15">
        <f ca="1">IF($A12="","",INDEX(JgbForwardRisk($N12,$O12,$AA12,$U12),1,3))</f>
      </c>
      <c r="AF12" s="1" cm="1">
        <f t="array" aca="1" ref="AF12" ca="1">IF($A12="","",SwaptionVol(_xlfn.ANCHORARRAY($BA$3),TradeDate,$C12,$O12))</f>
      </c>
      <c r="AG12" s="1">
        <f t="shared" ca="1" si="3"/>
      </c>
      <c r="AH12" s="15">
        <f t="shared" ca="1" si="4"/>
      </c>
      <c r="AI12" s="18">
        <f t="shared" ca="1" si="5"/>
      </c>
      <c r="AJ12" cm="1">
        <f t="array" aca="1" ref="AJ12" ca="1">IF($A12="","",_xlfn.LET(_xlpm.n,COUNTA($H12:$K12),IF($B12="ITMBW",IF(_xlpm.n=0,"ITMBW","Error: ITMBW takes no strike input"),IF(_xlpm.n=1,_xlfn.XLOOKUP(TRUE,$H12:$K12&lt;&gt;"",{"Slide","Yield","Fwd price","Fwd offset"}),IF(_xlpm.n=0,"Error: enter one strike input","Error: enter only one strike input")))))</f>
      </c>
      <c r="AK12" s="11" cm="1">
        <f t="array" aca="1" ref="AK12" ca="1">IF($A12="","",IF($AJ12="Slide",JGB_PRICE($N12,$S12+$H12/100,$C12,$O12),IF($AJ12="Yield",JGB_PRICE($N12,$I12,$C12,$O12),IF($AJ12="Fwd price",$J12,IF($AJ12="Fwd offset",ROUNDDOWN(ROUND($AB12+$K12/100,9),3),IF($AJ12="ITMBW",ItmBuyWriteStrike($AB12,$W12,$AI12,$V12),NA()))))))</f>
      </c>
      <c r="AL12" s="11" cm="1">
        <f t="array" aca="1" ref="AL12" ca="1">IF($A12="","",JGB_YIELD($N12,$AK12,$U12,$O12))</f>
      </c>
      <c r="AM12" s="15" cm="1">
        <f t="array" aca="1" ref="AM12" ca="1">IF($A12="","",BlackPremium($R12,$AB12,$AK12,$AI12,$V12)*100)</f>
      </c>
      <c r="AN12" s="9">
        <f t="shared" ca="1" si="6"/>
      </c>
      <c r="AO12" s="11">
        <f t="shared" ca="1" si="7"/>
      </c>
    </row>
    <row r="13" spans="1:53" x14ac:dyDescent="0.55000000000000004">
      <c r="A13" s="5"/>
      <c r="B13" s="5"/>
      <c r="C13" s="7"/>
      <c r="D13" s="8"/>
      <c r="E13" s="10"/>
      <c r="F13" s="12"/>
      <c r="G13" s="13"/>
      <c r="H13" s="13"/>
      <c r="I13" s="12"/>
      <c r="J13" s="12"/>
      <c r="K13" s="13"/>
      <c r="L13" s="14"/>
      <c r="M13" s="16"/>
      <c r="N13" s="11" cm="1">
        <f t="array" aca="1" ref="N13" ca="1">IF($A13="","",_xlfn.XLOOKUP($A13,INDEX(BondList,0,1),INDEX(BondList,0,2)))</f>
      </c>
      <c r="O13" s="3" cm="1">
        <f t="array" aca="1" ref="O13" ca="1">IF($A13="","",_xlfn.XLOOKUP($A13,INDEX(BondList,0,1),INDEX(BondList,0,3)))</f>
      </c>
      <c r="P13" s="11" cm="1">
        <f t="array" aca="1" ref="P13" ca="1">IF($A13="","",_xlfn.XLOOKUP($A13,INDEX(BondList,0,1),INDEX(BondList,0,4)))</f>
      </c>
      <c r="Q13" s="3" cm="1">
        <f t="array" aca="1" ref="Q13" ca="1">IF($A13="","",_xlfn.XLOOKUP($A13,INDEX(BondList,0,1),INDEX(BondList,0,5)))</f>
      </c>
      <c r="R13" cm="1">
        <f t="array" aca="1" ref="R13" ca="1">IF($A13="","",_xlfn.SWITCH($B13,"BW","Call","CC","Call","ITMBW","Call","TB","Put",NA()))</f>
      </c>
      <c r="S13" s="11">
        <f t="shared" ca="1" si="0"/>
      </c>
      <c r="T13" s="3">
        <f ca="1">IF($A13="","",WORKDAY(TradeDate,1,Holidays))</f>
      </c>
      <c r="U13" s="3">
        <f ca="1">IF($A13="","",WORKDAY($C13,$D13,Holidays))</f>
      </c>
      <c r="V13" s="17">
        <f ca="1">IF($A13="","",NETWORKDAYS(TradeDate,$C13-1,Holidays)/252)</f>
      </c>
      <c r="W13" s="11" cm="1">
        <f t="array" aca="1" ref="W13" ca="1">IF($A13="","",JGB_PRICE($N13,$S13,$T13,$O13))</f>
      </c>
      <c r="X13" s="17" cm="1">
        <f t="array" aca="1" ref="X13" ca="1">IF($A13="","",JGB_AI($N13,$T13,$O13))</f>
      </c>
      <c r="Y13" s="17" cm="1">
        <f t="array" aca="1" ref="Y13" ca="1">IF($A13="","",JGB_AI($N13,$U13,$O13))</f>
      </c>
      <c r="Z13" s="17" cm="1">
        <f t="array" aca="1" ref="Z13" ca="1">IF($A13="","",JGB_CARRY_COUPONS($N13,$O13,$T13,$U13,$F13))</f>
      </c>
      <c r="AA13" s="17">
        <f t="shared" ca="1" si="1"/>
      </c>
      <c r="AB13" s="17">
        <f t="shared" ca="1" si="2"/>
      </c>
      <c r="AC13" s="11">
        <f ca="1">IF($A13="","",INDEX(JgbForwardRisk($N13,$O13,$AA13,$U13),1,1))</f>
      </c>
      <c r="AD13" s="17">
        <f ca="1">IF($A13="","",INDEX(JgbForwardRisk($N13,$O13,$AA13,$U13),1,2))</f>
      </c>
      <c r="AE13" s="15">
        <f ca="1">IF($A13="","",INDEX(JgbForwardRisk($N13,$O13,$AA13,$U13),1,3))</f>
      </c>
      <c r="AF13" s="1" cm="1">
        <f t="array" aca="1" ref="AF13" ca="1">IF($A13="","",SwaptionVol(_xlfn.ANCHORARRAY($BA$3),TradeDate,$C13,$O13))</f>
      </c>
      <c r="AG13" s="1">
        <f t="shared" ca="1" si="3"/>
      </c>
      <c r="AH13" s="15">
        <f t="shared" ca="1" si="4"/>
      </c>
      <c r="AI13" s="18">
        <f t="shared" ca="1" si="5"/>
      </c>
      <c r="AJ13" cm="1">
        <f t="array" aca="1" ref="AJ13" ca="1">IF($A13="","",_xlfn.LET(_xlpm.n,COUNTA($H13:$K13),IF($B13="ITMBW",IF(_xlpm.n=0,"ITMBW","Error: ITMBW takes no strike input"),IF(_xlpm.n=1,_xlfn.XLOOKUP(TRUE,$H13:$K13&lt;&gt;"",{"Slide","Yield","Fwd price","Fwd offset"}),IF(_xlpm.n=0,"Error: enter one strike input","Error: enter only one strike input")))))</f>
      </c>
      <c r="AK13" s="11" cm="1">
        <f t="array" aca="1" ref="AK13" ca="1">IF($A13="","",IF($AJ13="Slide",JGB_PRICE($N13,$S13+$H13/100,$C13,$O13),IF($AJ13="Yield",JGB_PRICE($N13,$I13,$C13,$O13),IF($AJ13="Fwd price",$J13,IF($AJ13="Fwd offset",ROUNDDOWN(ROUND($AB13+$K13/100,9),3),IF($AJ13="ITMBW",ItmBuyWriteStrike($AB13,$W13,$AI13,$V13),NA()))))))</f>
      </c>
      <c r="AL13" s="11" cm="1">
        <f t="array" aca="1" ref="AL13" ca="1">IF($A13="","",JGB_YIELD($N13,$AK13,$U13,$O13))</f>
      </c>
      <c r="AM13" s="15" cm="1">
        <f t="array" aca="1" ref="AM13" ca="1">IF($A13="","",BlackPremium($R13,$AB13,$AK13,$AI13,$V13)*100)</f>
      </c>
      <c r="AN13" s="9">
        <f t="shared" ca="1" si="6"/>
      </c>
      <c r="AO13" s="11">
        <f t="shared" ca="1" si="7"/>
      </c>
    </row>
    <row r="14" spans="1:53" x14ac:dyDescent="0.55000000000000004">
      <c r="A14" s="5"/>
      <c r="B14" s="5"/>
      <c r="C14" s="7"/>
      <c r="D14" s="8"/>
      <c r="E14" s="10"/>
      <c r="F14" s="12"/>
      <c r="G14" s="13"/>
      <c r="H14" s="13"/>
      <c r="I14" s="12"/>
      <c r="J14" s="12"/>
      <c r="K14" s="13"/>
      <c r="L14" s="14"/>
      <c r="M14" s="16"/>
      <c r="N14" s="11" cm="1">
        <f t="array" aca="1" ref="N14" ca="1">IF($A14="","",_xlfn.XLOOKUP($A14,INDEX(BondList,0,1),INDEX(BondList,0,2)))</f>
      </c>
      <c r="O14" s="3" cm="1">
        <f t="array" aca="1" ref="O14" ca="1">IF($A14="","",_xlfn.XLOOKUP($A14,INDEX(BondList,0,1),INDEX(BondList,0,3)))</f>
      </c>
      <c r="P14" s="11" cm="1">
        <f t="array" aca="1" ref="P14" ca="1">IF($A14="","",_xlfn.XLOOKUP($A14,INDEX(BondList,0,1),INDEX(BondList,0,4)))</f>
      </c>
      <c r="Q14" s="3" cm="1">
        <f t="array" aca="1" ref="Q14" ca="1">IF($A14="","",_xlfn.XLOOKUP($A14,INDEX(BondList,0,1),INDEX(BondList,0,5)))</f>
      </c>
      <c r="R14" cm="1">
        <f t="array" aca="1" ref="R14" ca="1">IF($A14="","",_xlfn.SWITCH($B14,"BW","Call","CC","Call","ITMBW","Call","TB","Put",NA()))</f>
      </c>
      <c r="S14" s="11">
        <f t="shared" ca="1" si="0"/>
      </c>
      <c r="T14" s="3">
        <f ca="1">IF($A14="","",WORKDAY(TradeDate,1,Holidays))</f>
      </c>
      <c r="U14" s="3">
        <f ca="1">IF($A14="","",WORKDAY($C14,$D14,Holidays))</f>
      </c>
      <c r="V14" s="17">
        <f ca="1">IF($A14="","",NETWORKDAYS(TradeDate,$C14-1,Holidays)/252)</f>
      </c>
      <c r="W14" s="11" cm="1">
        <f t="array" aca="1" ref="W14" ca="1">IF($A14="","",JGB_PRICE($N14,$S14,$T14,$O14))</f>
      </c>
      <c r="X14" s="17" cm="1">
        <f t="array" aca="1" ref="X14" ca="1">IF($A14="","",JGB_AI($N14,$T14,$O14))</f>
      </c>
      <c r="Y14" s="17" cm="1">
        <f t="array" aca="1" ref="Y14" ca="1">IF($A14="","",JGB_AI($N14,$U14,$O14))</f>
      </c>
      <c r="Z14" s="17" cm="1">
        <f t="array" aca="1" ref="Z14" ca="1">IF($A14="","",JGB_CARRY_COUPONS($N14,$O14,$T14,$U14,$F14))</f>
      </c>
      <c r="AA14" s="17">
        <f t="shared" ca="1" si="1"/>
      </c>
      <c r="AB14" s="17">
        <f t="shared" ca="1" si="2"/>
      </c>
      <c r="AC14" s="11">
        <f ca="1">IF($A14="","",INDEX(JgbForwardRisk($N14,$O14,$AA14,$U14),1,1))</f>
      </c>
      <c r="AD14" s="17">
        <f ca="1">IF($A14="","",INDEX(JgbForwardRisk($N14,$O14,$AA14,$U14),1,2))</f>
      </c>
      <c r="AE14" s="15">
        <f ca="1">IF($A14="","",INDEX(JgbForwardRisk($N14,$O14,$AA14,$U14),1,3))</f>
      </c>
      <c r="AF14" s="1" cm="1">
        <f t="array" aca="1" ref="AF14" ca="1">IF($A14="","",SwaptionVol(_xlfn.ANCHORARRAY($BA$3),TradeDate,$C14,$O14))</f>
      </c>
      <c r="AG14" s="1">
        <f t="shared" ca="1" si="3"/>
      </c>
      <c r="AH14" s="15">
        <f t="shared" ca="1" si="4"/>
      </c>
      <c r="AI14" s="18">
        <f t="shared" ca="1" si="5"/>
      </c>
      <c r="AJ14" cm="1">
        <f t="array" aca="1" ref="AJ14" ca="1">IF($A14="","",_xlfn.LET(_xlpm.n,COUNTA($H14:$K14),IF($B14="ITMBW",IF(_xlpm.n=0,"ITMBW","Error: ITMBW takes no strike input"),IF(_xlpm.n=1,_xlfn.XLOOKUP(TRUE,$H14:$K14&lt;&gt;"",{"Slide","Yield","Fwd price","Fwd offset"}),IF(_xlpm.n=0,"Error: enter one strike input","Error: enter only one strike input")))))</f>
      </c>
      <c r="AK14" s="11" cm="1">
        <f t="array" aca="1" ref="AK14" ca="1">IF($A14="","",IF($AJ14="Slide",JGB_PRICE($N14,$S14+$H14/100,$C14,$O14),IF($AJ14="Yield",JGB_PRICE($N14,$I14,$C14,$O14),IF($AJ14="Fwd price",$J14,IF($AJ14="Fwd offset",ROUNDDOWN(ROUND($AB14+$K14/100,9),3),IF($AJ14="ITMBW",ItmBuyWriteStrike($AB14,$W14,$AI14,$V14),NA()))))))</f>
      </c>
      <c r="AL14" s="11" cm="1">
        <f t="array" aca="1" ref="AL14" ca="1">IF($A14="","",JGB_YIELD($N14,$AK14,$U14,$O14))</f>
      </c>
      <c r="AM14" s="15" cm="1">
        <f t="array" aca="1" ref="AM14" ca="1">IF($A14="","",BlackPremium($R14,$AB14,$AK14,$AI14,$V14)*100)</f>
      </c>
      <c r="AN14" s="9">
        <f t="shared" ca="1" si="6"/>
      </c>
      <c r="AO14" s="11">
        <f t="shared" ca="1" si="7"/>
      </c>
    </row>
    <row r="15" spans="1:53" x14ac:dyDescent="0.55000000000000004">
      <c r="A15" s="5"/>
      <c r="B15" s="5"/>
      <c r="C15" s="7"/>
      <c r="D15" s="8"/>
      <c r="E15" s="10"/>
      <c r="F15" s="12"/>
      <c r="G15" s="13"/>
      <c r="H15" s="13"/>
      <c r="I15" s="12"/>
      <c r="J15" s="12"/>
      <c r="K15" s="13"/>
      <c r="L15" s="14"/>
      <c r="M15" s="16"/>
      <c r="N15" s="11" cm="1">
        <f t="array" aca="1" ref="N15" ca="1">IF($A15="","",_xlfn.XLOOKUP($A15,INDEX(BondList,0,1),INDEX(BondList,0,2)))</f>
      </c>
      <c r="O15" s="3" cm="1">
        <f t="array" aca="1" ref="O15" ca="1">IF($A15="","",_xlfn.XLOOKUP($A15,INDEX(BondList,0,1),INDEX(BondList,0,3)))</f>
      </c>
      <c r="P15" s="11" cm="1">
        <f t="array" aca="1" ref="P15" ca="1">IF($A15="","",_xlfn.XLOOKUP($A15,INDEX(BondList,0,1),INDEX(BondList,0,4)))</f>
      </c>
      <c r="Q15" s="3" cm="1">
        <f t="array" aca="1" ref="Q15" ca="1">IF($A15="","",_xlfn.XLOOKUP($A15,INDEX(BondList,0,1),INDEX(BondList,0,5)))</f>
      </c>
      <c r="R15" cm="1">
        <f t="array" aca="1" ref="R15" ca="1">IF($A15="","",_xlfn.SWITCH($B15,"BW","Call","CC","Call","ITMBW","Call","TB","Put",NA()))</f>
      </c>
      <c r="S15" s="11">
        <f t="shared" ca="1" si="0"/>
      </c>
      <c r="T15" s="3">
        <f ca="1">IF($A15="","",WORKDAY(TradeDate,1,Holidays))</f>
      </c>
      <c r="U15" s="3">
        <f ca="1">IF($A15="","",WORKDAY($C15,$D15,Holidays))</f>
      </c>
      <c r="V15" s="17">
        <f ca="1">IF($A15="","",NETWORKDAYS(TradeDate,$C15-1,Holidays)/252)</f>
      </c>
      <c r="W15" s="11" cm="1">
        <f t="array" aca="1" ref="W15" ca="1">IF($A15="","",JGB_PRICE($N15,$S15,$T15,$O15))</f>
      </c>
      <c r="X15" s="17" cm="1">
        <f t="array" aca="1" ref="X15" ca="1">IF($A15="","",JGB_AI($N15,$T15,$O15))</f>
      </c>
      <c r="Y15" s="17" cm="1">
        <f t="array" aca="1" ref="Y15" ca="1">IF($A15="","",JGB_AI($N15,$U15,$O15))</f>
      </c>
      <c r="Z15" s="17" cm="1">
        <f t="array" aca="1" ref="Z15" ca="1">IF($A15="","",JGB_CARRY_COUPONS($N15,$O15,$T15,$U15,$F15))</f>
      </c>
      <c r="AA15" s="17">
        <f t="shared" ca="1" si="1"/>
      </c>
      <c r="AB15" s="17">
        <f t="shared" ca="1" si="2"/>
      </c>
      <c r="AC15" s="11">
        <f ca="1">IF($A15="","",INDEX(JgbForwardRisk($N15,$O15,$AA15,$U15),1,1))</f>
      </c>
      <c r="AD15" s="17">
        <f ca="1">IF($A15="","",INDEX(JgbForwardRisk($N15,$O15,$AA15,$U15),1,2))</f>
      </c>
      <c r="AE15" s="15">
        <f ca="1">IF($A15="","",INDEX(JgbForwardRisk($N15,$O15,$AA15,$U15),1,3))</f>
      </c>
      <c r="AF15" s="1" cm="1">
        <f t="array" aca="1" ref="AF15" ca="1">IF($A15="","",SwaptionVol(_xlfn.ANCHORARRAY($BA$3),TradeDate,$C15,$O15))</f>
      </c>
      <c r="AG15" s="1">
        <f t="shared" ca="1" si="3"/>
      </c>
      <c r="AH15" s="15">
        <f t="shared" ca="1" si="4"/>
      </c>
      <c r="AI15" s="18">
        <f t="shared" ca="1" si="5"/>
      </c>
      <c r="AJ15" cm="1">
        <f t="array" aca="1" ref="AJ15" ca="1">IF($A15="","",_xlfn.LET(_xlpm.n,COUNTA($H15:$K15),IF($B15="ITMBW",IF(_xlpm.n=0,"ITMBW","Error: ITMBW takes no strike input"),IF(_xlpm.n=1,_xlfn.XLOOKUP(TRUE,$H15:$K15&lt;&gt;"",{"Slide","Yield","Fwd price","Fwd offset"}),IF(_xlpm.n=0,"Error: enter one strike input","Error: enter only one strike input")))))</f>
      </c>
      <c r="AK15" s="11" cm="1">
        <f t="array" aca="1" ref="AK15" ca="1">IF($A15="","",IF($AJ15="Slide",JGB_PRICE($N15,$S15+$H15/100,$C15,$O15),IF($AJ15="Yield",JGB_PRICE($N15,$I15,$C15,$O15),IF($AJ15="Fwd price",$J15,IF($AJ15="Fwd offset",ROUNDDOWN(ROUND($AB15+$K15/100,9),3),IF($AJ15="ITMBW",ItmBuyWriteStrike($AB15,$W15,$AI15,$V15),NA()))))))</f>
      </c>
      <c r="AL15" s="11" cm="1">
        <f t="array" aca="1" ref="AL15" ca="1">IF($A15="","",JGB_YIELD($N15,$AK15,$U15,$O15))</f>
      </c>
      <c r="AM15" s="15" cm="1">
        <f t="array" aca="1" ref="AM15" ca="1">IF($A15="","",BlackPremium($R15,$AB15,$AK15,$AI15,$V15)*100)</f>
      </c>
      <c r="AN15" s="9">
        <f t="shared" ca="1" si="6"/>
      </c>
      <c r="AO15" s="11">
        <f t="shared" ca="1" si="7"/>
      </c>
    </row>
    <row r="16" spans="1:53" x14ac:dyDescent="0.55000000000000004">
      <c r="A16" s="5"/>
      <c r="B16" s="5"/>
      <c r="C16" s="7"/>
      <c r="D16" s="8"/>
      <c r="E16" s="10"/>
      <c r="F16" s="12"/>
      <c r="G16" s="13"/>
      <c r="H16" s="13"/>
      <c r="I16" s="12"/>
      <c r="J16" s="12"/>
      <c r="K16" s="13"/>
      <c r="L16" s="14"/>
      <c r="M16" s="16"/>
      <c r="N16" s="11" cm="1">
        <f t="array" aca="1" ref="N16" ca="1">IF($A16="","",_xlfn.XLOOKUP($A16,INDEX(BondList,0,1),INDEX(BondList,0,2)))</f>
      </c>
      <c r="O16" s="3" cm="1">
        <f t="array" aca="1" ref="O16" ca="1">IF($A16="","",_xlfn.XLOOKUP($A16,INDEX(BondList,0,1),INDEX(BondList,0,3)))</f>
      </c>
      <c r="P16" s="11" cm="1">
        <f t="array" aca="1" ref="P16" ca="1">IF($A16="","",_xlfn.XLOOKUP($A16,INDEX(BondList,0,1),INDEX(BondList,0,4)))</f>
      </c>
      <c r="Q16" s="3" cm="1">
        <f t="array" aca="1" ref="Q16" ca="1">IF($A16="","",_xlfn.XLOOKUP($A16,INDEX(BondList,0,1),INDEX(BondList,0,5)))</f>
      </c>
      <c r="R16" cm="1">
        <f t="array" aca="1" ref="R16" ca="1">IF($A16="","",_xlfn.SWITCH($B16,"BW","Call","CC","Call","ITMBW","Call","TB","Put",NA()))</f>
      </c>
      <c r="S16" s="11">
        <f t="shared" ca="1" si="0"/>
      </c>
      <c r="T16" s="3">
        <f ca="1">IF($A16="","",WORKDAY(TradeDate,1,Holidays))</f>
      </c>
      <c r="U16" s="3">
        <f ca="1">IF($A16="","",WORKDAY($C16,$D16,Holidays))</f>
      </c>
      <c r="V16" s="17">
        <f ca="1">IF($A16="","",NETWORKDAYS(TradeDate,$C16-1,Holidays)/252)</f>
      </c>
      <c r="W16" s="11" cm="1">
        <f t="array" aca="1" ref="W16" ca="1">IF($A16="","",JGB_PRICE($N16,$S16,$T16,$O16))</f>
      </c>
      <c r="X16" s="17" cm="1">
        <f t="array" aca="1" ref="X16" ca="1">IF($A16="","",JGB_AI($N16,$T16,$O16))</f>
      </c>
      <c r="Y16" s="17" cm="1">
        <f t="array" aca="1" ref="Y16" ca="1">IF($A16="","",JGB_AI($N16,$U16,$O16))</f>
      </c>
      <c r="Z16" s="17" cm="1">
        <f t="array" aca="1" ref="Z16" ca="1">IF($A16="","",JGB_CARRY_COUPONS($N16,$O16,$T16,$U16,$F16))</f>
      </c>
      <c r="AA16" s="17">
        <f t="shared" ca="1" si="1"/>
      </c>
      <c r="AB16" s="17">
        <f t="shared" ca="1" si="2"/>
      </c>
      <c r="AC16" s="11">
        <f ca="1">IF($A16="","",INDEX(JgbForwardRisk($N16,$O16,$AA16,$U16),1,1))</f>
      </c>
      <c r="AD16" s="17">
        <f ca="1">IF($A16="","",INDEX(JgbForwardRisk($N16,$O16,$AA16,$U16),1,2))</f>
      </c>
      <c r="AE16" s="15">
        <f ca="1">IF($A16="","",INDEX(JgbForwardRisk($N16,$O16,$AA16,$U16),1,3))</f>
      </c>
      <c r="AF16" s="1" cm="1">
        <f t="array" aca="1" ref="AF16" ca="1">IF($A16="","",SwaptionVol(_xlfn.ANCHORARRAY($BA$3),TradeDate,$C16,$O16))</f>
      </c>
      <c r="AG16" s="1">
        <f t="shared" ca="1" si="3"/>
      </c>
      <c r="AH16" s="15">
        <f t="shared" ca="1" si="4"/>
      </c>
      <c r="AI16" s="18">
        <f t="shared" ca="1" si="5"/>
      </c>
      <c r="AJ16" cm="1">
        <f t="array" aca="1" ref="AJ16" ca="1">IF($A16="","",_xlfn.LET(_xlpm.n,COUNTA($H16:$K16),IF($B16="ITMBW",IF(_xlpm.n=0,"ITMBW","Error: ITMBW takes no strike input"),IF(_xlpm.n=1,_xlfn.XLOOKUP(TRUE,$H16:$K16&lt;&gt;"",{"Slide","Yield","Fwd price","Fwd offset"}),IF(_xlpm.n=0,"Error: enter one strike input","Error: enter only one strike input")))))</f>
      </c>
      <c r="AK16" s="11" cm="1">
        <f t="array" aca="1" ref="AK16" ca="1">IF($A16="","",IF($AJ16="Slide",JGB_PRICE($N16,$S16+$H16/100,$C16,$O16),IF($AJ16="Yield",JGB_PRICE($N16,$I16,$C16,$O16),IF($AJ16="Fwd price",$J16,IF($AJ16="Fwd offset",ROUNDDOWN(ROUND($AB16+$K16/100,9),3),IF($AJ16="ITMBW",ItmBuyWriteStrike($AB16,$W16,$AI16,$V16),NA()))))))</f>
      </c>
      <c r="AL16" s="11" cm="1">
        <f t="array" aca="1" ref="AL16" ca="1">IF($A16="","",JGB_YIELD($N16,$AK16,$U16,$O16))</f>
      </c>
      <c r="AM16" s="15" cm="1">
        <f t="array" aca="1" ref="AM16" ca="1">IF($A16="","",BlackPremium($R16,$AB16,$AK16,$AI16,$V16)*100)</f>
      </c>
      <c r="AN16" s="9">
        <f t="shared" ca="1" si="6"/>
      </c>
      <c r="AO16" s="11">
        <f t="shared" ca="1" si="7"/>
      </c>
    </row>
    <row r="17" spans="1:41" x14ac:dyDescent="0.55000000000000004">
      <c r="A17" s="5"/>
      <c r="B17" s="5"/>
      <c r="C17" s="7"/>
      <c r="D17" s="8"/>
      <c r="E17" s="10"/>
      <c r="F17" s="12"/>
      <c r="G17" s="13"/>
      <c r="H17" s="13"/>
      <c r="I17" s="12"/>
      <c r="J17" s="12"/>
      <c r="K17" s="13"/>
      <c r="L17" s="14"/>
      <c r="M17" s="16"/>
      <c r="N17" s="11" cm="1">
        <f t="array" aca="1" ref="N17" ca="1">IF($A17="","",_xlfn.XLOOKUP($A17,INDEX(BondList,0,1),INDEX(BondList,0,2)))</f>
      </c>
      <c r="O17" s="3" cm="1">
        <f t="array" aca="1" ref="O17" ca="1">IF($A17="","",_xlfn.XLOOKUP($A17,INDEX(BondList,0,1),INDEX(BondList,0,3)))</f>
      </c>
      <c r="P17" s="11" cm="1">
        <f t="array" aca="1" ref="P17" ca="1">IF($A17="","",_xlfn.XLOOKUP($A17,INDEX(BondList,0,1),INDEX(BondList,0,4)))</f>
      </c>
      <c r="Q17" s="3" cm="1">
        <f t="array" aca="1" ref="Q17" ca="1">IF($A17="","",_xlfn.XLOOKUP($A17,INDEX(BondList,0,1),INDEX(BondList,0,5)))</f>
      </c>
      <c r="R17" cm="1">
        <f t="array" aca="1" ref="R17" ca="1">IF($A17="","",_xlfn.SWITCH($B17,"BW","Call","CC","Call","ITMBW","Call","TB","Put",NA()))</f>
      </c>
      <c r="S17" s="11">
        <f t="shared" ca="1" si="0"/>
      </c>
      <c r="T17" s="3">
        <f ca="1">IF($A17="","",WORKDAY(TradeDate,1,Holidays))</f>
      </c>
      <c r="U17" s="3">
        <f ca="1">IF($A17="","",WORKDAY($C17,$D17,Holidays))</f>
      </c>
      <c r="V17" s="17">
        <f ca="1">IF($A17="","",NETWORKDAYS(TradeDate,$C17-1,Holidays)/252)</f>
      </c>
      <c r="W17" s="11" cm="1">
        <f t="array" aca="1" ref="W17" ca="1">IF($A17="","",JGB_PRICE($N17,$S17,$T17,$O17))</f>
      </c>
      <c r="X17" s="17" cm="1">
        <f t="array" aca="1" ref="X17" ca="1">IF($A17="","",JGB_AI($N17,$T17,$O17))</f>
      </c>
      <c r="Y17" s="17" cm="1">
        <f t="array" aca="1" ref="Y17" ca="1">IF($A17="","",JGB_AI($N17,$U17,$O17))</f>
      </c>
      <c r="Z17" s="17" cm="1">
        <f t="array" aca="1" ref="Z17" ca="1">IF($A17="","",JGB_CARRY_COUPONS($N17,$O17,$T17,$U17,$F17))</f>
      </c>
      <c r="AA17" s="17">
        <f t="shared" ca="1" si="1"/>
      </c>
      <c r="AB17" s="17">
        <f t="shared" ca="1" si="2"/>
      </c>
      <c r="AC17" s="11">
        <f ca="1">IF($A17="","",INDEX(JgbForwardRisk($N17,$O17,$AA17,$U17),1,1))</f>
      </c>
      <c r="AD17" s="17">
        <f ca="1">IF($A17="","",INDEX(JgbForwardRisk($N17,$O17,$AA17,$U17),1,2))</f>
      </c>
      <c r="AE17" s="15">
        <f ca="1">IF($A17="","",INDEX(JgbForwardRisk($N17,$O17,$AA17,$U17),1,3))</f>
      </c>
      <c r="AF17" s="1" cm="1">
        <f t="array" aca="1" ref="AF17" ca="1">IF($A17="","",SwaptionVol(_xlfn.ANCHORARRAY($BA$3),TradeDate,$C17,$O17))</f>
      </c>
      <c r="AG17" s="1">
        <f t="shared" ca="1" si="3"/>
      </c>
      <c r="AH17" s="15">
        <f t="shared" ca="1" si="4"/>
      </c>
      <c r="AI17" s="18">
        <f t="shared" ca="1" si="5"/>
      </c>
      <c r="AJ17" cm="1">
        <f t="array" aca="1" ref="AJ17" ca="1">IF($A17="","",_xlfn.LET(_xlpm.n,COUNTA($H17:$K17),IF($B17="ITMBW",IF(_xlpm.n=0,"ITMBW","Error: ITMBW takes no strike input"),IF(_xlpm.n=1,_xlfn.XLOOKUP(TRUE,$H17:$K17&lt;&gt;"",{"Slide","Yield","Fwd price","Fwd offset"}),IF(_xlpm.n=0,"Error: enter one strike input","Error: enter only one strike input")))))</f>
      </c>
      <c r="AK17" s="11" cm="1">
        <f t="array" aca="1" ref="AK17" ca="1">IF($A17="","",IF($AJ17="Slide",JGB_PRICE($N17,$S17+$H17/100,$C17,$O17),IF($AJ17="Yield",JGB_PRICE($N17,$I17,$C17,$O17),IF($AJ17="Fwd price",$J17,IF($AJ17="Fwd offset",ROUNDDOWN(ROUND($AB17+$K17/100,9),3),IF($AJ17="ITMBW",ItmBuyWriteStrike($AB17,$W17,$AI17,$V17),NA()))))))</f>
      </c>
      <c r="AL17" s="11" cm="1">
        <f t="array" aca="1" ref="AL17" ca="1">IF($A17="","",JGB_YIELD($N17,$AK17,$U17,$O17))</f>
      </c>
      <c r="AM17" s="15" cm="1">
        <f t="array" aca="1" ref="AM17" ca="1">IF($A17="","",BlackPremium($R17,$AB17,$AK17,$AI17,$V17)*100)</f>
      </c>
      <c r="AN17" s="9">
        <f t="shared" ca="1" si="6"/>
      </c>
      <c r="AO17" s="11">
        <f t="shared" ca="1" si="7"/>
      </c>
    </row>
    <row r="18" spans="1:41" x14ac:dyDescent="0.55000000000000004">
      <c r="A18" s="5"/>
      <c r="B18" s="5"/>
      <c r="C18" s="7"/>
      <c r="D18" s="8"/>
      <c r="E18" s="10"/>
      <c r="F18" s="12"/>
      <c r="G18" s="13"/>
      <c r="H18" s="13"/>
      <c r="I18" s="12"/>
      <c r="J18" s="12"/>
      <c r="K18" s="13"/>
      <c r="L18" s="14"/>
      <c r="M18" s="16"/>
      <c r="N18" s="11" cm="1">
        <f t="array" aca="1" ref="N18" ca="1">IF($A18="","",_xlfn.XLOOKUP($A18,INDEX(BondList,0,1),INDEX(BondList,0,2)))</f>
      </c>
      <c r="O18" s="3" cm="1">
        <f t="array" aca="1" ref="O18" ca="1">IF($A18="","",_xlfn.XLOOKUP($A18,INDEX(BondList,0,1),INDEX(BondList,0,3)))</f>
      </c>
      <c r="P18" s="11" cm="1">
        <f t="array" aca="1" ref="P18" ca="1">IF($A18="","",_xlfn.XLOOKUP($A18,INDEX(BondList,0,1),INDEX(BondList,0,4)))</f>
      </c>
      <c r="Q18" s="3" cm="1">
        <f t="array" aca="1" ref="Q18" ca="1">IF($A18="","",_xlfn.XLOOKUP($A18,INDEX(BondList,0,1),INDEX(BondList,0,5)))</f>
      </c>
      <c r="R18" cm="1">
        <f t="array" aca="1" ref="R18" ca="1">IF($A18="","",_xlfn.SWITCH($B18,"BW","Call","CC","Call","ITMBW","Call","TB","Put",NA()))</f>
      </c>
      <c r="S18" s="11">
        <f t="shared" ca="1" si="0"/>
      </c>
      <c r="T18" s="3">
        <f ca="1">IF($A18="","",WORKDAY(TradeDate,1,Holidays))</f>
      </c>
      <c r="U18" s="3">
        <f ca="1">IF($A18="","",WORKDAY($C18,$D18,Holidays))</f>
      </c>
      <c r="V18" s="17">
        <f ca="1">IF($A18="","",NETWORKDAYS(TradeDate,$C18-1,Holidays)/252)</f>
      </c>
      <c r="W18" s="11" cm="1">
        <f t="array" aca="1" ref="W18" ca="1">IF($A18="","",JGB_PRICE($N18,$S18,$T18,$O18))</f>
      </c>
      <c r="X18" s="17" cm="1">
        <f t="array" aca="1" ref="X18" ca="1">IF($A18="","",JGB_AI($N18,$T18,$O18))</f>
      </c>
      <c r="Y18" s="17" cm="1">
        <f t="array" aca="1" ref="Y18" ca="1">IF($A18="","",JGB_AI($N18,$U18,$O18))</f>
      </c>
      <c r="Z18" s="17" cm="1">
        <f t="array" aca="1" ref="Z18" ca="1">IF($A18="","",JGB_CARRY_COUPONS($N18,$O18,$T18,$U18,$F18))</f>
      </c>
      <c r="AA18" s="17">
        <f t="shared" ca="1" si="1"/>
      </c>
      <c r="AB18" s="17">
        <f t="shared" ca="1" si="2"/>
      </c>
      <c r="AC18" s="11">
        <f ca="1">IF($A18="","",INDEX(JgbForwardRisk($N18,$O18,$AA18,$U18),1,1))</f>
      </c>
      <c r="AD18" s="17">
        <f ca="1">IF($A18="","",INDEX(JgbForwardRisk($N18,$O18,$AA18,$U18),1,2))</f>
      </c>
      <c r="AE18" s="15">
        <f ca="1">IF($A18="","",INDEX(JgbForwardRisk($N18,$O18,$AA18,$U18),1,3))</f>
      </c>
      <c r="AF18" s="1" cm="1">
        <f t="array" aca="1" ref="AF18" ca="1">IF($A18="","",SwaptionVol(_xlfn.ANCHORARRAY($BA$3),TradeDate,$C18,$O18))</f>
      </c>
      <c r="AG18" s="1">
        <f t="shared" ca="1" si="3"/>
      </c>
      <c r="AH18" s="15">
        <f t="shared" ca="1" si="4"/>
      </c>
      <c r="AI18" s="18">
        <f t="shared" ca="1" si="5"/>
      </c>
      <c r="AJ18" cm="1">
        <f t="array" aca="1" ref="AJ18" ca="1">IF($A18="","",_xlfn.LET(_xlpm.n,COUNTA($H18:$K18),IF($B18="ITMBW",IF(_xlpm.n=0,"ITMBW","Error: ITMBW takes no strike input"),IF(_xlpm.n=1,_xlfn.XLOOKUP(TRUE,$H18:$K18&lt;&gt;"",{"Slide","Yield","Fwd price","Fwd offset"}),IF(_xlpm.n=0,"Error: enter one strike input","Error: enter only one strike input")))))</f>
      </c>
      <c r="AK18" s="11" cm="1">
        <f t="array" aca="1" ref="AK18" ca="1">IF($A18="","",IF($AJ18="Slide",JGB_PRICE($N18,$S18+$H18/100,$C18,$O18),IF($AJ18="Yield",JGB_PRICE($N18,$I18,$C18,$O18),IF($AJ18="Fwd price",$J18,IF($AJ18="Fwd offset",ROUNDDOWN(ROUND($AB18+$K18/100,9),3),IF($AJ18="ITMBW",ItmBuyWriteStrike($AB18,$W18,$AI18,$V18),NA()))))))</f>
      </c>
      <c r="AL18" s="11" cm="1">
        <f t="array" aca="1" ref="AL18" ca="1">IF($A18="","",JGB_YIELD($N18,$AK18,$U18,$O18))</f>
      </c>
      <c r="AM18" s="15" cm="1">
        <f t="array" aca="1" ref="AM18" ca="1">IF($A18="","",BlackPremium($R18,$AB18,$AK18,$AI18,$V18)*100)</f>
      </c>
      <c r="AN18" s="9">
        <f t="shared" ca="1" si="6"/>
      </c>
      <c r="AO18" s="11">
        <f t="shared" ca="1" si="7"/>
      </c>
    </row>
    <row r="19" spans="1:41" x14ac:dyDescent="0.55000000000000004">
      <c r="A19" s="5"/>
      <c r="B19" s="5"/>
      <c r="C19" s="7"/>
      <c r="D19" s="8"/>
      <c r="E19" s="10"/>
      <c r="F19" s="12"/>
      <c r="G19" s="13"/>
      <c r="H19" s="13"/>
      <c r="I19" s="12"/>
      <c r="J19" s="12"/>
      <c r="K19" s="13"/>
      <c r="L19" s="14"/>
      <c r="M19" s="16"/>
      <c r="N19" s="11" cm="1">
        <f t="array" aca="1" ref="N19" ca="1">IF($A19="","",_xlfn.XLOOKUP($A19,INDEX(BondList,0,1),INDEX(BondList,0,2)))</f>
      </c>
      <c r="O19" s="3" cm="1">
        <f t="array" aca="1" ref="O19" ca="1">IF($A19="","",_xlfn.XLOOKUP($A19,INDEX(BondList,0,1),INDEX(BondList,0,3)))</f>
      </c>
      <c r="P19" s="11" cm="1">
        <f t="array" aca="1" ref="P19" ca="1">IF($A19="","",_xlfn.XLOOKUP($A19,INDEX(BondList,0,1),INDEX(BondList,0,4)))</f>
      </c>
      <c r="Q19" s="3" cm="1">
        <f t="array" aca="1" ref="Q19" ca="1">IF($A19="","",_xlfn.XLOOKUP($A19,INDEX(BondList,0,1),INDEX(BondList,0,5)))</f>
      </c>
      <c r="R19" cm="1">
        <f t="array" aca="1" ref="R19" ca="1">IF($A19="","",_xlfn.SWITCH($B19,"BW","Call","CC","Call","ITMBW","Call","TB","Put",NA()))</f>
      </c>
      <c r="S19" s="11">
        <f t="shared" ca="1" si="0"/>
      </c>
      <c r="T19" s="3">
        <f ca="1">IF($A19="","",WORKDAY(TradeDate,1,Holidays))</f>
      </c>
      <c r="U19" s="3">
        <f ca="1">IF($A19="","",WORKDAY($C19,$D19,Holidays))</f>
      </c>
      <c r="V19" s="17">
        <f ca="1">IF($A19="","",NETWORKDAYS(TradeDate,$C19-1,Holidays)/252)</f>
      </c>
      <c r="W19" s="11" cm="1">
        <f t="array" aca="1" ref="W19" ca="1">IF($A19="","",JGB_PRICE($N19,$S19,$T19,$O19))</f>
      </c>
      <c r="X19" s="17" cm="1">
        <f t="array" aca="1" ref="X19" ca="1">IF($A19="","",JGB_AI($N19,$T19,$O19))</f>
      </c>
      <c r="Y19" s="17" cm="1">
        <f t="array" aca="1" ref="Y19" ca="1">IF($A19="","",JGB_AI($N19,$U19,$O19))</f>
      </c>
      <c r="Z19" s="17" cm="1">
        <f t="array" aca="1" ref="Z19" ca="1">IF($A19="","",JGB_CARRY_COUPONS($N19,$O19,$T19,$U19,$F19))</f>
      </c>
      <c r="AA19" s="17">
        <f t="shared" ca="1" si="1"/>
      </c>
      <c r="AB19" s="17">
        <f t="shared" ca="1" si="2"/>
      </c>
      <c r="AC19" s="11">
        <f ca="1">IF($A19="","",INDEX(JgbForwardRisk($N19,$O19,$AA19,$U19),1,1))</f>
      </c>
      <c r="AD19" s="17">
        <f ca="1">IF($A19="","",INDEX(JgbForwardRisk($N19,$O19,$AA19,$U19),1,2))</f>
      </c>
      <c r="AE19" s="15">
        <f ca="1">IF($A19="","",INDEX(JgbForwardRisk($N19,$O19,$AA19,$U19),1,3))</f>
      </c>
      <c r="AF19" s="1" cm="1">
        <f t="array" aca="1" ref="AF19" ca="1">IF($A19="","",SwaptionVol(_xlfn.ANCHORARRAY($BA$3),TradeDate,$C19,$O19))</f>
      </c>
      <c r="AG19" s="1">
        <f t="shared" ca="1" si="3"/>
      </c>
      <c r="AH19" s="15">
        <f t="shared" ca="1" si="4"/>
      </c>
      <c r="AI19" s="18">
        <f t="shared" ca="1" si="5"/>
      </c>
      <c r="AJ19" cm="1">
        <f t="array" aca="1" ref="AJ19" ca="1">IF($A19="","",_xlfn.LET(_xlpm.n,COUNTA($H19:$K19),IF($B19="ITMBW",IF(_xlpm.n=0,"ITMBW","Error: ITMBW takes no strike input"),IF(_xlpm.n=1,_xlfn.XLOOKUP(TRUE,$H19:$K19&lt;&gt;"",{"Slide","Yield","Fwd price","Fwd offset"}),IF(_xlpm.n=0,"Error: enter one strike input","Error: enter only one strike input")))))</f>
      </c>
      <c r="AK19" s="11" cm="1">
        <f t="array" aca="1" ref="AK19" ca="1">IF($A19="","",IF($AJ19="Slide",JGB_PRICE($N19,$S19+$H19/100,$C19,$O19),IF($AJ19="Yield",JGB_PRICE($N19,$I19,$C19,$O19),IF($AJ19="Fwd price",$J19,IF($AJ19="Fwd offset",ROUNDDOWN(ROUND($AB19+$K19/100,9),3),IF($AJ19="ITMBW",ItmBuyWriteStrike($AB19,$W19,$AI19,$V19),NA()))))))</f>
      </c>
      <c r="AL19" s="11" cm="1">
        <f t="array" aca="1" ref="AL19" ca="1">IF($A19="","",JGB_YIELD($N19,$AK19,$U19,$O19))</f>
      </c>
      <c r="AM19" s="15" cm="1">
        <f t="array" aca="1" ref="AM19" ca="1">IF($A19="","",BlackPremium($R19,$AB19,$AK19,$AI19,$V19)*100)</f>
      </c>
      <c r="AN19" s="9">
        <f t="shared" ca="1" si="6"/>
      </c>
      <c r="AO19" s="11">
        <f t="shared" ca="1" si="7"/>
      </c>
    </row>
    <row r="20" spans="1:41" x14ac:dyDescent="0.55000000000000004">
      <c r="A20" s="5"/>
      <c r="B20" s="5"/>
      <c r="C20" s="7"/>
      <c r="D20" s="8"/>
      <c r="E20" s="10"/>
      <c r="F20" s="12"/>
      <c r="G20" s="13"/>
      <c r="H20" s="13"/>
      <c r="I20" s="12"/>
      <c r="J20" s="12"/>
      <c r="K20" s="13"/>
      <c r="L20" s="14"/>
      <c r="M20" s="16"/>
      <c r="N20" s="11" cm="1">
        <f t="array" aca="1" ref="N20" ca="1">IF($A20="","",_xlfn.XLOOKUP($A20,INDEX(BondList,0,1),INDEX(BondList,0,2)))</f>
      </c>
      <c r="O20" s="3" cm="1">
        <f t="array" aca="1" ref="O20" ca="1">IF($A20="","",_xlfn.XLOOKUP($A20,INDEX(BondList,0,1),INDEX(BondList,0,3)))</f>
      </c>
      <c r="P20" s="11" cm="1">
        <f t="array" aca="1" ref="P20" ca="1">IF($A20="","",_xlfn.XLOOKUP($A20,INDEX(BondList,0,1),INDEX(BondList,0,4)))</f>
      </c>
      <c r="Q20" s="3" cm="1">
        <f t="array" aca="1" ref="Q20" ca="1">IF($A20="","",_xlfn.XLOOKUP($A20,INDEX(BondList,0,1),INDEX(BondList,0,5)))</f>
      </c>
      <c r="R20" cm="1">
        <f t="array" aca="1" ref="R20" ca="1">IF($A20="","",_xlfn.SWITCH($B20,"BW","Call","CC","Call","ITMBW","Call","TB","Put",NA()))</f>
      </c>
      <c r="S20" s="11">
        <f t="shared" ca="1" si="0"/>
      </c>
      <c r="T20" s="3">
        <f ca="1">IF($A20="","",WORKDAY(TradeDate,1,Holidays))</f>
      </c>
      <c r="U20" s="3">
        <f ca="1">IF($A20="","",WORKDAY($C20,$D20,Holidays))</f>
      </c>
      <c r="V20" s="17">
        <f ca="1">IF($A20="","",NETWORKDAYS(TradeDate,$C20-1,Holidays)/252)</f>
      </c>
      <c r="W20" s="11" cm="1">
        <f t="array" aca="1" ref="W20" ca="1">IF($A20="","",JGB_PRICE($N20,$S20,$T20,$O20))</f>
      </c>
      <c r="X20" s="17" cm="1">
        <f t="array" aca="1" ref="X20" ca="1">IF($A20="","",JGB_AI($N20,$T20,$O20))</f>
      </c>
      <c r="Y20" s="17" cm="1">
        <f t="array" aca="1" ref="Y20" ca="1">IF($A20="","",JGB_AI($N20,$U20,$O20))</f>
      </c>
      <c r="Z20" s="17" cm="1">
        <f t="array" aca="1" ref="Z20" ca="1">IF($A20="","",JGB_CARRY_COUPONS($N20,$O20,$T20,$U20,$F20))</f>
      </c>
      <c r="AA20" s="17">
        <f t="shared" ca="1" si="1"/>
      </c>
      <c r="AB20" s="17">
        <f t="shared" ca="1" si="2"/>
      </c>
      <c r="AC20" s="11">
        <f ca="1">IF($A20="","",INDEX(JgbForwardRisk($N20,$O20,$AA20,$U20),1,1))</f>
      </c>
      <c r="AD20" s="17">
        <f ca="1">IF($A20="","",INDEX(JgbForwardRisk($N20,$O20,$AA20,$U20),1,2))</f>
      </c>
      <c r="AE20" s="15">
        <f ca="1">IF($A20="","",INDEX(JgbForwardRisk($N20,$O20,$AA20,$U20),1,3))</f>
      </c>
      <c r="AF20" s="1" cm="1">
        <f t="array" aca="1" ref="AF20" ca="1">IF($A20="","",SwaptionVol(_xlfn.ANCHORARRAY($BA$3),TradeDate,$C20,$O20))</f>
      </c>
      <c r="AG20" s="1">
        <f t="shared" ca="1" si="3"/>
      </c>
      <c r="AH20" s="15">
        <f t="shared" ca="1" si="4"/>
      </c>
      <c r="AI20" s="18">
        <f t="shared" ca="1" si="5"/>
      </c>
      <c r="AJ20" cm="1">
        <f t="array" aca="1" ref="AJ20" ca="1">IF($A20="","",_xlfn.LET(_xlpm.n,COUNTA($H20:$K20),IF($B20="ITMBW",IF(_xlpm.n=0,"ITMBW","Error: ITMBW takes no strike input"),IF(_xlpm.n=1,_xlfn.XLOOKUP(TRUE,$H20:$K20&lt;&gt;"",{"Slide","Yield","Fwd price","Fwd offset"}),IF(_xlpm.n=0,"Error: enter one strike input","Error: enter only one strike input")))))</f>
      </c>
      <c r="AK20" s="11" cm="1">
        <f t="array" aca="1" ref="AK20" ca="1">IF($A20="","",IF($AJ20="Slide",JGB_PRICE($N20,$S20+$H20/100,$C20,$O20),IF($AJ20="Yield",JGB_PRICE($N20,$I20,$C20,$O20),IF($AJ20="Fwd price",$J20,IF($AJ20="Fwd offset",ROUNDDOWN(ROUND($AB20+$K20/100,9),3),IF($AJ20="ITMBW",ItmBuyWriteStrike($AB20,$W20,$AI20,$V20),NA()))))))</f>
      </c>
      <c r="AL20" s="11" cm="1">
        <f t="array" aca="1" ref="AL20" ca="1">IF($A20="","",JGB_YIELD($N20,$AK20,$U20,$O20))</f>
      </c>
      <c r="AM20" s="15" cm="1">
        <f t="array" aca="1" ref="AM20" ca="1">IF($A20="","",BlackPremium($R20,$AB20,$AK20,$AI20,$V20)*100)</f>
      </c>
      <c r="AN20" s="9">
        <f t="shared" ca="1" si="6"/>
      </c>
      <c r="AO20" s="11">
        <f t="shared" ca="1" si="7"/>
      </c>
    </row>
    <row r="21" spans="1:41" x14ac:dyDescent="0.55000000000000004">
      <c r="A21" s="5"/>
      <c r="B21" s="5"/>
      <c r="C21" s="7"/>
      <c r="D21" s="8"/>
      <c r="E21" s="10"/>
      <c r="F21" s="12"/>
      <c r="G21" s="13"/>
      <c r="H21" s="13"/>
      <c r="I21" s="12"/>
      <c r="J21" s="12"/>
      <c r="K21" s="13"/>
      <c r="L21" s="14"/>
      <c r="M21" s="16"/>
      <c r="N21" s="11" cm="1">
        <f t="array" aca="1" ref="N21" ca="1">IF($A21="","",_xlfn.XLOOKUP($A21,INDEX(BondList,0,1),INDEX(BondList,0,2)))</f>
      </c>
      <c r="O21" s="3" cm="1">
        <f t="array" aca="1" ref="O21" ca="1">IF($A21="","",_xlfn.XLOOKUP($A21,INDEX(BondList,0,1),INDEX(BondList,0,3)))</f>
      </c>
      <c r="P21" s="11" cm="1">
        <f t="array" aca="1" ref="P21" ca="1">IF($A21="","",_xlfn.XLOOKUP($A21,INDEX(BondList,0,1),INDEX(BondList,0,4)))</f>
      </c>
      <c r="Q21" s="3" cm="1">
        <f t="array" aca="1" ref="Q21" ca="1">IF($A21="","",_xlfn.XLOOKUP($A21,INDEX(BondList,0,1),INDEX(BondList,0,5)))</f>
      </c>
      <c r="R21" cm="1">
        <f t="array" aca="1" ref="R21" ca="1">IF($A21="","",_xlfn.SWITCH($B21,"BW","Call","CC","Call","ITMBW","Call","TB","Put",NA()))</f>
      </c>
      <c r="S21" s="11">
        <f t="shared" ca="1" si="0"/>
      </c>
      <c r="T21" s="3">
        <f ca="1">IF($A21="","",WORKDAY(TradeDate,1,Holidays))</f>
      </c>
      <c r="U21" s="3">
        <f ca="1">IF($A21="","",WORKDAY($C21,$D21,Holidays))</f>
      </c>
      <c r="V21" s="17">
        <f ca="1">IF($A21="","",NETWORKDAYS(TradeDate,$C21-1,Holidays)/252)</f>
      </c>
      <c r="W21" s="11" cm="1">
        <f t="array" aca="1" ref="W21" ca="1">IF($A21="","",JGB_PRICE($N21,$S21,$T21,$O21))</f>
      </c>
      <c r="X21" s="17" cm="1">
        <f t="array" aca="1" ref="X21" ca="1">IF($A21="","",JGB_AI($N21,$T21,$O21))</f>
      </c>
      <c r="Y21" s="17" cm="1">
        <f t="array" aca="1" ref="Y21" ca="1">IF($A21="","",JGB_AI($N21,$U21,$O21))</f>
      </c>
      <c r="Z21" s="17" cm="1">
        <f t="array" aca="1" ref="Z21" ca="1">IF($A21="","",JGB_CARRY_COUPONS($N21,$O21,$T21,$U21,$F21))</f>
      </c>
      <c r="AA21" s="17">
        <f t="shared" ca="1" si="1"/>
      </c>
      <c r="AB21" s="17">
        <f t="shared" ca="1" si="2"/>
      </c>
      <c r="AC21" s="11">
        <f ca="1">IF($A21="","",INDEX(JgbForwardRisk($N21,$O21,$AA21,$U21),1,1))</f>
      </c>
      <c r="AD21" s="17">
        <f ca="1">IF($A21="","",INDEX(JgbForwardRisk($N21,$O21,$AA21,$U21),1,2))</f>
      </c>
      <c r="AE21" s="15">
        <f ca="1">IF($A21="","",INDEX(JgbForwardRisk($N21,$O21,$AA21,$U21),1,3))</f>
      </c>
      <c r="AF21" s="1" cm="1">
        <f t="array" aca="1" ref="AF21" ca="1">IF($A21="","",SwaptionVol(_xlfn.ANCHORARRAY($BA$3),TradeDate,$C21,$O21))</f>
      </c>
      <c r="AG21" s="1">
        <f t="shared" ca="1" si="3"/>
      </c>
      <c r="AH21" s="15">
        <f t="shared" ca="1" si="4"/>
      </c>
      <c r="AI21" s="18">
        <f t="shared" ca="1" si="5"/>
      </c>
      <c r="AJ21" cm="1">
        <f t="array" aca="1" ref="AJ21" ca="1">IF($A21="","",_xlfn.LET(_xlpm.n,COUNTA($H21:$K21),IF($B21="ITMBW",IF(_xlpm.n=0,"ITMBW","Error: ITMBW takes no strike input"),IF(_xlpm.n=1,_xlfn.XLOOKUP(TRUE,$H21:$K21&lt;&gt;"",{"Slide","Yield","Fwd price","Fwd offset"}),IF(_xlpm.n=0,"Error: enter one strike input","Error: enter only one strike input")))))</f>
      </c>
      <c r="AK21" s="11" cm="1">
        <f t="array" aca="1" ref="AK21" ca="1">IF($A21="","",IF($AJ21="Slide",JGB_PRICE($N21,$S21+$H21/100,$C21,$O21),IF($AJ21="Yield",JGB_PRICE($N21,$I21,$C21,$O21),IF($AJ21="Fwd price",$J21,IF($AJ21="Fwd offset",ROUNDDOWN(ROUND($AB21+$K21/100,9),3),IF($AJ21="ITMBW",ItmBuyWriteStrike($AB21,$W21,$AI21,$V21),NA()))))))</f>
      </c>
      <c r="AL21" s="11" cm="1">
        <f t="array" aca="1" ref="AL21" ca="1">IF($A21="","",JGB_YIELD($N21,$AK21,$U21,$O21))</f>
      </c>
      <c r="AM21" s="15" cm="1">
        <f t="array" aca="1" ref="AM21" ca="1">IF($A21="","",BlackPremium($R21,$AB21,$AK21,$AI21,$V21)*100)</f>
      </c>
      <c r="AN21" s="9">
        <f t="shared" ca="1" si="6"/>
      </c>
      <c r="AO21" s="11">
        <f t="shared" ca="1" si="7"/>
      </c>
    </row>
    <row r="22" spans="1:41" x14ac:dyDescent="0.55000000000000004">
      <c r="A22" s="5"/>
      <c r="B22" s="5"/>
      <c r="C22" s="7"/>
      <c r="D22" s="8"/>
      <c r="E22" s="10"/>
      <c r="F22" s="12"/>
      <c r="G22" s="13"/>
      <c r="H22" s="13"/>
      <c r="I22" s="12"/>
      <c r="J22" s="12"/>
      <c r="K22" s="13"/>
      <c r="L22" s="14"/>
      <c r="M22" s="16"/>
      <c r="N22" s="11" cm="1">
        <f t="array" aca="1" ref="N22" ca="1">IF($A22="","",_xlfn.XLOOKUP($A22,INDEX(BondList,0,1),INDEX(BondList,0,2)))</f>
      </c>
      <c r="O22" s="3" cm="1">
        <f t="array" aca="1" ref="O22" ca="1">IF($A22="","",_xlfn.XLOOKUP($A22,INDEX(BondList,0,1),INDEX(BondList,0,3)))</f>
      </c>
      <c r="P22" s="11" cm="1">
        <f t="array" aca="1" ref="P22" ca="1">IF($A22="","",_xlfn.XLOOKUP($A22,INDEX(BondList,0,1),INDEX(BondList,0,4)))</f>
      </c>
      <c r="Q22" s="3" cm="1">
        <f t="array" aca="1" ref="Q22" ca="1">IF($A22="","",_xlfn.XLOOKUP($A22,INDEX(BondList,0,1),INDEX(BondList,0,5)))</f>
      </c>
      <c r="R22" cm="1">
        <f t="array" aca="1" ref="R22" ca="1">IF($A22="","",_xlfn.SWITCH($B22,"BW","Call","CC","Call","ITMBW","Call","TB","Put",NA()))</f>
      </c>
      <c r="S22" s="11">
        <f t="shared" ca="1" si="0"/>
      </c>
      <c r="T22" s="3">
        <f ca="1">IF($A22="","",WORKDAY(TradeDate,1,Holidays))</f>
      </c>
      <c r="U22" s="3">
        <f ca="1">IF($A22="","",WORKDAY($C22,$D22,Holidays))</f>
      </c>
      <c r="V22" s="17">
        <f ca="1">IF($A22="","",NETWORKDAYS(TradeDate,$C22-1,Holidays)/252)</f>
      </c>
      <c r="W22" s="11" cm="1">
        <f t="array" aca="1" ref="W22" ca="1">IF($A22="","",JGB_PRICE($N22,$S22,$T22,$O22))</f>
      </c>
      <c r="X22" s="17" cm="1">
        <f t="array" aca="1" ref="X22" ca="1">IF($A22="","",JGB_AI($N22,$T22,$O22))</f>
      </c>
      <c r="Y22" s="17" cm="1">
        <f t="array" aca="1" ref="Y22" ca="1">IF($A22="","",JGB_AI($N22,$U22,$O22))</f>
      </c>
      <c r="Z22" s="17" cm="1">
        <f t="array" aca="1" ref="Z22" ca="1">IF($A22="","",JGB_CARRY_COUPONS($N22,$O22,$T22,$U22,$F22))</f>
      </c>
      <c r="AA22" s="17">
        <f t="shared" ca="1" si="1"/>
      </c>
      <c r="AB22" s="17">
        <f t="shared" ca="1" si="2"/>
      </c>
      <c r="AC22" s="11">
        <f ca="1">IF($A22="","",INDEX(JgbForwardRisk($N22,$O22,$AA22,$U22),1,1))</f>
      </c>
      <c r="AD22" s="17">
        <f ca="1">IF($A22="","",INDEX(JgbForwardRisk($N22,$O22,$AA22,$U22),1,2))</f>
      </c>
      <c r="AE22" s="15">
        <f ca="1">IF($A22="","",INDEX(JgbForwardRisk($N22,$O22,$AA22,$U22),1,3))</f>
      </c>
      <c r="AF22" s="1" cm="1">
        <f t="array" aca="1" ref="AF22" ca="1">IF($A22="","",SwaptionVol(_xlfn.ANCHORARRAY($BA$3),TradeDate,$C22,$O22))</f>
      </c>
      <c r="AG22" s="1">
        <f t="shared" ca="1" si="3"/>
      </c>
      <c r="AH22" s="15">
        <f t="shared" ca="1" si="4"/>
      </c>
      <c r="AI22" s="18">
        <f t="shared" ca="1" si="5"/>
      </c>
      <c r="AJ22" cm="1">
        <f t="array" aca="1" ref="AJ22" ca="1">IF($A22="","",_xlfn.LET(_xlpm.n,COUNTA($H22:$K22),IF($B22="ITMBW",IF(_xlpm.n=0,"ITMBW","Error: ITMBW takes no strike input"),IF(_xlpm.n=1,_xlfn.XLOOKUP(TRUE,$H22:$K22&lt;&gt;"",{"Slide","Yield","Fwd price","Fwd offset"}),IF(_xlpm.n=0,"Error: enter one strike input","Error: enter only one strike input")))))</f>
      </c>
      <c r="AK22" s="11" cm="1">
        <f t="array" aca="1" ref="AK22" ca="1">IF($A22="","",IF($AJ22="Slide",JGB_PRICE($N22,$S22+$H22/100,$C22,$O22),IF($AJ22="Yield",JGB_PRICE($N22,$I22,$C22,$O22),IF($AJ22="Fwd price",$J22,IF($AJ22="Fwd offset",ROUNDDOWN(ROUND($AB22+$K22/100,9),3),IF($AJ22="ITMBW",ItmBuyWriteStrike($AB22,$W22,$AI22,$V22),NA()))))))</f>
      </c>
      <c r="AL22" s="11" cm="1">
        <f t="array" aca="1" ref="AL22" ca="1">IF($A22="","",JGB_YIELD($N22,$AK22,$U22,$O22))</f>
      </c>
      <c r="AM22" s="15" cm="1">
        <f t="array" aca="1" ref="AM22" ca="1">IF($A22="","",BlackPremium($R22,$AB22,$AK22,$AI22,$V22)*100)</f>
      </c>
      <c r="AN22" s="9">
        <f t="shared" ca="1" si="6"/>
      </c>
      <c r="AO22" s="11">
        <f t="shared" ca="1" si="7"/>
      </c>
    </row>
    <row r="23" spans="1:41" x14ac:dyDescent="0.55000000000000004">
      <c r="A23" s="5"/>
      <c r="B23" s="5"/>
      <c r="C23" s="7"/>
      <c r="D23" s="8"/>
      <c r="E23" s="10"/>
      <c r="F23" s="12"/>
      <c r="G23" s="13"/>
      <c r="H23" s="13"/>
      <c r="I23" s="12"/>
      <c r="J23" s="12"/>
      <c r="K23" s="13"/>
      <c r="L23" s="14"/>
      <c r="M23" s="16"/>
      <c r="N23" s="11" cm="1">
        <f t="array" aca="1" ref="N23" ca="1">IF($A23="","",_xlfn.XLOOKUP($A23,INDEX(BondList,0,1),INDEX(BondList,0,2)))</f>
      </c>
      <c r="O23" s="3" cm="1">
        <f t="array" aca="1" ref="O23" ca="1">IF($A23="","",_xlfn.XLOOKUP($A23,INDEX(BondList,0,1),INDEX(BondList,0,3)))</f>
      </c>
      <c r="P23" s="11" cm="1">
        <f t="array" aca="1" ref="P23" ca="1">IF($A23="","",_xlfn.XLOOKUP($A23,INDEX(BondList,0,1),INDEX(BondList,0,4)))</f>
      </c>
      <c r="Q23" s="3" cm="1">
        <f t="array" aca="1" ref="Q23" ca="1">IF($A23="","",_xlfn.XLOOKUP($A23,INDEX(BondList,0,1),INDEX(BondList,0,5)))</f>
      </c>
      <c r="R23" cm="1">
        <f t="array" aca="1" ref="R23" ca="1">IF($A23="","",_xlfn.SWITCH($B23,"BW","Call","CC","Call","ITMBW","Call","TB","Put",NA()))</f>
      </c>
      <c r="S23" s="11">
        <f t="shared" ca="1" si="0"/>
      </c>
      <c r="T23" s="3">
        <f ca="1">IF($A23="","",WORKDAY(TradeDate,1,Holidays))</f>
      </c>
      <c r="U23" s="3">
        <f ca="1">IF($A23="","",WORKDAY($C23,$D23,Holidays))</f>
      </c>
      <c r="V23" s="17">
        <f ca="1">IF($A23="","",NETWORKDAYS(TradeDate,$C23-1,Holidays)/252)</f>
      </c>
      <c r="W23" s="11" cm="1">
        <f t="array" aca="1" ref="W23" ca="1">IF($A23="","",JGB_PRICE($N23,$S23,$T23,$O23))</f>
      </c>
      <c r="X23" s="17" cm="1">
        <f t="array" aca="1" ref="X23" ca="1">IF($A23="","",JGB_AI($N23,$T23,$O23))</f>
      </c>
      <c r="Y23" s="17" cm="1">
        <f t="array" aca="1" ref="Y23" ca="1">IF($A23="","",JGB_AI($N23,$U23,$O23))</f>
      </c>
      <c r="Z23" s="17" cm="1">
        <f t="array" aca="1" ref="Z23" ca="1">IF($A23="","",JGB_CARRY_COUPONS($N23,$O23,$T23,$U23,$F23))</f>
      </c>
      <c r="AA23" s="17">
        <f t="shared" ca="1" si="1"/>
      </c>
      <c r="AB23" s="17">
        <f t="shared" ca="1" si="2"/>
      </c>
      <c r="AC23" s="11">
        <f ca="1">IF($A23="","",INDEX(JgbForwardRisk($N23,$O23,$AA23,$U23),1,1))</f>
      </c>
      <c r="AD23" s="17">
        <f ca="1">IF($A23="","",INDEX(JgbForwardRisk($N23,$O23,$AA23,$U23),1,2))</f>
      </c>
      <c r="AE23" s="15">
        <f ca="1">IF($A23="","",INDEX(JgbForwardRisk($N23,$O23,$AA23,$U23),1,3))</f>
      </c>
      <c r="AF23" s="1" cm="1">
        <f t="array" aca="1" ref="AF23" ca="1">IF($A23="","",SwaptionVol(_xlfn.ANCHORARRAY($BA$3),TradeDate,$C23,$O23))</f>
      </c>
      <c r="AG23" s="1">
        <f t="shared" ca="1" si="3"/>
      </c>
      <c r="AH23" s="15">
        <f t="shared" ca="1" si="4"/>
      </c>
      <c r="AI23" s="18">
        <f t="shared" ca="1" si="5"/>
      </c>
      <c r="AJ23" cm="1">
        <f t="array" aca="1" ref="AJ23" ca="1">IF($A23="","",_xlfn.LET(_xlpm.n,COUNTA($H23:$K23),IF($B23="ITMBW",IF(_xlpm.n=0,"ITMBW","Error: ITMBW takes no strike input"),IF(_xlpm.n=1,_xlfn.XLOOKUP(TRUE,$H23:$K23&lt;&gt;"",{"Slide","Yield","Fwd price","Fwd offset"}),IF(_xlpm.n=0,"Error: enter one strike input","Error: enter only one strike input")))))</f>
      </c>
      <c r="AK23" s="11" cm="1">
        <f t="array" aca="1" ref="AK23" ca="1">IF($A23="","",IF($AJ23="Slide",JGB_PRICE($N23,$S23+$H23/100,$C23,$O23),IF($AJ23="Yield",JGB_PRICE($N23,$I23,$C23,$O23),IF($AJ23="Fwd price",$J23,IF($AJ23="Fwd offset",ROUNDDOWN(ROUND($AB23+$K23/100,9),3),IF($AJ23="ITMBW",ItmBuyWriteStrike($AB23,$W23,$AI23,$V23),NA()))))))</f>
      </c>
      <c r="AL23" s="11" cm="1">
        <f t="array" aca="1" ref="AL23" ca="1">IF($A23="","",JGB_YIELD($N23,$AK23,$U23,$O23))</f>
      </c>
      <c r="AM23" s="15" cm="1">
        <f t="array" aca="1" ref="AM23" ca="1">IF($A23="","",BlackPremium($R23,$AB23,$AK23,$AI23,$V23)*100)</f>
      </c>
      <c r="AN23" s="9">
        <f t="shared" ca="1" si="6"/>
      </c>
      <c r="AO23" s="11">
        <f t="shared" ca="1" si="7"/>
      </c>
    </row>
    <row r="24" spans="1:41" x14ac:dyDescent="0.55000000000000004">
      <c r="A24" s="5"/>
      <c r="B24" s="5"/>
      <c r="C24" s="7"/>
      <c r="D24" s="8"/>
      <c r="E24" s="10"/>
      <c r="F24" s="12"/>
      <c r="G24" s="13"/>
      <c r="H24" s="13"/>
      <c r="I24" s="12"/>
      <c r="J24" s="12"/>
      <c r="K24" s="13"/>
      <c r="L24" s="14"/>
      <c r="M24" s="16"/>
      <c r="N24" s="11" cm="1">
        <f t="array" aca="1" ref="N24" ca="1">IF($A24="","",_xlfn.XLOOKUP($A24,INDEX(BondList,0,1),INDEX(BondList,0,2)))</f>
      </c>
      <c r="O24" s="3" cm="1">
        <f t="array" aca="1" ref="O24" ca="1">IF($A24="","",_xlfn.XLOOKUP($A24,INDEX(BondList,0,1),INDEX(BondList,0,3)))</f>
      </c>
      <c r="P24" s="11" cm="1">
        <f t="array" aca="1" ref="P24" ca="1">IF($A24="","",_xlfn.XLOOKUP($A24,INDEX(BondList,0,1),INDEX(BondList,0,4)))</f>
      </c>
      <c r="Q24" s="3" cm="1">
        <f t="array" aca="1" ref="Q24" ca="1">IF($A24="","",_xlfn.XLOOKUP($A24,INDEX(BondList,0,1),INDEX(BondList,0,5)))</f>
      </c>
      <c r="R24" cm="1">
        <f t="array" aca="1" ref="R24" ca="1">IF($A24="","",_xlfn.SWITCH($B24,"BW","Call","CC","Call","ITMBW","Call","TB","Put",NA()))</f>
      </c>
      <c r="S24" s="11">
        <f t="shared" ca="1" si="0"/>
      </c>
      <c r="T24" s="3">
        <f ca="1">IF($A24="","",WORKDAY(TradeDate,1,Holidays))</f>
      </c>
      <c r="U24" s="3">
        <f ca="1">IF($A24="","",WORKDAY($C24,$D24,Holidays))</f>
      </c>
      <c r="V24" s="17">
        <f ca="1">IF($A24="","",NETWORKDAYS(TradeDate,$C24-1,Holidays)/252)</f>
      </c>
      <c r="W24" s="11" cm="1">
        <f t="array" aca="1" ref="W24" ca="1">IF($A24="","",JGB_PRICE($N24,$S24,$T24,$O24))</f>
      </c>
      <c r="X24" s="17" cm="1">
        <f t="array" aca="1" ref="X24" ca="1">IF($A24="","",JGB_AI($N24,$T24,$O24))</f>
      </c>
      <c r="Y24" s="17" cm="1">
        <f t="array" aca="1" ref="Y24" ca="1">IF($A24="","",JGB_AI($N24,$U24,$O24))</f>
      </c>
      <c r="Z24" s="17" cm="1">
        <f t="array" aca="1" ref="Z24" ca="1">IF($A24="","",JGB_CARRY_COUPONS($N24,$O24,$T24,$U24,$F24))</f>
      </c>
      <c r="AA24" s="17">
        <f t="shared" ca="1" si="1"/>
      </c>
      <c r="AB24" s="17">
        <f t="shared" ca="1" si="2"/>
      </c>
      <c r="AC24" s="11">
        <f ca="1">IF($A24="","",INDEX(JgbForwardRisk($N24,$O24,$AA24,$U24),1,1))</f>
      </c>
      <c r="AD24" s="17">
        <f ca="1">IF($A24="","",INDEX(JgbForwardRisk($N24,$O24,$AA24,$U24),1,2))</f>
      </c>
      <c r="AE24" s="15">
        <f ca="1">IF($A24="","",INDEX(JgbForwardRisk($N24,$O24,$AA24,$U24),1,3))</f>
      </c>
      <c r="AF24" s="1" cm="1">
        <f t="array" aca="1" ref="AF24" ca="1">IF($A24="","",SwaptionVol(_xlfn.ANCHORARRAY($BA$3),TradeDate,$C24,$O24))</f>
      </c>
      <c r="AG24" s="1">
        <f t="shared" ca="1" si="3"/>
      </c>
      <c r="AH24" s="15">
        <f t="shared" ca="1" si="4"/>
      </c>
      <c r="AI24" s="18">
        <f t="shared" ca="1" si="5"/>
      </c>
      <c r="AJ24" cm="1">
        <f t="array" aca="1" ref="AJ24" ca="1">IF($A24="","",_xlfn.LET(_xlpm.n,COUNTA($H24:$K24),IF($B24="ITMBW",IF(_xlpm.n=0,"ITMBW","Error: ITMBW takes no strike input"),IF(_xlpm.n=1,_xlfn.XLOOKUP(TRUE,$H24:$K24&lt;&gt;"",{"Slide","Yield","Fwd price","Fwd offset"}),IF(_xlpm.n=0,"Error: enter one strike input","Error: enter only one strike input")))))</f>
      </c>
      <c r="AK24" s="11" cm="1">
        <f t="array" aca="1" ref="AK24" ca="1">IF($A24="","",IF($AJ24="Slide",JGB_PRICE($N24,$S24+$H24/100,$C24,$O24),IF($AJ24="Yield",JGB_PRICE($N24,$I24,$C24,$O24),IF($AJ24="Fwd price",$J24,IF($AJ24="Fwd offset",ROUNDDOWN(ROUND($AB24+$K24/100,9),3),IF($AJ24="ITMBW",ItmBuyWriteStrike($AB24,$W24,$AI24,$V24),NA()))))))</f>
      </c>
      <c r="AL24" s="11" cm="1">
        <f t="array" aca="1" ref="AL24" ca="1">IF($A24="","",JGB_YIELD($N24,$AK24,$U24,$O24))</f>
      </c>
      <c r="AM24" s="15" cm="1">
        <f t="array" aca="1" ref="AM24" ca="1">IF($A24="","",BlackPremium($R24,$AB24,$AK24,$AI24,$V24)*100)</f>
      </c>
      <c r="AN24" s="9">
        <f t="shared" ca="1" si="6"/>
      </c>
      <c r="AO24" s="11">
        <f t="shared" ca="1" si="7"/>
      </c>
    </row>
    <row r="25" spans="1:41" x14ac:dyDescent="0.55000000000000004">
      <c r="A25" s="5"/>
      <c r="B25" s="5"/>
      <c r="C25" s="7"/>
      <c r="D25" s="8"/>
      <c r="E25" s="10"/>
      <c r="F25" s="12"/>
      <c r="G25" s="13"/>
      <c r="H25" s="13"/>
      <c r="I25" s="12"/>
      <c r="J25" s="12"/>
      <c r="K25" s="13"/>
      <c r="L25" s="14"/>
      <c r="M25" s="16"/>
      <c r="N25" s="11" cm="1">
        <f t="array" aca="1" ref="N25" ca="1">IF($A25="","",_xlfn.XLOOKUP($A25,INDEX(BondList,0,1),INDEX(BondList,0,2)))</f>
      </c>
      <c r="O25" s="3" cm="1">
        <f t="array" aca="1" ref="O25" ca="1">IF($A25="","",_xlfn.XLOOKUP($A25,INDEX(BondList,0,1),INDEX(BondList,0,3)))</f>
      </c>
      <c r="P25" s="11" cm="1">
        <f t="array" aca="1" ref="P25" ca="1">IF($A25="","",_xlfn.XLOOKUP($A25,INDEX(BondList,0,1),INDEX(BondList,0,4)))</f>
      </c>
      <c r="Q25" s="3" cm="1">
        <f t="array" aca="1" ref="Q25" ca="1">IF($A25="","",_xlfn.XLOOKUP($A25,INDEX(BondList,0,1),INDEX(BondList,0,5)))</f>
      </c>
      <c r="R25" cm="1">
        <f t="array" aca="1" ref="R25" ca="1">IF($A25="","",_xlfn.SWITCH($B25,"BW","Call","CC","Call","ITMBW","Call","TB","Put",NA()))</f>
      </c>
      <c r="S25" s="11">
        <f t="shared" ca="1" si="0"/>
      </c>
      <c r="T25" s="3">
        <f ca="1">IF($A25="","",WORKDAY(TradeDate,1,Holidays))</f>
      </c>
      <c r="U25" s="3">
        <f ca="1">IF($A25="","",WORKDAY($C25,$D25,Holidays))</f>
      </c>
      <c r="V25" s="17">
        <f ca="1">IF($A25="","",NETWORKDAYS(TradeDate,$C25-1,Holidays)/252)</f>
      </c>
      <c r="W25" s="11" cm="1">
        <f t="array" aca="1" ref="W25" ca="1">IF($A25="","",JGB_PRICE($N25,$S25,$T25,$O25))</f>
      </c>
      <c r="X25" s="17" cm="1">
        <f t="array" aca="1" ref="X25" ca="1">IF($A25="","",JGB_AI($N25,$T25,$O25))</f>
      </c>
      <c r="Y25" s="17" cm="1">
        <f t="array" aca="1" ref="Y25" ca="1">IF($A25="","",JGB_AI($N25,$U25,$O25))</f>
      </c>
      <c r="Z25" s="17" cm="1">
        <f t="array" aca="1" ref="Z25" ca="1">IF($A25="","",JGB_CARRY_COUPONS($N25,$O25,$T25,$U25,$F25))</f>
      </c>
      <c r="AA25" s="17">
        <f t="shared" ca="1" si="1"/>
      </c>
      <c r="AB25" s="17">
        <f t="shared" ca="1" si="2"/>
      </c>
      <c r="AC25" s="11">
        <f ca="1">IF($A25="","",INDEX(JgbForwardRisk($N25,$O25,$AA25,$U25),1,1))</f>
      </c>
      <c r="AD25" s="17">
        <f ca="1">IF($A25="","",INDEX(JgbForwardRisk($N25,$O25,$AA25,$U25),1,2))</f>
      </c>
      <c r="AE25" s="15">
        <f ca="1">IF($A25="","",INDEX(JgbForwardRisk($N25,$O25,$AA25,$U25),1,3))</f>
      </c>
      <c r="AF25" s="1" cm="1">
        <f t="array" aca="1" ref="AF25" ca="1">IF($A25="","",SwaptionVol(_xlfn.ANCHORARRAY($BA$3),TradeDate,$C25,$O25))</f>
      </c>
      <c r="AG25" s="1">
        <f t="shared" ca="1" si="3"/>
      </c>
      <c r="AH25" s="15">
        <f t="shared" ca="1" si="4"/>
      </c>
      <c r="AI25" s="18">
        <f t="shared" ca="1" si="5"/>
      </c>
      <c r="AJ25" cm="1">
        <f t="array" aca="1" ref="AJ25" ca="1">IF($A25="","",_xlfn.LET(_xlpm.n,COUNTA($H25:$K25),IF($B25="ITMBW",IF(_xlpm.n=0,"ITMBW","Error: ITMBW takes no strike input"),IF(_xlpm.n=1,_xlfn.XLOOKUP(TRUE,$H25:$K25&lt;&gt;"",{"Slide","Yield","Fwd price","Fwd offset"}),IF(_xlpm.n=0,"Error: enter one strike input","Error: enter only one strike input")))))</f>
      </c>
      <c r="AK25" s="11" cm="1">
        <f t="array" aca="1" ref="AK25" ca="1">IF($A25="","",IF($AJ25="Slide",JGB_PRICE($N25,$S25+$H25/100,$C25,$O25),IF($AJ25="Yield",JGB_PRICE($N25,$I25,$C25,$O25),IF($AJ25="Fwd price",$J25,IF($AJ25="Fwd offset",ROUNDDOWN(ROUND($AB25+$K25/100,9),3),IF($AJ25="ITMBW",ItmBuyWriteStrike($AB25,$W25,$AI25,$V25),NA()))))))</f>
      </c>
      <c r="AL25" s="11" cm="1">
        <f t="array" aca="1" ref="AL25" ca="1">IF($A25="","",JGB_YIELD($N25,$AK25,$U25,$O25))</f>
      </c>
      <c r="AM25" s="15" cm="1">
        <f t="array" aca="1" ref="AM25" ca="1">IF($A25="","",BlackPremium($R25,$AB25,$AK25,$AI25,$V25)*100)</f>
      </c>
      <c r="AN25" s="9">
        <f t="shared" ca="1" si="6"/>
      </c>
      <c r="AO25" s="11">
        <f t="shared" ca="1" si="7"/>
      </c>
    </row>
    <row r="26" spans="1:41" x14ac:dyDescent="0.55000000000000004">
      <c r="A26" s="5"/>
      <c r="B26" s="5"/>
      <c r="C26" s="7"/>
      <c r="D26" s="8"/>
      <c r="E26" s="10"/>
      <c r="F26" s="12"/>
      <c r="G26" s="13"/>
      <c r="H26" s="13"/>
      <c r="I26" s="12"/>
      <c r="J26" s="12"/>
      <c r="K26" s="13"/>
      <c r="L26" s="14"/>
      <c r="M26" s="16"/>
      <c r="N26" s="11" cm="1">
        <f t="array" aca="1" ref="N26" ca="1">IF($A26="","",_xlfn.XLOOKUP($A26,INDEX(BondList,0,1),INDEX(BondList,0,2)))</f>
      </c>
      <c r="O26" s="3" cm="1">
        <f t="array" aca="1" ref="O26" ca="1">IF($A26="","",_xlfn.XLOOKUP($A26,INDEX(BondList,0,1),INDEX(BondList,0,3)))</f>
      </c>
      <c r="P26" s="11" cm="1">
        <f t="array" aca="1" ref="P26" ca="1">IF($A26="","",_xlfn.XLOOKUP($A26,INDEX(BondList,0,1),INDEX(BondList,0,4)))</f>
      </c>
      <c r="Q26" s="3" cm="1">
        <f t="array" aca="1" ref="Q26" ca="1">IF($A26="","",_xlfn.XLOOKUP($A26,INDEX(BondList,0,1),INDEX(BondList,0,5)))</f>
      </c>
      <c r="R26" cm="1">
        <f t="array" aca="1" ref="R26" ca="1">IF($A26="","",_xlfn.SWITCH($B26,"BW","Call","CC","Call","ITMBW","Call","TB","Put",NA()))</f>
      </c>
      <c r="S26" s="11">
        <f t="shared" ca="1" si="0"/>
      </c>
      <c r="T26" s="3">
        <f ca="1">IF($A26="","",WORKDAY(TradeDate,1,Holidays))</f>
      </c>
      <c r="U26" s="3">
        <f ca="1">IF($A26="","",WORKDAY($C26,$D26,Holidays))</f>
      </c>
      <c r="V26" s="17">
        <f ca="1">IF($A26="","",NETWORKDAYS(TradeDate,$C26-1,Holidays)/252)</f>
      </c>
      <c r="W26" s="11" cm="1">
        <f t="array" aca="1" ref="W26" ca="1">IF($A26="","",JGB_PRICE($N26,$S26,$T26,$O26))</f>
      </c>
      <c r="X26" s="17" cm="1">
        <f t="array" aca="1" ref="X26" ca="1">IF($A26="","",JGB_AI($N26,$T26,$O26))</f>
      </c>
      <c r="Y26" s="17" cm="1">
        <f t="array" aca="1" ref="Y26" ca="1">IF($A26="","",JGB_AI($N26,$U26,$O26))</f>
      </c>
      <c r="Z26" s="17" cm="1">
        <f t="array" aca="1" ref="Z26" ca="1">IF($A26="","",JGB_CARRY_COUPONS($N26,$O26,$T26,$U26,$F26))</f>
      </c>
      <c r="AA26" s="17">
        <f t="shared" ca="1" si="1"/>
      </c>
      <c r="AB26" s="17">
        <f t="shared" ca="1" si="2"/>
      </c>
      <c r="AC26" s="11">
        <f ca="1">IF($A26="","",INDEX(JgbForwardRisk($N26,$O26,$AA26,$U26),1,1))</f>
      </c>
      <c r="AD26" s="17">
        <f ca="1">IF($A26="","",INDEX(JgbForwardRisk($N26,$O26,$AA26,$U26),1,2))</f>
      </c>
      <c r="AE26" s="15">
        <f ca="1">IF($A26="","",INDEX(JgbForwardRisk($N26,$O26,$AA26,$U26),1,3))</f>
      </c>
      <c r="AF26" s="1" cm="1">
        <f t="array" aca="1" ref="AF26" ca="1">IF($A26="","",SwaptionVol(_xlfn.ANCHORARRAY($BA$3),TradeDate,$C26,$O26))</f>
      </c>
      <c r="AG26" s="1">
        <f t="shared" ca="1" si="3"/>
      </c>
      <c r="AH26" s="15">
        <f t="shared" ca="1" si="4"/>
      </c>
      <c r="AI26" s="18">
        <f t="shared" ca="1" si="5"/>
      </c>
      <c r="AJ26" cm="1">
        <f t="array" aca="1" ref="AJ26" ca="1">IF($A26="","",_xlfn.LET(_xlpm.n,COUNTA($H26:$K26),IF($B26="ITMBW",IF(_xlpm.n=0,"ITMBW","Error: ITMBW takes no strike input"),IF(_xlpm.n=1,_xlfn.XLOOKUP(TRUE,$H26:$K26&lt;&gt;"",{"Slide","Yield","Fwd price","Fwd offset"}),IF(_xlpm.n=0,"Error: enter one strike input","Error: enter only one strike input")))))</f>
      </c>
      <c r="AK26" s="11" cm="1">
        <f t="array" aca="1" ref="AK26" ca="1">IF($A26="","",IF($AJ26="Slide",JGB_PRICE($N26,$S26+$H26/100,$C26,$O26),IF($AJ26="Yield",JGB_PRICE($N26,$I26,$C26,$O26),IF($AJ26="Fwd price",$J26,IF($AJ26="Fwd offset",ROUNDDOWN(ROUND($AB26+$K26/100,9),3),IF($AJ26="ITMBW",ItmBuyWriteStrike($AB26,$W26,$AI26,$V26),NA()))))))</f>
      </c>
      <c r="AL26" s="11" cm="1">
        <f t="array" aca="1" ref="AL26" ca="1">IF($A26="","",JGB_YIELD($N26,$AK26,$U26,$O26))</f>
      </c>
      <c r="AM26" s="15" cm="1">
        <f t="array" aca="1" ref="AM26" ca="1">IF($A26="","",BlackPremium($R26,$AB26,$AK26,$AI26,$V26)*100)</f>
      </c>
      <c r="AN26" s="9">
        <f t="shared" ca="1" si="6"/>
      </c>
      <c r="AO26" s="11">
        <f t="shared" ca="1" si="7"/>
      </c>
    </row>
    <row r="27" spans="1:41" x14ac:dyDescent="0.55000000000000004">
      <c r="A27" s="5"/>
      <c r="B27" s="5"/>
      <c r="C27" s="7"/>
      <c r="D27" s="8"/>
      <c r="E27" s="10"/>
      <c r="F27" s="12"/>
      <c r="G27" s="13"/>
      <c r="H27" s="13"/>
      <c r="I27" s="12"/>
      <c r="J27" s="12"/>
      <c r="K27" s="13"/>
      <c r="L27" s="14"/>
      <c r="M27" s="16"/>
      <c r="N27" s="11" cm="1">
        <f t="array" aca="1" ref="N27" ca="1">IF($A27="","",_xlfn.XLOOKUP($A27,INDEX(BondList,0,1),INDEX(BondList,0,2)))</f>
      </c>
      <c r="O27" s="3" cm="1">
        <f t="array" aca="1" ref="O27" ca="1">IF($A27="","",_xlfn.XLOOKUP($A27,INDEX(BondList,0,1),INDEX(BondList,0,3)))</f>
      </c>
      <c r="P27" s="11" cm="1">
        <f t="array" aca="1" ref="P27" ca="1">IF($A27="","",_xlfn.XLOOKUP($A27,INDEX(BondList,0,1),INDEX(BondList,0,4)))</f>
      </c>
      <c r="Q27" s="3" cm="1">
        <f t="array" aca="1" ref="Q27" ca="1">IF($A27="","",_xlfn.XLOOKUP($A27,INDEX(BondList,0,1),INDEX(BondList,0,5)))</f>
      </c>
      <c r="R27" cm="1">
        <f t="array" aca="1" ref="R27" ca="1">IF($A27="","",_xlfn.SWITCH($B27,"BW","Call","CC","Call","ITMBW","Call","TB","Put",NA()))</f>
      </c>
      <c r="S27" s="11">
        <f t="shared" ca="1" si="0"/>
      </c>
      <c r="T27" s="3">
        <f ca="1">IF($A27="","",WORKDAY(TradeDate,1,Holidays))</f>
      </c>
      <c r="U27" s="3">
        <f ca="1">IF($A27="","",WORKDAY($C27,$D27,Holidays))</f>
      </c>
      <c r="V27" s="17">
        <f ca="1">IF($A27="","",NETWORKDAYS(TradeDate,$C27-1,Holidays)/252)</f>
      </c>
      <c r="W27" s="11" cm="1">
        <f t="array" aca="1" ref="W27" ca="1">IF($A27="","",JGB_PRICE($N27,$S27,$T27,$O27))</f>
      </c>
      <c r="X27" s="17" cm="1">
        <f t="array" aca="1" ref="X27" ca="1">IF($A27="","",JGB_AI($N27,$T27,$O27))</f>
      </c>
      <c r="Y27" s="17" cm="1">
        <f t="array" aca="1" ref="Y27" ca="1">IF($A27="","",JGB_AI($N27,$U27,$O27))</f>
      </c>
      <c r="Z27" s="17" cm="1">
        <f t="array" aca="1" ref="Z27" ca="1">IF($A27="","",JGB_CARRY_COUPONS($N27,$O27,$T27,$U27,$F27))</f>
      </c>
      <c r="AA27" s="17">
        <f t="shared" ca="1" si="1"/>
      </c>
      <c r="AB27" s="17">
        <f t="shared" ca="1" si="2"/>
      </c>
      <c r="AC27" s="11">
        <f ca="1">IF($A27="","",INDEX(JgbForwardRisk($N27,$O27,$AA27,$U27),1,1))</f>
      </c>
      <c r="AD27" s="17">
        <f ca="1">IF($A27="","",INDEX(JgbForwardRisk($N27,$O27,$AA27,$U27),1,2))</f>
      </c>
      <c r="AE27" s="15">
        <f ca="1">IF($A27="","",INDEX(JgbForwardRisk($N27,$O27,$AA27,$U27),1,3))</f>
      </c>
      <c r="AF27" s="1" cm="1">
        <f t="array" aca="1" ref="AF27" ca="1">IF($A27="","",SwaptionVol(_xlfn.ANCHORARRAY($BA$3),TradeDate,$C27,$O27))</f>
      </c>
      <c r="AG27" s="1">
        <f t="shared" ca="1" si="3"/>
      </c>
      <c r="AH27" s="15">
        <f t="shared" ca="1" si="4"/>
      </c>
      <c r="AI27" s="18">
        <f t="shared" ca="1" si="5"/>
      </c>
      <c r="AJ27" cm="1">
        <f t="array" aca="1" ref="AJ27" ca="1">IF($A27="","",_xlfn.LET(_xlpm.n,COUNTA($H27:$K27),IF($B27="ITMBW",IF(_xlpm.n=0,"ITMBW","Error: ITMBW takes no strike input"),IF(_xlpm.n=1,_xlfn.XLOOKUP(TRUE,$H27:$K27&lt;&gt;"",{"Slide","Yield","Fwd price","Fwd offset"}),IF(_xlpm.n=0,"Error: enter one strike input","Error: enter only one strike input")))))</f>
      </c>
      <c r="AK27" s="11" cm="1">
        <f t="array" aca="1" ref="AK27" ca="1">IF($A27="","",IF($AJ27="Slide",JGB_PRICE($N27,$S27+$H27/100,$C27,$O27),IF($AJ27="Yield",JGB_PRICE($N27,$I27,$C27,$O27),IF($AJ27="Fwd price",$J27,IF($AJ27="Fwd offset",ROUNDDOWN(ROUND($AB27+$K27/100,9),3),IF($AJ27="ITMBW",ItmBuyWriteStrike($AB27,$W27,$AI27,$V27),NA()))))))</f>
      </c>
      <c r="AL27" s="11" cm="1">
        <f t="array" aca="1" ref="AL27" ca="1">IF($A27="","",JGB_YIELD($N27,$AK27,$U27,$O27))</f>
      </c>
      <c r="AM27" s="15" cm="1">
        <f t="array" aca="1" ref="AM27" ca="1">IF($A27="","",BlackPremium($R27,$AB27,$AK27,$AI27,$V27)*100)</f>
      </c>
      <c r="AN27" s="9">
        <f t="shared" ca="1" si="6"/>
      </c>
      <c r="AO27" s="11">
        <f t="shared" ca="1" si="7"/>
      </c>
    </row>
  </sheetData>
  <phoneticPr fontId="2"/>
  <dataValidations count="3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D8:D27" xr:uid="{A21BB52E-2AD1-4CF3-ADBE-EC6F9A6EC50A}">
      <formula1>"1,2"</formula1>
    </dataValidation>
    <dataValidation type="list" allowBlank="1" showInputMessage="1" showErrorMessage="1" sqref="B8:B27" xr:uid="{7B9A918B-542D-45B8-8FEC-40EBEE06E06B}">
      <formula1>"BW,CC,TB,ITMBW"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73EC-82AC-49F2-AD48-CA0EA5E9EA29}">
  <sheetPr codeName="Sheet2"/>
  <dimension ref="A1:G3"/>
  <sheetViews>
    <sheetView workbookViewId="0"/>
  </sheetViews>
  <sheetFormatPr defaultRowHeight="18" x14ac:dyDescent="0.55000000000000004"/>
  <cols>
    <col min="1" max="1" width="12.58203125" customWidth="1"/>
    <col min="2" max="2" width="12.58203125" style="11" customWidth="1"/>
    <col min="3" max="3" width="12.58203125" style="3" customWidth="1"/>
    <col min="4" max="4" width="12.58203125" style="11" customWidth="1"/>
    <col min="5" max="5" width="12.58203125" style="3" customWidth="1"/>
    <col min="6" max="7" width="12.58203125" customWidth="1"/>
  </cols>
  <sheetData>
    <row r="1" spans="1:7" x14ac:dyDescent="0.55000000000000004">
      <c r="A1" t="s">
        <v>42</v>
      </c>
    </row>
    <row r="2" spans="1:7" x14ac:dyDescent="0.55000000000000004">
      <c r="A2" s="2" t="s">
        <v>43</v>
      </c>
      <c r="B2" s="19" t="s">
        <v>18</v>
      </c>
      <c r="C2" s="20" t="s">
        <v>19</v>
      </c>
      <c r="D2" s="19" t="s">
        <v>20</v>
      </c>
      <c r="E2" s="20" t="s">
        <v>21</v>
      </c>
      <c r="F2" s="2" t="s">
        <v>44</v>
      </c>
      <c r="G2" s="2" t="s">
        <v>45</v>
      </c>
    </row>
    <row r="3" spans="1:7" x14ac:dyDescent="0.55000000000000004">
      <c r="A3" cm="1">
        <f t="array" aca="1" ref="A3" ca="1">JgbMaster(TradeDate)</f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DA92-6FED-47C6-AD2C-41E5944A0C69}">
  <sheetPr codeName="Sheet3"/>
  <dimension ref="A1:A3"/>
  <sheetViews>
    <sheetView workbookViewId="0"/>
  </sheetViews>
  <sheetFormatPr defaultRowHeight="18" x14ac:dyDescent="0.55000000000000004"/>
  <cols>
    <col min="1" max="1" width="12.58203125" style="3" customWidth="1"/>
  </cols>
  <sheetData>
    <row r="1" spans="1:1" x14ac:dyDescent="0.55000000000000004">
      <c r="A1" s="3" t="s">
        <v>46</v>
      </c>
    </row>
    <row r="2" spans="1:1" x14ac:dyDescent="0.55000000000000004">
      <c r="A2" s="20" t="s">
        <v>47</v>
      </c>
    </row>
    <row r="3" spans="1:1" x14ac:dyDescent="0.55000000000000004">
      <c r="A3" s="3" cm="1">
        <f t="array" aca="1" ref="A3" ca="1">JapanHolidays(DATE(YEAR(TradeDate)-1,1,1),DATE(YEAR(TradeDate)+21,12,31))</f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Option</vt:lpstr>
      <vt:lpstr>Bonds</vt:lpstr>
      <vt:lpstr>Holidays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2026-10-19T15:09:48Z</dcterms:modified>
</cp:coreProperties>
</file>