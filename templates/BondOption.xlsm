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xr:revisionPtr revIDLastSave="0" documentId="13_ncr:1_{94554ED3-76B1-4B2E-8BBC-D30E0BFB8277}" xr6:coauthVersionLast="47" xr6:coauthVersionMax="47" xr10:uidLastSave="{00000000-0000-0000-0000-000000000000}"/>
  <bookViews>
    <workbookView xWindow="2280" yWindow="2280" windowWidth="14400" windowHeight="8170" xr2:uid="{F109E07F-C2B9-41F3-853A-1EF4B605D85F}"/>
  </bookViews>
  <sheets>
    <sheet name="Option" sheetId="12" r:id="rId1"/>
    <sheet name="Bonds" sheetId="13" r:id="rId2"/>
    <sheet name="Holidays" sheetId="14" r:id="rId3"/>
  </sheets>
  <functionGroups builtInGroupCount="19"/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isImm" hidden="1" xlm="1">#NAME?</definedName>
    <definedName name="_xlpm.longS" hidden="1" xlm="1">#NAME?</definedName>
    <definedName name="_xlpm.m" hidden="1" xlm="1">#NAME?</definedName>
    <definedName name="_xlpm.n" hidden="1" xlm="1">#NAME?</definedName>
    <definedName name="_xlpm.p" hidden="1" xlm="1">#NAME?</definedName>
    <definedName name="_xlpm.pd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e" hidden="1" xlm="1">#NAME?</definedName>
    <definedName name="_xlpm.shortS" hidden="1" xlm="1">#NAME?</definedName>
    <definedName name="_xlpm.t" hidden="1" xlm="1">#NAME?</definedName>
    <definedName name="_xlpm.v" hidden="1" xlm="1">#NAME?</definedName>
    <definedName name="_xlpm.x" hidden="1" xlm="1">#NAME?</definedName>
    <definedName name="_xlpm.y" hidden="1" xlm="1">#NAME?</definedName>
    <definedName name="BondList">_xlfn.ANCHORARRAY(Bonds!$A$3)</definedName>
    <definedName name="Holidays">_xlfn.ANCHORARRAY(Holidays!$A$3)</definedName>
    <definedName name="JGB_AI">_xlfn.LAMBDA(_xlpm.c,_xlpm.d,_xlpm.m,_xlpm.c*(_xlpm.d-JGB_PREV_COUPON(_xlpm.d,_xlpm.m))/365)</definedName>
    <definedName name="JGB_CARRY_COUPONS">_xlfn.LAMBDA(_xlpm.c,_xlpm.m,_xlpm.s0,_xlpm.se,_xlpm.r,_xlfn.LET(_xlpm.pd,EDATE(_xlpm.m,-6*_xlfn.SEQUENCE(INT((_xlpm.m-_xlpm.s0)/181)+2,1,0)),SUM((_xlpm.s0&lt;_xlpm.pd)*(_xlpm.pd&lt;=_xlpm.se)*_xlpm.c/2*(1+_xlpm.r/100*(_xlpm.se-_xlpm.pd)/365))))</definedName>
    <definedName name="JGB_PREV_COUPON">_xlfn.LAMBDA(_xlpm.d,_xlpm.m,_xlfn.LET(_xlpm.pd,EDATE(_xlpm.m,-6*_xlfn.SEQUENCE(INT((_xlpm.m-_xlpm.d)/181)+2,1,0)),MAX(_xlfn._xlws.FILTER(_xlpm.pd,_xlpm.pd&lt;=_xlpm.d))))</definedName>
    <definedName name="JGB_PRICE">_xlfn.LAMBDA(_xlpm.c,_xlpm.y,_xlpm.a,_xlpm.m,_xlfn.LET(_xlpm.n,JGB_YEARS(_xlpm.a,_xlpm.m),ROUNDDOWN(ROUND(100*(_xlpm.c+100/_xlpm.n)/(_xlpm.y+100/_xlpm.n),9),3)))</definedName>
    <definedName name="JGB_YEARS">_xlfn.LAMBDA(_xlpm.a,_xlpm.m,_xlfn.LET(_xlpm.y,_xlfn.SEQUENCE(YEAR(_xlpm.m)-YEAR(_xlpm.a)+1,1,YEAR(_xlpm.a)),_xlpm.d,DATE(_xlpm.y,2,29),(_xlpm.m-_xlpm.a-SUM((MONTH(_xlpm.d)=2)*(_xlpm.d&gt;_xlpm.a)*(_xlpm.d&lt;=_xlpm.m)))/365))</definedName>
    <definedName name="JGB_YIELD">_xlfn.LAMBDA(_xlpm.c,_xlpm.p,_xlpm.a,_xlpm.m,_xlfn.LET(_xlpm.n,JGB_YEARS(_xlpm.a,_xlpm.m),ROUNDDOWN(ROUND((_xlpm.c+(100-_xlpm.p)/_xlpm.n)/_xlpm.p*100,9),3)))</definedName>
    <definedName name="RepoBid">Option!$E$3</definedName>
    <definedName name="RepoOffer">Option!$E$4</definedName>
    <definedName name="SchemeTable">Option!$G$2:$I$5</definedName>
    <definedName name="TradeDate">Option!$B$4</definedName>
    <definedName name="VolDays">Option!$B$5</definedName>
  </definedNames>
  <calcPr fullCalcOnLoad="1" calcId="191029" calcMode="manual" calcCompleted="0" calcOnSave="0"/>
  <extLst>
    <ext xmlns:x14="http://schemas.microsoft.com/office/spreadsheetml/2009/9/main" uri="{8193D73E-4604-4355-AFF4-8A2333D13BE4}">
      <x14:definedNames>
        <x14:definedName name="PcaActua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ActualInfo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PcaEigen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Model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caWindow">
          <x14:argumentDescriptions count="7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</x14:argumentDescriptions>
        </x14:definedName>
        <x14:definedName name="PublishLiv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8" i="12" l="1" a="1"/>
  <c r="BA8" i="12" a="1"/>
  <c r="AV8" i="12" a="1"/>
  <c r="AT8" i="12"/>
  <c r="AT9" i="12"/>
  <c r="AT10" i="12"/>
  <c r="AT11" i="12"/>
  <c r="AT12" i="12"/>
  <c r="AT13" i="12"/>
  <c r="AT14" i="12"/>
  <c r="AT15" i="12"/>
  <c r="AT16" i="12"/>
  <c r="AT17" i="12"/>
  <c r="AT18" i="12"/>
  <c r="AT19" i="12"/>
  <c r="AT20" i="12"/>
  <c r="AT21" i="12"/>
  <c r="AT22" i="12"/>
  <c r="AT23" i="12"/>
  <c r="AT24" i="12"/>
  <c r="AT25" i="12"/>
  <c r="AT26" i="12"/>
  <c r="AT27" i="12"/>
  <c r="AT28" i="12"/>
  <c r="AT29" i="12"/>
  <c r="AT30" i="12"/>
  <c r="AT31" i="12"/>
  <c r="AT32" i="12"/>
  <c r="AT33" i="12"/>
  <c r="AT34" i="12"/>
  <c r="AT35" i="12"/>
  <c r="AT36" i="12"/>
  <c r="AT37" i="12"/>
  <c r="AT38" i="12"/>
  <c r="AT39" i="12"/>
  <c r="AT40" i="12"/>
  <c r="AT41" i="12"/>
  <c r="AT42" i="12"/>
  <c r="AT43" i="12"/>
  <c r="AT44" i="12"/>
  <c r="AT45" i="12"/>
  <c r="AT46" i="12"/>
  <c r="AT47" i="12"/>
  <c r="AT48" i="12"/>
  <c r="AT49" i="12"/>
  <c r="AT50" i="12"/>
  <c r="AT51" i="12"/>
  <c r="AT52" i="12"/>
  <c r="AT53" i="12"/>
  <c r="AT54" i="12"/>
  <c r="AT55" i="12"/>
  <c r="AT56" i="12"/>
  <c r="AT57" i="12"/>
  <c r="AT58" i="12"/>
  <c r="AT59" i="12"/>
  <c r="AT60" i="12"/>
  <c r="AT61" i="12"/>
  <c r="AT62" i="12"/>
  <c r="AT63" i="12"/>
  <c r="AT64" i="12"/>
  <c r="AT65" i="12"/>
  <c r="AT66" i="12"/>
  <c r="AT67" i="12"/>
  <c r="AT68" i="12"/>
  <c r="AT69" i="12"/>
  <c r="AT70" i="12"/>
  <c r="AT71" i="12"/>
  <c r="AT72" i="12"/>
  <c r="AT73" i="12"/>
  <c r="AT74" i="12"/>
  <c r="AT75" i="12"/>
  <c r="AT76" i="12"/>
  <c r="AT77" i="12"/>
  <c r="AT78" i="12"/>
  <c r="AT79" i="12"/>
  <c r="AT80" i="12"/>
  <c r="AT81" i="12"/>
  <c r="AT82" i="12"/>
  <c r="AT83" i="12"/>
  <c r="AT84" i="12"/>
  <c r="AT85" i="12"/>
  <c r="AT86" i="12"/>
  <c r="AT87" i="12"/>
  <c r="AT88" i="12"/>
  <c r="AT89" i="12"/>
  <c r="AT90" i="12"/>
  <c r="AT91" i="12"/>
  <c r="AT92" i="12"/>
  <c r="AT93" i="12"/>
  <c r="AT94" i="12"/>
  <c r="AT95" i="12"/>
  <c r="AT96" i="12"/>
  <c r="AT97" i="12"/>
  <c r="AT98" i="12"/>
  <c r="AT99" i="12"/>
  <c r="AT100" i="12"/>
  <c r="AT101" i="12"/>
  <c r="AT102" i="12"/>
  <c r="AT103" i="12"/>
  <c r="AT104" i="12"/>
  <c r="AT105" i="12"/>
  <c r="AT106" i="12"/>
  <c r="AT107" i="12"/>
  <c r="AS8" i="12"/>
  <c r="AS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R8" i="12"/>
  <c r="AR9" i="12"/>
  <c r="AR10" i="12"/>
  <c r="AR11" i="12"/>
  <c r="AR12" i="12"/>
  <c r="AR13" i="12"/>
  <c r="AR14" i="12"/>
  <c r="AR15" i="12"/>
  <c r="AR16" i="12"/>
  <c r="AR17" i="12"/>
  <c r="AR18" i="12"/>
  <c r="AR19" i="12"/>
  <c r="AR20" i="12"/>
  <c r="AR21" i="12"/>
  <c r="AR22" i="12"/>
  <c r="AR23" i="12"/>
  <c r="AR24" i="12"/>
  <c r="AR25" i="12"/>
  <c r="AR26" i="12"/>
  <c r="AR27" i="12"/>
  <c r="AR28" i="12"/>
  <c r="AR29" i="12"/>
  <c r="AR30" i="12"/>
  <c r="AR31" i="12"/>
  <c r="AR32" i="12"/>
  <c r="AR33" i="12"/>
  <c r="AR34" i="12"/>
  <c r="AR35" i="12"/>
  <c r="AR36" i="12"/>
  <c r="AR37" i="12"/>
  <c r="AR38" i="12"/>
  <c r="AR39" i="12"/>
  <c r="AR40" i="12"/>
  <c r="AR41" i="12"/>
  <c r="AR42" i="12"/>
  <c r="AR43" i="12"/>
  <c r="AR44" i="12"/>
  <c r="AR45" i="12"/>
  <c r="AR46" i="12"/>
  <c r="AR47" i="12"/>
  <c r="AR48" i="12"/>
  <c r="AR49" i="12"/>
  <c r="AR50" i="12"/>
  <c r="AR51" i="12"/>
  <c r="AR52" i="12"/>
  <c r="AR53" i="12"/>
  <c r="AR54" i="12"/>
  <c r="AR55" i="12"/>
  <c r="AR56" i="12"/>
  <c r="AR57" i="12"/>
  <c r="AR58" i="12"/>
  <c r="AR59" i="12"/>
  <c r="AR60" i="12"/>
  <c r="AR61" i="12"/>
  <c r="AR62" i="12"/>
  <c r="AR63" i="12"/>
  <c r="AR64" i="12"/>
  <c r="AR65" i="12"/>
  <c r="AR66" i="12"/>
  <c r="AR67" i="12"/>
  <c r="AR68" i="12"/>
  <c r="AR69" i="12"/>
  <c r="AR70" i="12"/>
  <c r="AR71" i="12"/>
  <c r="AR72" i="12"/>
  <c r="AR73" i="12"/>
  <c r="AR74" i="12"/>
  <c r="AR75" i="12"/>
  <c r="AR76" i="12"/>
  <c r="AR77" i="12"/>
  <c r="AR78" i="12"/>
  <c r="AR79" i="12"/>
  <c r="AR80" i="12"/>
  <c r="AR81" i="12"/>
  <c r="AR82" i="12"/>
  <c r="AR83" i="12"/>
  <c r="AR84" i="12"/>
  <c r="AR85" i="12"/>
  <c r="AR86" i="12"/>
  <c r="AR87" i="12"/>
  <c r="AR88" i="12"/>
  <c r="AR89" i="12"/>
  <c r="AR90" i="12"/>
  <c r="AR91" i="12"/>
  <c r="AR92" i="12"/>
  <c r="AR93" i="12"/>
  <c r="AR94" i="12"/>
  <c r="AR95" i="12"/>
  <c r="AR96" i="12"/>
  <c r="AR97" i="12"/>
  <c r="AR98" i="12"/>
  <c r="AR99" i="12"/>
  <c r="AR100" i="12"/>
  <c r="AR101" i="12"/>
  <c r="AR102" i="12"/>
  <c r="AR103" i="12"/>
  <c r="AR104" i="12"/>
  <c r="AR105" i="12"/>
  <c r="AR106" i="12"/>
  <c r="AR107" i="12"/>
  <c r="AQ8" i="12"/>
  <c r="AQ9" i="12"/>
  <c r="AQ10" i="12"/>
  <c r="AQ11" i="12"/>
  <c r="AQ12" i="12"/>
  <c r="AQ13" i="12"/>
  <c r="AQ14" i="12"/>
  <c r="AQ15" i="12"/>
  <c r="AQ16" i="12"/>
  <c r="AQ17" i="12"/>
  <c r="AQ18" i="12"/>
  <c r="AQ19" i="12"/>
  <c r="AQ20" i="12"/>
  <c r="AQ21" i="12"/>
  <c r="AQ22" i="12"/>
  <c r="AQ23" i="12"/>
  <c r="AQ24" i="12"/>
  <c r="AQ25" i="12"/>
  <c r="AQ26" i="12"/>
  <c r="AQ27" i="12"/>
  <c r="AQ28" i="12"/>
  <c r="AQ29" i="12"/>
  <c r="AQ30" i="12"/>
  <c r="AQ31" i="12"/>
  <c r="AQ32" i="12"/>
  <c r="AQ33" i="12"/>
  <c r="AQ34" i="12"/>
  <c r="AQ35" i="12"/>
  <c r="AQ36" i="12"/>
  <c r="AQ37" i="12"/>
  <c r="AQ38" i="12"/>
  <c r="AQ39" i="12"/>
  <c r="AQ40" i="12"/>
  <c r="AQ41" i="12"/>
  <c r="AQ42" i="12"/>
  <c r="AQ43" i="12"/>
  <c r="AQ44" i="12"/>
  <c r="AQ45" i="12"/>
  <c r="AQ46" i="12"/>
  <c r="AQ47" i="12"/>
  <c r="AQ48" i="12"/>
  <c r="AQ49" i="12"/>
  <c r="AQ50" i="12"/>
  <c r="AQ51" i="12"/>
  <c r="AQ52" i="12"/>
  <c r="AQ53" i="12"/>
  <c r="AQ54" i="12"/>
  <c r="AQ55" i="12"/>
  <c r="AQ56" i="12"/>
  <c r="AQ57" i="12"/>
  <c r="AQ58" i="12"/>
  <c r="AQ59" i="12"/>
  <c r="AQ60" i="12"/>
  <c r="AQ61" i="12"/>
  <c r="AQ62" i="12"/>
  <c r="AQ63" i="12"/>
  <c r="AQ64" i="12"/>
  <c r="AQ65" i="12"/>
  <c r="AQ66" i="12"/>
  <c r="AQ67" i="12"/>
  <c r="AQ68" i="12"/>
  <c r="AQ69" i="12"/>
  <c r="AQ70" i="12"/>
  <c r="AQ71" i="12"/>
  <c r="AQ72" i="12"/>
  <c r="AQ73" i="12"/>
  <c r="AQ74" i="12"/>
  <c r="AQ75" i="12"/>
  <c r="AQ76" i="12"/>
  <c r="AQ77" i="12"/>
  <c r="AQ78" i="12"/>
  <c r="AQ79" i="12"/>
  <c r="AQ80" i="12"/>
  <c r="AQ81" i="12"/>
  <c r="AQ82" i="12"/>
  <c r="AQ83" i="12"/>
  <c r="AQ84" i="12"/>
  <c r="AQ85" i="12"/>
  <c r="AQ86" i="12"/>
  <c r="AQ87" i="12"/>
  <c r="AQ88" i="12"/>
  <c r="AQ89" i="12"/>
  <c r="AQ90" i="12"/>
  <c r="AQ91" i="12"/>
  <c r="AQ92" i="12"/>
  <c r="AQ93" i="12"/>
  <c r="AQ94" i="12"/>
  <c r="AQ95" i="12"/>
  <c r="AQ96" i="12"/>
  <c r="AQ97" i="12"/>
  <c r="AQ98" i="12"/>
  <c r="AQ99" i="12"/>
  <c r="AQ100" i="12"/>
  <c r="AQ101" i="12"/>
  <c r="AQ102" i="12"/>
  <c r="AQ103" i="12"/>
  <c r="AQ104" i="12"/>
  <c r="AQ105" i="12"/>
  <c r="AQ106" i="12"/>
  <c r="AQ107" i="12"/>
  <c r="AP8" i="12"/>
  <c r="AP9" i="12"/>
  <c r="AP10" i="12"/>
  <c r="AP11" i="12"/>
  <c r="AP12" i="12"/>
  <c r="AP13" i="12"/>
  <c r="AP14" i="12"/>
  <c r="AP15" i="12"/>
  <c r="AP16" i="12"/>
  <c r="AP17" i="12"/>
  <c r="AP18" i="12"/>
  <c r="AP19" i="12"/>
  <c r="AP20" i="12"/>
  <c r="AP21" i="12"/>
  <c r="AP22" i="12"/>
  <c r="AP23" i="12"/>
  <c r="AP24" i="12"/>
  <c r="AP25" i="12"/>
  <c r="AP26" i="12"/>
  <c r="AP27" i="12"/>
  <c r="AP28" i="12"/>
  <c r="AP29" i="12"/>
  <c r="AP30" i="12"/>
  <c r="AP31" i="12"/>
  <c r="AP32" i="12"/>
  <c r="AP33" i="12"/>
  <c r="AP34" i="12"/>
  <c r="AP35" i="12"/>
  <c r="AP36" i="12"/>
  <c r="AP37" i="12"/>
  <c r="AP38" i="12"/>
  <c r="AP39" i="12"/>
  <c r="AP40" i="12"/>
  <c r="AP41" i="12"/>
  <c r="AP42" i="12"/>
  <c r="AP43" i="12"/>
  <c r="AP44" i="12"/>
  <c r="AP45" i="12"/>
  <c r="AP46" i="12"/>
  <c r="AP47" i="12"/>
  <c r="AP48" i="12"/>
  <c r="AP49" i="12"/>
  <c r="AP50" i="12"/>
  <c r="AP51" i="12"/>
  <c r="AP52" i="12"/>
  <c r="AP53" i="12"/>
  <c r="AP54" i="12"/>
  <c r="AP55" i="12"/>
  <c r="AP56" i="12"/>
  <c r="AP57" i="12"/>
  <c r="AP58" i="12"/>
  <c r="AP59" i="12"/>
  <c r="AP60" i="12"/>
  <c r="AP61" i="12"/>
  <c r="AP62" i="12"/>
  <c r="AP63" i="12"/>
  <c r="AP64" i="12"/>
  <c r="AP65" i="12"/>
  <c r="AP66" i="12"/>
  <c r="AP67" i="12"/>
  <c r="AP68" i="12"/>
  <c r="AP69" i="12"/>
  <c r="AP70" i="12"/>
  <c r="AP71" i="12"/>
  <c r="AP72" i="12"/>
  <c r="AP73" i="12"/>
  <c r="AP74" i="12"/>
  <c r="AP75" i="12"/>
  <c r="AP76" i="12"/>
  <c r="AP77" i="12"/>
  <c r="AP78" i="12"/>
  <c r="AP79" i="12"/>
  <c r="AP80" i="12"/>
  <c r="AP81" i="12"/>
  <c r="AP82" i="12"/>
  <c r="AP83" i="12"/>
  <c r="AP84" i="12"/>
  <c r="AP85" i="12"/>
  <c r="AP86" i="12"/>
  <c r="AP87" i="12"/>
  <c r="AP88" i="12"/>
  <c r="AP89" i="12"/>
  <c r="AP90" i="12"/>
  <c r="AP91" i="12"/>
  <c r="AP92" i="12"/>
  <c r="AP93" i="12"/>
  <c r="AP94" i="12"/>
  <c r="AP95" i="12"/>
  <c r="AP96" i="12"/>
  <c r="AP97" i="12"/>
  <c r="AP98" i="12"/>
  <c r="AP99" i="12"/>
  <c r="AP100" i="12"/>
  <c r="AP101" i="12"/>
  <c r="AP102" i="12"/>
  <c r="AP103" i="12"/>
  <c r="AP104" i="12"/>
  <c r="AP105" i="12"/>
  <c r="AP106" i="12"/>
  <c r="AP107" i="12"/>
  <c r="AO8" i="12" a="1"/>
  <c r="AO9" i="12" a="1"/>
  <c r="AO10" i="12" a="1"/>
  <c r="AO11" i="12" a="1"/>
  <c r="AO12" i="12" a="1"/>
  <c r="AO13" i="12" a="1"/>
  <c r="AO14" i="12" a="1"/>
  <c r="AO15" i="12" a="1"/>
  <c r="AO16" i="12" a="1"/>
  <c r="AO17" i="12" a="1"/>
  <c r="AO18" i="12" a="1"/>
  <c r="AO19" i="12" a="1"/>
  <c r="AO20" i="12" a="1"/>
  <c r="AO21" i="12" a="1"/>
  <c r="AO22" i="12" a="1"/>
  <c r="AO23" i="12" a="1"/>
  <c r="AO24" i="12" a="1"/>
  <c r="AO25" i="12" a="1"/>
  <c r="AO26" i="12" a="1"/>
  <c r="AO27" i="12" a="1"/>
  <c r="AO28" i="12" a="1"/>
  <c r="AO29" i="12" a="1"/>
  <c r="AO30" i="12" a="1"/>
  <c r="AO31" i="12" a="1"/>
  <c r="AO32" i="12" a="1"/>
  <c r="AO33" i="12" a="1"/>
  <c r="AO34" i="12" a="1"/>
  <c r="AO35" i="12" a="1"/>
  <c r="AO36" i="12" a="1"/>
  <c r="AO37" i="12" a="1"/>
  <c r="AO38" i="12" a="1"/>
  <c r="AO39" i="12" a="1"/>
  <c r="AO40" i="12" a="1"/>
  <c r="AO41" i="12" a="1"/>
  <c r="AO42" i="12" a="1"/>
  <c r="AO43" i="12" a="1"/>
  <c r="AO44" i="12" a="1"/>
  <c r="AO45" i="12" a="1"/>
  <c r="AO46" i="12" a="1"/>
  <c r="AO47" i="12" a="1"/>
  <c r="AO48" i="12" a="1"/>
  <c r="AO49" i="12" a="1"/>
  <c r="AO50" i="12" a="1"/>
  <c r="AO51" i="12" a="1"/>
  <c r="AO52" i="12" a="1"/>
  <c r="AO53" i="12" a="1"/>
  <c r="AO54" i="12" a="1"/>
  <c r="AO55" i="12" a="1"/>
  <c r="AO56" i="12" a="1"/>
  <c r="AO57" i="12" a="1"/>
  <c r="AO58" i="12" a="1"/>
  <c r="AO59" i="12" a="1"/>
  <c r="AO60" i="12" a="1"/>
  <c r="AO61" i="12" a="1"/>
  <c r="AO62" i="12" a="1"/>
  <c r="AO63" i="12" a="1"/>
  <c r="AO64" i="12" a="1"/>
  <c r="AO65" i="12" a="1"/>
  <c r="AO66" i="12" a="1"/>
  <c r="AO67" i="12" a="1"/>
  <c r="AO68" i="12" a="1"/>
  <c r="AO69" i="12" a="1"/>
  <c r="AO70" i="12" a="1"/>
  <c r="AO71" i="12" a="1"/>
  <c r="AO72" i="12" a="1"/>
  <c r="AO73" i="12" a="1"/>
  <c r="AO74" i="12" a="1"/>
  <c r="AO75" i="12" a="1"/>
  <c r="AO76" i="12" a="1"/>
  <c r="AO77" i="12" a="1"/>
  <c r="AO78" i="12" a="1"/>
  <c r="AO79" i="12" a="1"/>
  <c r="AO80" i="12" a="1"/>
  <c r="AO81" i="12" a="1"/>
  <c r="AO82" i="12" a="1"/>
  <c r="AO83" i="12" a="1"/>
  <c r="AO84" i="12" a="1"/>
  <c r="AO85" i="12" a="1"/>
  <c r="AO86" i="12" a="1"/>
  <c r="AO87" i="12" a="1"/>
  <c r="AO88" i="12" a="1"/>
  <c r="AO89" i="12" a="1"/>
  <c r="AO90" i="12" a="1"/>
  <c r="AO91" i="12" a="1"/>
  <c r="AO92" i="12" a="1"/>
  <c r="AO93" i="12" a="1"/>
  <c r="AO94" i="12" a="1"/>
  <c r="AO95" i="12" a="1"/>
  <c r="AO96" i="12" a="1"/>
  <c r="AO97" i="12" a="1"/>
  <c r="AO98" i="12" a="1"/>
  <c r="AO99" i="12" a="1"/>
  <c r="AO100" i="12" a="1"/>
  <c r="AO101" i="12" a="1"/>
  <c r="AO102" i="12" a="1"/>
  <c r="AO103" i="12" a="1"/>
  <c r="AO104" i="12" a="1"/>
  <c r="AO105" i="12" a="1"/>
  <c r="AO106" i="12" a="1"/>
  <c r="AO107" i="12" a="1"/>
  <c r="AN8" i="12" a="1"/>
  <c r="AN9" i="12" a="1"/>
  <c r="AN10" i="12" a="1"/>
  <c r="AN11" i="12" a="1"/>
  <c r="AN12" i="12" a="1"/>
  <c r="AN13" i="12" a="1"/>
  <c r="AN14" i="12" a="1"/>
  <c r="AN15" i="12" a="1"/>
  <c r="AN16" i="12" a="1"/>
  <c r="AN17" i="12" a="1"/>
  <c r="AN18" i="12" a="1"/>
  <c r="AN19" i="12" a="1"/>
  <c r="AN20" i="12" a="1"/>
  <c r="AN21" i="12" a="1"/>
  <c r="AN22" i="12" a="1"/>
  <c r="AN23" i="12" a="1"/>
  <c r="AN24" i="12" a="1"/>
  <c r="AN25" i="12" a="1"/>
  <c r="AN26" i="12" a="1"/>
  <c r="AN27" i="12" a="1"/>
  <c r="AN28" i="12" a="1"/>
  <c r="AN29" i="12" a="1"/>
  <c r="AN30" i="12" a="1"/>
  <c r="AN31" i="12" a="1"/>
  <c r="AN32" i="12" a="1"/>
  <c r="AN33" i="12" a="1"/>
  <c r="AN34" i="12" a="1"/>
  <c r="AN35" i="12" a="1"/>
  <c r="AN36" i="12" a="1"/>
  <c r="AN37" i="12" a="1"/>
  <c r="AN38" i="12" a="1"/>
  <c r="AN39" i="12" a="1"/>
  <c r="AN40" i="12" a="1"/>
  <c r="AN41" i="12" a="1"/>
  <c r="AN42" i="12" a="1"/>
  <c r="AN43" i="12" a="1"/>
  <c r="AN44" i="12" a="1"/>
  <c r="AN45" i="12" a="1"/>
  <c r="AN46" i="12" a="1"/>
  <c r="AN47" i="12" a="1"/>
  <c r="AN48" i="12" a="1"/>
  <c r="AN49" i="12" a="1"/>
  <c r="AN50" i="12" a="1"/>
  <c r="AN51" i="12" a="1"/>
  <c r="AN52" i="12" a="1"/>
  <c r="AN53" i="12" a="1"/>
  <c r="AN54" i="12" a="1"/>
  <c r="AN55" i="12" a="1"/>
  <c r="AN56" i="12" a="1"/>
  <c r="AN57" i="12" a="1"/>
  <c r="AN58" i="12" a="1"/>
  <c r="AN59" i="12" a="1"/>
  <c r="AN60" i="12" a="1"/>
  <c r="AN61" i="12" a="1"/>
  <c r="AN62" i="12" a="1"/>
  <c r="AN63" i="12" a="1"/>
  <c r="AN64" i="12" a="1"/>
  <c r="AN65" i="12" a="1"/>
  <c r="AN66" i="12" a="1"/>
  <c r="AN67" i="12" a="1"/>
  <c r="AN68" i="12" a="1"/>
  <c r="AN69" i="12" a="1"/>
  <c r="AN70" i="12" a="1"/>
  <c r="AN71" i="12" a="1"/>
  <c r="AN72" i="12" a="1"/>
  <c r="AN73" i="12" a="1"/>
  <c r="AN74" i="12" a="1"/>
  <c r="AN75" i="12" a="1"/>
  <c r="AN76" i="12" a="1"/>
  <c r="AN77" i="12" a="1"/>
  <c r="AN78" i="12" a="1"/>
  <c r="AN79" i="12" a="1"/>
  <c r="AN80" i="12" a="1"/>
  <c r="AN81" i="12" a="1"/>
  <c r="AN82" i="12" a="1"/>
  <c r="AN83" i="12" a="1"/>
  <c r="AN84" i="12" a="1"/>
  <c r="AN85" i="12" a="1"/>
  <c r="AN86" i="12" a="1"/>
  <c r="AN87" i="12" a="1"/>
  <c r="AN88" i="12" a="1"/>
  <c r="AN89" i="12" a="1"/>
  <c r="AN90" i="12" a="1"/>
  <c r="AN91" i="12" a="1"/>
  <c r="AN92" i="12" a="1"/>
  <c r="AN93" i="12" a="1"/>
  <c r="AN94" i="12" a="1"/>
  <c r="AN95" i="12" a="1"/>
  <c r="AN96" i="12" a="1"/>
  <c r="AN97" i="12" a="1"/>
  <c r="AN98" i="12" a="1"/>
  <c r="AN99" i="12" a="1"/>
  <c r="AN100" i="12" a="1"/>
  <c r="AN101" i="12" a="1"/>
  <c r="AN102" i="12" a="1"/>
  <c r="AN103" i="12" a="1"/>
  <c r="AN104" i="12" a="1"/>
  <c r="AN105" i="12" a="1"/>
  <c r="AN106" i="12" a="1"/>
  <c r="AN107" i="12" a="1"/>
  <c r="AM8" i="12" a="1"/>
  <c r="AM9" i="12" a="1"/>
  <c r="AM10" i="12" a="1"/>
  <c r="AM11" i="12" a="1"/>
  <c r="AM12" i="12" a="1"/>
  <c r="AM13" i="12" a="1"/>
  <c r="AM14" i="12" a="1"/>
  <c r="AM15" i="12" a="1"/>
  <c r="AM16" i="12" a="1"/>
  <c r="AM17" i="12" a="1"/>
  <c r="AM18" i="12" a="1"/>
  <c r="AM19" i="12" a="1"/>
  <c r="AM20" i="12" a="1"/>
  <c r="AM21" i="12" a="1"/>
  <c r="AM22" i="12" a="1"/>
  <c r="AM23" i="12" a="1"/>
  <c r="AM24" i="12" a="1"/>
  <c r="AM25" i="12" a="1"/>
  <c r="AM26" i="12" a="1"/>
  <c r="AM27" i="12" a="1"/>
  <c r="AM28" i="12" a="1"/>
  <c r="AM29" i="12" a="1"/>
  <c r="AM30" i="12" a="1"/>
  <c r="AM31" i="12" a="1"/>
  <c r="AM32" i="12" a="1"/>
  <c r="AM33" i="12" a="1"/>
  <c r="AM34" i="12" a="1"/>
  <c r="AM35" i="12" a="1"/>
  <c r="AM36" i="12" a="1"/>
  <c r="AM37" i="12" a="1"/>
  <c r="AM38" i="12" a="1"/>
  <c r="AM39" i="12" a="1"/>
  <c r="AM40" i="12" a="1"/>
  <c r="AM41" i="12" a="1"/>
  <c r="AM42" i="12" a="1"/>
  <c r="AM43" i="12" a="1"/>
  <c r="AM44" i="12" a="1"/>
  <c r="AM45" i="12" a="1"/>
  <c r="AM46" i="12" a="1"/>
  <c r="AM47" i="12" a="1"/>
  <c r="AM48" i="12" a="1"/>
  <c r="AM49" i="12" a="1"/>
  <c r="AM50" i="12" a="1"/>
  <c r="AM51" i="12" a="1"/>
  <c r="AM52" i="12" a="1"/>
  <c r="AM53" i="12" a="1"/>
  <c r="AM54" i="12" a="1"/>
  <c r="AM55" i="12" a="1"/>
  <c r="AM56" i="12" a="1"/>
  <c r="AM57" i="12" a="1"/>
  <c r="AM58" i="12" a="1"/>
  <c r="AM59" i="12" a="1"/>
  <c r="AM60" i="12" a="1"/>
  <c r="AM61" i="12" a="1"/>
  <c r="AM62" i="12" a="1"/>
  <c r="AM63" i="12" a="1"/>
  <c r="AM64" i="12" a="1"/>
  <c r="AM65" i="12" a="1"/>
  <c r="AM66" i="12" a="1"/>
  <c r="AM67" i="12" a="1"/>
  <c r="AM68" i="12" a="1"/>
  <c r="AM69" i="12" a="1"/>
  <c r="AM70" i="12" a="1"/>
  <c r="AM71" i="12" a="1"/>
  <c r="AM72" i="12" a="1"/>
  <c r="AM73" i="12" a="1"/>
  <c r="AM74" i="12" a="1"/>
  <c r="AM75" i="12" a="1"/>
  <c r="AM76" i="12" a="1"/>
  <c r="AM77" i="12" a="1"/>
  <c r="AM78" i="12" a="1"/>
  <c r="AM79" i="12" a="1"/>
  <c r="AM80" i="12" a="1"/>
  <c r="AM81" i="12" a="1"/>
  <c r="AM82" i="12" a="1"/>
  <c r="AM83" i="12" a="1"/>
  <c r="AM84" i="12" a="1"/>
  <c r="AM85" i="12" a="1"/>
  <c r="AM86" i="12" a="1"/>
  <c r="AM87" i="12" a="1"/>
  <c r="AM88" i="12" a="1"/>
  <c r="AM89" i="12" a="1"/>
  <c r="AM90" i="12" a="1"/>
  <c r="AM91" i="12" a="1"/>
  <c r="AM92" i="12" a="1"/>
  <c r="AM93" i="12" a="1"/>
  <c r="AM94" i="12" a="1"/>
  <c r="AM95" i="12" a="1"/>
  <c r="AM96" i="12" a="1"/>
  <c r="AM97" i="12" a="1"/>
  <c r="AM98" i="12" a="1"/>
  <c r="AM99" i="12" a="1"/>
  <c r="AM100" i="12" a="1"/>
  <c r="AM101" i="12" a="1"/>
  <c r="AM102" i="12" a="1"/>
  <c r="AM103" i="12" a="1"/>
  <c r="AM104" i="12" a="1"/>
  <c r="AM105" i="12" a="1"/>
  <c r="AM106" i="12" a="1"/>
  <c r="AM107" i="12" a="1"/>
  <c r="AL8" i="12"/>
  <c r="AL9" i="12"/>
  <c r="AL10" i="12"/>
  <c r="AL11" i="12"/>
  <c r="AL12" i="12"/>
  <c r="AL13" i="12"/>
  <c r="AL14" i="12"/>
  <c r="AL15" i="12"/>
  <c r="AL16" i="12"/>
  <c r="AL17" i="12"/>
  <c r="AL18" i="12"/>
  <c r="AL19" i="12"/>
  <c r="AL20" i="12"/>
  <c r="AL21" i="12"/>
  <c r="AL22" i="12"/>
  <c r="AL23" i="12"/>
  <c r="AL24" i="12"/>
  <c r="AL25" i="12"/>
  <c r="AL26" i="12"/>
  <c r="AL27" i="12"/>
  <c r="AL28" i="12"/>
  <c r="AL29" i="12"/>
  <c r="AL30" i="12"/>
  <c r="AL31" i="12"/>
  <c r="AL32" i="12"/>
  <c r="AL33" i="12"/>
  <c r="AL34" i="12"/>
  <c r="AL35" i="12"/>
  <c r="AL36" i="12"/>
  <c r="AL37" i="12"/>
  <c r="AL38" i="12"/>
  <c r="AL39" i="12"/>
  <c r="AL40" i="12"/>
  <c r="AL41" i="12"/>
  <c r="AL42" i="12"/>
  <c r="AL43" i="12"/>
  <c r="AL44" i="12"/>
  <c r="AL45" i="12"/>
  <c r="AL46" i="12"/>
  <c r="AL47" i="12"/>
  <c r="AL48" i="12"/>
  <c r="AL49" i="12"/>
  <c r="AL50" i="12"/>
  <c r="AL51" i="12"/>
  <c r="AL52" i="12"/>
  <c r="AL53" i="12"/>
  <c r="AL54" i="12"/>
  <c r="AL55" i="12"/>
  <c r="AL56" i="12"/>
  <c r="AL57" i="12"/>
  <c r="AL58" i="12"/>
  <c r="AL59" i="12"/>
  <c r="AL60" i="12"/>
  <c r="AL61" i="12"/>
  <c r="AL62" i="12"/>
  <c r="AL63" i="12"/>
  <c r="AL64" i="12"/>
  <c r="AL65" i="12"/>
  <c r="AL66" i="12"/>
  <c r="AL67" i="12"/>
  <c r="AL68" i="12"/>
  <c r="AL69" i="12"/>
  <c r="AL70" i="12"/>
  <c r="AL71" i="12"/>
  <c r="AL72" i="12"/>
  <c r="AL73" i="12"/>
  <c r="AL74" i="12"/>
  <c r="AL75" i="12"/>
  <c r="AL76" i="12"/>
  <c r="AL77" i="12"/>
  <c r="AL78" i="12"/>
  <c r="AL79" i="12"/>
  <c r="AL80" i="12"/>
  <c r="AL81" i="12"/>
  <c r="AL82" i="12"/>
  <c r="AL83" i="12"/>
  <c r="AL84" i="12"/>
  <c r="AL85" i="12"/>
  <c r="AL86" i="12"/>
  <c r="AL87" i="12"/>
  <c r="AL88" i="12"/>
  <c r="AL89" i="12"/>
  <c r="AL90" i="12"/>
  <c r="AL91" i="12"/>
  <c r="AL92" i="12"/>
  <c r="AL93" i="12"/>
  <c r="AL94" i="12"/>
  <c r="AL95" i="12"/>
  <c r="AL96" i="12"/>
  <c r="AL97" i="12"/>
  <c r="AL98" i="12"/>
  <c r="AL99" i="12"/>
  <c r="AL100" i="12"/>
  <c r="AL101" i="12"/>
  <c r="AL102" i="12"/>
  <c r="AL103" i="12"/>
  <c r="AL104" i="12"/>
  <c r="AL105" i="12"/>
  <c r="AL106" i="12"/>
  <c r="AL107" i="12"/>
  <c r="AK8" i="12"/>
  <c r="AK9" i="12"/>
  <c r="AK10" i="12"/>
  <c r="AK11" i="12"/>
  <c r="AK12" i="12"/>
  <c r="AK13" i="12"/>
  <c r="AK14" i="12"/>
  <c r="AK15" i="12"/>
  <c r="AK16" i="12"/>
  <c r="AK17" i="12"/>
  <c r="AK18" i="12"/>
  <c r="AK19" i="12"/>
  <c r="AK20" i="12"/>
  <c r="AK21" i="12"/>
  <c r="AK22" i="12"/>
  <c r="AK23" i="12"/>
  <c r="AK24" i="12"/>
  <c r="AK25" i="12"/>
  <c r="AK26" i="12"/>
  <c r="AK27" i="12"/>
  <c r="AK28" i="12"/>
  <c r="AK29" i="12"/>
  <c r="AK30" i="12"/>
  <c r="AK31" i="12"/>
  <c r="AK32" i="12"/>
  <c r="AK33" i="12"/>
  <c r="AK34" i="12"/>
  <c r="AK35" i="12"/>
  <c r="AK36" i="12"/>
  <c r="AK37" i="12"/>
  <c r="AK38" i="12"/>
  <c r="AK39" i="12"/>
  <c r="AK40" i="12"/>
  <c r="AK41" i="12"/>
  <c r="AK42" i="12"/>
  <c r="AK43" i="12"/>
  <c r="AK44" i="12"/>
  <c r="AK45" i="12"/>
  <c r="AK46" i="12"/>
  <c r="AK47" i="12"/>
  <c r="AK48" i="12"/>
  <c r="AK49" i="12"/>
  <c r="AK50" i="12"/>
  <c r="AK51" i="12"/>
  <c r="AK52" i="12"/>
  <c r="AK53" i="12"/>
  <c r="AK54" i="12"/>
  <c r="AK55" i="12"/>
  <c r="AK56" i="12"/>
  <c r="AK57" i="12"/>
  <c r="AK58" i="12"/>
  <c r="AK59" i="12"/>
  <c r="AK60" i="12"/>
  <c r="AK61" i="12"/>
  <c r="AK62" i="12"/>
  <c r="AK63" i="12"/>
  <c r="AK64" i="12"/>
  <c r="AK65" i="12"/>
  <c r="AK66" i="12"/>
  <c r="AK67" i="12"/>
  <c r="AK68" i="12"/>
  <c r="AK69" i="12"/>
  <c r="AK70" i="12"/>
  <c r="AK71" i="12"/>
  <c r="AK72" i="12"/>
  <c r="AK73" i="12"/>
  <c r="AK74" i="12"/>
  <c r="AK75" i="12"/>
  <c r="AK76" i="12"/>
  <c r="AK77" i="12"/>
  <c r="AK78" i="12"/>
  <c r="AK79" i="12"/>
  <c r="AK80" i="12"/>
  <c r="AK81" i="12"/>
  <c r="AK82" i="12"/>
  <c r="AK83" i="12"/>
  <c r="AK84" i="12"/>
  <c r="AK85" i="12"/>
  <c r="AK86" i="12"/>
  <c r="AK87" i="12"/>
  <c r="AK88" i="12"/>
  <c r="AK89" i="12"/>
  <c r="AK90" i="12"/>
  <c r="AK91" i="12"/>
  <c r="AK92" i="12"/>
  <c r="AK93" i="12"/>
  <c r="AK94" i="12"/>
  <c r="AK95" i="12"/>
  <c r="AK96" i="12"/>
  <c r="AK97" i="12"/>
  <c r="AK98" i="12"/>
  <c r="AK99" i="12"/>
  <c r="AK100" i="12"/>
  <c r="AK101" i="12"/>
  <c r="AK102" i="12"/>
  <c r="AK103" i="12"/>
  <c r="AK104" i="12"/>
  <c r="AK105" i="12"/>
  <c r="AK106" i="12"/>
  <c r="AK10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20" i="12"/>
  <c r="AJ21" i="12"/>
  <c r="AJ22" i="12"/>
  <c r="AJ23" i="12"/>
  <c r="AJ24" i="12"/>
  <c r="AJ25" i="12"/>
  <c r="AJ26" i="12"/>
  <c r="AJ27" i="12"/>
  <c r="AJ28" i="12"/>
  <c r="AJ29" i="12"/>
  <c r="AJ30" i="12"/>
  <c r="AJ31" i="12"/>
  <c r="AJ32" i="12"/>
  <c r="AJ33" i="12"/>
  <c r="AJ34" i="12"/>
  <c r="AJ35" i="12"/>
  <c r="AJ36" i="12"/>
  <c r="AJ37" i="12"/>
  <c r="AJ38" i="12"/>
  <c r="AJ39" i="12"/>
  <c r="AJ40" i="12"/>
  <c r="AJ41" i="12"/>
  <c r="AJ42" i="12"/>
  <c r="AJ43" i="12"/>
  <c r="AJ44" i="12"/>
  <c r="AJ45" i="12"/>
  <c r="AJ46" i="12"/>
  <c r="AJ47" i="12"/>
  <c r="AJ48" i="12"/>
  <c r="AJ49" i="12"/>
  <c r="AJ50" i="12"/>
  <c r="AJ51" i="12"/>
  <c r="AJ52" i="12"/>
  <c r="AJ53" i="12"/>
  <c r="AJ54" i="12"/>
  <c r="AJ55" i="12"/>
  <c r="AJ56" i="12"/>
  <c r="AJ57" i="12"/>
  <c r="AJ58" i="12"/>
  <c r="AJ59" i="12"/>
  <c r="AJ60" i="12"/>
  <c r="AJ61" i="12"/>
  <c r="AJ62" i="12"/>
  <c r="AJ63" i="12"/>
  <c r="AJ64" i="12"/>
  <c r="AJ65" i="12"/>
  <c r="AJ66" i="12"/>
  <c r="AJ67" i="12"/>
  <c r="AJ68" i="12"/>
  <c r="AJ69" i="12"/>
  <c r="AJ70" i="12"/>
  <c r="AJ71" i="12"/>
  <c r="AJ72" i="12"/>
  <c r="AJ73" i="12"/>
  <c r="AJ74" i="12"/>
  <c r="AJ75" i="12"/>
  <c r="AJ76" i="12"/>
  <c r="AJ77" i="12"/>
  <c r="AJ78" i="12"/>
  <c r="AJ79" i="12"/>
  <c r="AJ80" i="12"/>
  <c r="AJ81" i="12"/>
  <c r="AJ82" i="12"/>
  <c r="AJ83" i="12"/>
  <c r="AJ84" i="12"/>
  <c r="AJ85" i="12"/>
  <c r="AJ86" i="12"/>
  <c r="AJ87" i="12"/>
  <c r="AJ88" i="12"/>
  <c r="AJ89" i="12"/>
  <c r="AJ90" i="12"/>
  <c r="AJ91" i="12"/>
  <c r="AJ92" i="12"/>
  <c r="AJ93" i="12"/>
  <c r="AJ94" i="12"/>
  <c r="AJ95" i="12"/>
  <c r="AJ96" i="12"/>
  <c r="AJ97" i="12"/>
  <c r="AJ98" i="12"/>
  <c r="AJ99" i="12"/>
  <c r="AJ100" i="12"/>
  <c r="AJ101" i="12"/>
  <c r="AJ102" i="12"/>
  <c r="AJ103" i="12"/>
  <c r="AJ104" i="12"/>
  <c r="AJ105" i="12"/>
  <c r="AJ106" i="12"/>
  <c r="AJ107" i="12"/>
  <c r="AI8" i="12" a="1"/>
  <c r="AI9" i="12" a="1"/>
  <c r="AI10" i="12" a="1"/>
  <c r="AI11" i="12" a="1"/>
  <c r="AI12" i="12" a="1"/>
  <c r="AI13" i="12" a="1"/>
  <c r="AI14" i="12" a="1"/>
  <c r="AI15" i="12" a="1"/>
  <c r="AI16" i="12" a="1"/>
  <c r="AI17" i="12" a="1"/>
  <c r="AI18" i="12" a="1"/>
  <c r="AI19" i="12" a="1"/>
  <c r="AI20" i="12" a="1"/>
  <c r="AI21" i="12" a="1"/>
  <c r="AI22" i="12" a="1"/>
  <c r="AI23" i="12" a="1"/>
  <c r="AI24" i="12" a="1"/>
  <c r="AI25" i="12" a="1"/>
  <c r="AI26" i="12" a="1"/>
  <c r="AI27" i="12" a="1"/>
  <c r="AI28" i="12" a="1"/>
  <c r="AI29" i="12" a="1"/>
  <c r="AI30" i="12" a="1"/>
  <c r="AI31" i="12" a="1"/>
  <c r="AI32" i="12" a="1"/>
  <c r="AI33" i="12" a="1"/>
  <c r="AI34" i="12" a="1"/>
  <c r="AI35" i="12" a="1"/>
  <c r="AI36" i="12" a="1"/>
  <c r="AI37" i="12" a="1"/>
  <c r="AI38" i="12" a="1"/>
  <c r="AI39" i="12" a="1"/>
  <c r="AI40" i="12" a="1"/>
  <c r="AI41" i="12" a="1"/>
  <c r="AI42" i="12" a="1"/>
  <c r="AI43" i="12" a="1"/>
  <c r="AI44" i="12" a="1"/>
  <c r="AI45" i="12" a="1"/>
  <c r="AI46" i="12" a="1"/>
  <c r="AI47" i="12" a="1"/>
  <c r="AI48" i="12" a="1"/>
  <c r="AI49" i="12" a="1"/>
  <c r="AI50" i="12" a="1"/>
  <c r="AI51" i="12" a="1"/>
  <c r="AI52" i="12" a="1"/>
  <c r="AI53" i="12" a="1"/>
  <c r="AI54" i="12" a="1"/>
  <c r="AI55" i="12" a="1"/>
  <c r="AI56" i="12" a="1"/>
  <c r="AI57" i="12" a="1"/>
  <c r="AI58" i="12" a="1"/>
  <c r="AI59" i="12" a="1"/>
  <c r="AI60" i="12" a="1"/>
  <c r="AI61" i="12" a="1"/>
  <c r="AI62" i="12" a="1"/>
  <c r="AI63" i="12" a="1"/>
  <c r="AI64" i="12" a="1"/>
  <c r="AI65" i="12" a="1"/>
  <c r="AI66" i="12" a="1"/>
  <c r="AI67" i="12" a="1"/>
  <c r="AI68" i="12" a="1"/>
  <c r="AI69" i="12" a="1"/>
  <c r="AI70" i="12" a="1"/>
  <c r="AI71" i="12" a="1"/>
  <c r="AI72" i="12" a="1"/>
  <c r="AI73" i="12" a="1"/>
  <c r="AI74" i="12" a="1"/>
  <c r="AI75" i="12" a="1"/>
  <c r="AI76" i="12" a="1"/>
  <c r="AI77" i="12" a="1"/>
  <c r="AI78" i="12" a="1"/>
  <c r="AI79" i="12" a="1"/>
  <c r="AI80" i="12" a="1"/>
  <c r="AI81" i="12" a="1"/>
  <c r="AI82" i="12" a="1"/>
  <c r="AI83" i="12" a="1"/>
  <c r="AI84" i="12" a="1"/>
  <c r="AI85" i="12" a="1"/>
  <c r="AI86" i="12" a="1"/>
  <c r="AI87" i="12" a="1"/>
  <c r="AI88" i="12" a="1"/>
  <c r="AI89" i="12" a="1"/>
  <c r="AI90" i="12" a="1"/>
  <c r="AI91" i="12" a="1"/>
  <c r="AI92" i="12" a="1"/>
  <c r="AI93" i="12" a="1"/>
  <c r="AI94" i="12" a="1"/>
  <c r="AI95" i="12" a="1"/>
  <c r="AI96" i="12" a="1"/>
  <c r="AI97" i="12" a="1"/>
  <c r="AI98" i="12" a="1"/>
  <c r="AI99" i="12" a="1"/>
  <c r="AI100" i="12" a="1"/>
  <c r="AI101" i="12" a="1"/>
  <c r="AI102" i="12" a="1"/>
  <c r="AI103" i="12" a="1"/>
  <c r="AI104" i="12" a="1"/>
  <c r="AI105" i="12" a="1"/>
  <c r="AI106" i="12" a="1"/>
  <c r="AI107" i="12" a="1"/>
  <c r="AH8" i="12" a="1"/>
  <c r="AH9" i="12" a="1"/>
  <c r="AH10" i="12" a="1"/>
  <c r="AH11" i="12" a="1"/>
  <c r="AH12" i="12" a="1"/>
  <c r="AH13" i="12" a="1"/>
  <c r="AH14" i="12" a="1"/>
  <c r="AH15" i="12" a="1"/>
  <c r="AH16" i="12" a="1"/>
  <c r="AH17" i="12" a="1"/>
  <c r="AH18" i="12" a="1"/>
  <c r="AH19" i="12" a="1"/>
  <c r="AH20" i="12" a="1"/>
  <c r="AH21" i="12" a="1"/>
  <c r="AH22" i="12" a="1"/>
  <c r="AH23" i="12" a="1"/>
  <c r="AH24" i="12" a="1"/>
  <c r="AH25" i="12" a="1"/>
  <c r="AH26" i="12" a="1"/>
  <c r="AH27" i="12" a="1"/>
  <c r="AH28" i="12" a="1"/>
  <c r="AH29" i="12" a="1"/>
  <c r="AH30" i="12" a="1"/>
  <c r="AH31" i="12" a="1"/>
  <c r="AH32" i="12" a="1"/>
  <c r="AH33" i="12" a="1"/>
  <c r="AH34" i="12" a="1"/>
  <c r="AH35" i="12" a="1"/>
  <c r="AH36" i="12" a="1"/>
  <c r="AH37" i="12" a="1"/>
  <c r="AH38" i="12" a="1"/>
  <c r="AH39" i="12" a="1"/>
  <c r="AH40" i="12" a="1"/>
  <c r="AH41" i="12" a="1"/>
  <c r="AH42" i="12" a="1"/>
  <c r="AH43" i="12" a="1"/>
  <c r="AH44" i="12" a="1"/>
  <c r="AH45" i="12" a="1"/>
  <c r="AH46" i="12" a="1"/>
  <c r="AH47" i="12" a="1"/>
  <c r="AH48" i="12" a="1"/>
  <c r="AH49" i="12" a="1"/>
  <c r="AH50" i="12" a="1"/>
  <c r="AH51" i="12" a="1"/>
  <c r="AH52" i="12" a="1"/>
  <c r="AH53" i="12" a="1"/>
  <c r="AH54" i="12" a="1"/>
  <c r="AH55" i="12" a="1"/>
  <c r="AH56" i="12" a="1"/>
  <c r="AH57" i="12" a="1"/>
  <c r="AH58" i="12" a="1"/>
  <c r="AH59" i="12" a="1"/>
  <c r="AH60" i="12" a="1"/>
  <c r="AH61" i="12" a="1"/>
  <c r="AH62" i="12" a="1"/>
  <c r="AH63" i="12" a="1"/>
  <c r="AH64" i="12" a="1"/>
  <c r="AH65" i="12" a="1"/>
  <c r="AH66" i="12" a="1"/>
  <c r="AH67" i="12" a="1"/>
  <c r="AH68" i="12" a="1"/>
  <c r="AH69" i="12" a="1"/>
  <c r="AH70" i="12" a="1"/>
  <c r="AH71" i="12" a="1"/>
  <c r="AH72" i="12" a="1"/>
  <c r="AH73" i="12" a="1"/>
  <c r="AH74" i="12" a="1"/>
  <c r="AH75" i="12" a="1"/>
  <c r="AH76" i="12" a="1"/>
  <c r="AH77" i="12" a="1"/>
  <c r="AH78" i="12" a="1"/>
  <c r="AH79" i="12" a="1"/>
  <c r="AH80" i="12" a="1"/>
  <c r="AH81" i="12" a="1"/>
  <c r="AH82" i="12" a="1"/>
  <c r="AH83" i="12" a="1"/>
  <c r="AH84" i="12" a="1"/>
  <c r="AH85" i="12" a="1"/>
  <c r="AH86" i="12" a="1"/>
  <c r="AH87" i="12" a="1"/>
  <c r="AH88" i="12" a="1"/>
  <c r="AH89" i="12" a="1"/>
  <c r="AH90" i="12" a="1"/>
  <c r="AH91" i="12" a="1"/>
  <c r="AH92" i="12" a="1"/>
  <c r="AH93" i="12" a="1"/>
  <c r="AH94" i="12" a="1"/>
  <c r="AH95" i="12" a="1"/>
  <c r="AH96" i="12" a="1"/>
  <c r="AH97" i="12" a="1"/>
  <c r="AH98" i="12" a="1"/>
  <c r="AH99" i="12" a="1"/>
  <c r="AH100" i="12" a="1"/>
  <c r="AH101" i="12" a="1"/>
  <c r="AH102" i="12" a="1"/>
  <c r="AH103" i="12" a="1"/>
  <c r="AH104" i="12" a="1"/>
  <c r="AH105" i="12" a="1"/>
  <c r="AH106" i="12" a="1"/>
  <c r="AH107" i="12" a="1"/>
  <c r="AG8" i="12" a="1"/>
  <c r="AG9" i="12" a="1"/>
  <c r="AG10" i="12" a="1"/>
  <c r="AG11" i="12" a="1"/>
  <c r="AG12" i="12" a="1"/>
  <c r="AG13" i="12" a="1"/>
  <c r="AG14" i="12" a="1"/>
  <c r="AG15" i="12" a="1"/>
  <c r="AG16" i="12" a="1"/>
  <c r="AG17" i="12" a="1"/>
  <c r="AG18" i="12" a="1"/>
  <c r="AG19" i="12" a="1"/>
  <c r="AG20" i="12" a="1"/>
  <c r="AG21" i="12" a="1"/>
  <c r="AG22" i="12" a="1"/>
  <c r="AG23" i="12" a="1"/>
  <c r="AG24" i="12" a="1"/>
  <c r="AG25" i="12" a="1"/>
  <c r="AG26" i="12" a="1"/>
  <c r="AG27" i="12" a="1"/>
  <c r="AG28" i="12" a="1"/>
  <c r="AG29" i="12" a="1"/>
  <c r="AG30" i="12" a="1"/>
  <c r="AG31" i="12" a="1"/>
  <c r="AG32" i="12" a="1"/>
  <c r="AG33" i="12" a="1"/>
  <c r="AG34" i="12" a="1"/>
  <c r="AG35" i="12" a="1"/>
  <c r="AG36" i="12" a="1"/>
  <c r="AG37" i="12" a="1"/>
  <c r="AG38" i="12" a="1"/>
  <c r="AG39" i="12" a="1"/>
  <c r="AG40" i="12" a="1"/>
  <c r="AG41" i="12" a="1"/>
  <c r="AG42" i="12" a="1"/>
  <c r="AG43" i="12" a="1"/>
  <c r="AG44" i="12" a="1"/>
  <c r="AG45" i="12" a="1"/>
  <c r="AG46" i="12" a="1"/>
  <c r="AG47" i="12" a="1"/>
  <c r="AG48" i="12" a="1"/>
  <c r="AG49" i="12" a="1"/>
  <c r="AG50" i="12" a="1"/>
  <c r="AG51" i="12" a="1"/>
  <c r="AG52" i="12" a="1"/>
  <c r="AG53" i="12" a="1"/>
  <c r="AG54" i="12" a="1"/>
  <c r="AG55" i="12" a="1"/>
  <c r="AG56" i="12" a="1"/>
  <c r="AG57" i="12" a="1"/>
  <c r="AG58" i="12" a="1"/>
  <c r="AG59" i="12" a="1"/>
  <c r="AG60" i="12" a="1"/>
  <c r="AG61" i="12" a="1"/>
  <c r="AG62" i="12" a="1"/>
  <c r="AG63" i="12" a="1"/>
  <c r="AG64" i="12" a="1"/>
  <c r="AG65" i="12" a="1"/>
  <c r="AG66" i="12" a="1"/>
  <c r="AG67" i="12" a="1"/>
  <c r="AG68" i="12" a="1"/>
  <c r="AG69" i="12" a="1"/>
  <c r="AG70" i="12" a="1"/>
  <c r="AG71" i="12" a="1"/>
  <c r="AG72" i="12" a="1"/>
  <c r="AG73" i="12" a="1"/>
  <c r="AG74" i="12" a="1"/>
  <c r="AG75" i="12" a="1"/>
  <c r="AG76" i="12" a="1"/>
  <c r="AG77" i="12" a="1"/>
  <c r="AG78" i="12" a="1"/>
  <c r="AG79" i="12" a="1"/>
  <c r="AG80" i="12" a="1"/>
  <c r="AG81" i="12" a="1"/>
  <c r="AG82" i="12" a="1"/>
  <c r="AG83" i="12" a="1"/>
  <c r="AG84" i="12" a="1"/>
  <c r="AG85" i="12" a="1"/>
  <c r="AG86" i="12" a="1"/>
  <c r="AG87" i="12" a="1"/>
  <c r="AG88" i="12" a="1"/>
  <c r="AG89" i="12" a="1"/>
  <c r="AG90" i="12" a="1"/>
  <c r="AG91" i="12" a="1"/>
  <c r="AG92" i="12" a="1"/>
  <c r="AG93" i="12" a="1"/>
  <c r="AG94" i="12" a="1"/>
  <c r="AG95" i="12" a="1"/>
  <c r="AG96" i="12" a="1"/>
  <c r="AG97" i="12" a="1"/>
  <c r="AG98" i="12" a="1"/>
  <c r="AG99" i="12" a="1"/>
  <c r="AG100" i="12" a="1"/>
  <c r="AG101" i="12" a="1"/>
  <c r="AG102" i="12" a="1"/>
  <c r="AG103" i="12" a="1"/>
  <c r="AG104" i="12" a="1"/>
  <c r="AG105" i="12" a="1"/>
  <c r="AG106" i="12" a="1"/>
  <c r="AG107" i="12" a="1"/>
  <c r="AF8" i="12" a="1"/>
  <c r="AF9" i="12" a="1"/>
  <c r="AF10" i="12" a="1"/>
  <c r="AF11" i="12" a="1"/>
  <c r="AF12" i="12" a="1"/>
  <c r="AF13" i="12" a="1"/>
  <c r="AF14" i="12" a="1"/>
  <c r="AF15" i="12" a="1"/>
  <c r="AF16" i="12" a="1"/>
  <c r="AF17" i="12" a="1"/>
  <c r="AF18" i="12" a="1"/>
  <c r="AF19" i="12" a="1"/>
  <c r="AF20" i="12" a="1"/>
  <c r="AF21" i="12" a="1"/>
  <c r="AF22" i="12" a="1"/>
  <c r="AF23" i="12" a="1"/>
  <c r="AF24" i="12" a="1"/>
  <c r="AF25" i="12" a="1"/>
  <c r="AF26" i="12" a="1"/>
  <c r="AF27" i="12" a="1"/>
  <c r="AF28" i="12" a="1"/>
  <c r="AF29" i="12" a="1"/>
  <c r="AF30" i="12" a="1"/>
  <c r="AF31" i="12" a="1"/>
  <c r="AF32" i="12" a="1"/>
  <c r="AF33" i="12" a="1"/>
  <c r="AF34" i="12" a="1"/>
  <c r="AF35" i="12" a="1"/>
  <c r="AF36" i="12" a="1"/>
  <c r="AF37" i="12" a="1"/>
  <c r="AF38" i="12" a="1"/>
  <c r="AF39" i="12" a="1"/>
  <c r="AF40" i="12" a="1"/>
  <c r="AF41" i="12" a="1"/>
  <c r="AF42" i="12" a="1"/>
  <c r="AF43" i="12" a="1"/>
  <c r="AF44" i="12" a="1"/>
  <c r="AF45" i="12" a="1"/>
  <c r="AF46" i="12" a="1"/>
  <c r="AF47" i="12" a="1"/>
  <c r="AF48" i="12" a="1"/>
  <c r="AF49" i="12" a="1"/>
  <c r="AF50" i="12" a="1"/>
  <c r="AF51" i="12" a="1"/>
  <c r="AF52" i="12" a="1"/>
  <c r="AF53" i="12" a="1"/>
  <c r="AF54" i="12" a="1"/>
  <c r="AF55" i="12" a="1"/>
  <c r="AF56" i="12" a="1"/>
  <c r="AF57" i="12" a="1"/>
  <c r="AF58" i="12" a="1"/>
  <c r="AF59" i="12" a="1"/>
  <c r="AF60" i="12" a="1"/>
  <c r="AF61" i="12" a="1"/>
  <c r="AF62" i="12" a="1"/>
  <c r="AF63" i="12" a="1"/>
  <c r="AF64" i="12" a="1"/>
  <c r="AF65" i="12" a="1"/>
  <c r="AF66" i="12" a="1"/>
  <c r="AF67" i="12" a="1"/>
  <c r="AF68" i="12" a="1"/>
  <c r="AF69" i="12" a="1"/>
  <c r="AF70" i="12" a="1"/>
  <c r="AF71" i="12" a="1"/>
  <c r="AF72" i="12" a="1"/>
  <c r="AF73" i="12" a="1"/>
  <c r="AF74" i="12" a="1"/>
  <c r="AF75" i="12" a="1"/>
  <c r="AF76" i="12" a="1"/>
  <c r="AF77" i="12" a="1"/>
  <c r="AF78" i="12" a="1"/>
  <c r="AF79" i="12" a="1"/>
  <c r="AF80" i="12" a="1"/>
  <c r="AF81" i="12" a="1"/>
  <c r="AF82" i="12" a="1"/>
  <c r="AF83" i="12" a="1"/>
  <c r="AF84" i="12" a="1"/>
  <c r="AF85" i="12" a="1"/>
  <c r="AF86" i="12" a="1"/>
  <c r="AF87" i="12" a="1"/>
  <c r="AF88" i="12" a="1"/>
  <c r="AF89" i="12" a="1"/>
  <c r="AF90" i="12" a="1"/>
  <c r="AF91" i="12" a="1"/>
  <c r="AF92" i="12" a="1"/>
  <c r="AF93" i="12" a="1"/>
  <c r="AF94" i="12" a="1"/>
  <c r="AF95" i="12" a="1"/>
  <c r="AF96" i="12" a="1"/>
  <c r="AF97" i="12" a="1"/>
  <c r="AF98" i="12" a="1"/>
  <c r="AF99" i="12" a="1"/>
  <c r="AF100" i="12" a="1"/>
  <c r="AF101" i="12" a="1"/>
  <c r="AF102" i="12" a="1"/>
  <c r="AF103" i="12" a="1"/>
  <c r="AF104" i="12" a="1"/>
  <c r="AF105" i="12" a="1"/>
  <c r="AF106" i="12" a="1"/>
  <c r="AF107" i="12" a="1"/>
  <c r="AE8" i="12" a="1"/>
  <c r="AE9" i="12" a="1"/>
  <c r="AE10" i="12" a="1"/>
  <c r="AE11" i="12" a="1"/>
  <c r="AE12" i="12" a="1"/>
  <c r="AE13" i="12" a="1"/>
  <c r="AE14" i="12" a="1"/>
  <c r="AE15" i="12" a="1"/>
  <c r="AE16" i="12" a="1"/>
  <c r="AE17" i="12" a="1"/>
  <c r="AE18" i="12" a="1"/>
  <c r="AE19" i="12" a="1"/>
  <c r="AE20" i="12" a="1"/>
  <c r="AE21" i="12" a="1"/>
  <c r="AE22" i="12" a="1"/>
  <c r="AE23" i="12" a="1"/>
  <c r="AE24" i="12" a="1"/>
  <c r="AE25" i="12" a="1"/>
  <c r="AE26" i="12" a="1"/>
  <c r="AE27" i="12" a="1"/>
  <c r="AE28" i="12" a="1"/>
  <c r="AE29" i="12" a="1"/>
  <c r="AE30" i="12" a="1"/>
  <c r="AE31" i="12" a="1"/>
  <c r="AE32" i="12" a="1"/>
  <c r="AE33" i="12" a="1"/>
  <c r="AE34" i="12" a="1"/>
  <c r="AE35" i="12" a="1"/>
  <c r="AE36" i="12" a="1"/>
  <c r="AE37" i="12" a="1"/>
  <c r="AE38" i="12" a="1"/>
  <c r="AE39" i="12" a="1"/>
  <c r="AE40" i="12" a="1"/>
  <c r="AE41" i="12" a="1"/>
  <c r="AE42" i="12" a="1"/>
  <c r="AE43" i="12" a="1"/>
  <c r="AE44" i="12" a="1"/>
  <c r="AE45" i="12" a="1"/>
  <c r="AE46" i="12" a="1"/>
  <c r="AE47" i="12" a="1"/>
  <c r="AE48" i="12" a="1"/>
  <c r="AE49" i="12" a="1"/>
  <c r="AE50" i="12" a="1"/>
  <c r="AE51" i="12" a="1"/>
  <c r="AE52" i="12" a="1"/>
  <c r="AE53" i="12" a="1"/>
  <c r="AE54" i="12" a="1"/>
  <c r="AE55" i="12" a="1"/>
  <c r="AE56" i="12" a="1"/>
  <c r="AE57" i="12" a="1"/>
  <c r="AE58" i="12" a="1"/>
  <c r="AE59" i="12" a="1"/>
  <c r="AE60" i="12" a="1"/>
  <c r="AE61" i="12" a="1"/>
  <c r="AE62" i="12" a="1"/>
  <c r="AE63" i="12" a="1"/>
  <c r="AE64" i="12" a="1"/>
  <c r="AE65" i="12" a="1"/>
  <c r="AE66" i="12" a="1"/>
  <c r="AE67" i="12" a="1"/>
  <c r="AE68" i="12" a="1"/>
  <c r="AE69" i="12" a="1"/>
  <c r="AE70" i="12" a="1"/>
  <c r="AE71" i="12" a="1"/>
  <c r="AE72" i="12" a="1"/>
  <c r="AE73" i="12" a="1"/>
  <c r="AE74" i="12" a="1"/>
  <c r="AE75" i="12" a="1"/>
  <c r="AE76" i="12" a="1"/>
  <c r="AE77" i="12" a="1"/>
  <c r="AE78" i="12" a="1"/>
  <c r="AE79" i="12" a="1"/>
  <c r="AE80" i="12" a="1"/>
  <c r="AE81" i="12" a="1"/>
  <c r="AE82" i="12" a="1"/>
  <c r="AE83" i="12" a="1"/>
  <c r="AE84" i="12" a="1"/>
  <c r="AE85" i="12" a="1"/>
  <c r="AE86" i="12" a="1"/>
  <c r="AE87" i="12" a="1"/>
  <c r="AE88" i="12" a="1"/>
  <c r="AE89" i="12" a="1"/>
  <c r="AE90" i="12" a="1"/>
  <c r="AE91" i="12" a="1"/>
  <c r="AE92" i="12" a="1"/>
  <c r="AE93" i="12" a="1"/>
  <c r="AE94" i="12" a="1"/>
  <c r="AE95" i="12" a="1"/>
  <c r="AE96" i="12" a="1"/>
  <c r="AE97" i="12" a="1"/>
  <c r="AE98" i="12" a="1"/>
  <c r="AE99" i="12" a="1"/>
  <c r="AE100" i="12" a="1"/>
  <c r="AE101" i="12" a="1"/>
  <c r="AE102" i="12" a="1"/>
  <c r="AE103" i="12" a="1"/>
  <c r="AE104" i="12" a="1"/>
  <c r="AE105" i="12" a="1"/>
  <c r="AE106" i="12" a="1"/>
  <c r="AE107" i="12" a="1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D103" i="12"/>
  <c r="AD104" i="12"/>
  <c r="AD105" i="12"/>
  <c r="AD106" i="12"/>
  <c r="AD10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S8" i="12" a="1"/>
  <c r="S9" i="12" a="1"/>
  <c r="S10" i="12" a="1"/>
  <c r="S11" i="12" a="1"/>
  <c r="S12" i="12" a="1"/>
  <c r="S13" i="12" a="1"/>
  <c r="S14" i="12" a="1"/>
  <c r="S15" i="12" a="1"/>
  <c r="S16" i="12" a="1"/>
  <c r="S17" i="12" a="1"/>
  <c r="S18" i="12" a="1"/>
  <c r="S19" i="12" a="1"/>
  <c r="S20" i="12" a="1"/>
  <c r="S21" i="12" a="1"/>
  <c r="S22" i="12" a="1"/>
  <c r="S23" i="12" a="1"/>
  <c r="S24" i="12" a="1"/>
  <c r="S25" i="12" a="1"/>
  <c r="S26" i="12" a="1"/>
  <c r="S27" i="12" a="1"/>
  <c r="S28" i="12" a="1"/>
  <c r="S29" i="12" a="1"/>
  <c r="S30" i="12" a="1"/>
  <c r="S31" i="12" a="1"/>
  <c r="S32" i="12" a="1"/>
  <c r="S33" i="12" a="1"/>
  <c r="S34" i="12" a="1"/>
  <c r="S35" i="12" a="1"/>
  <c r="S36" i="12" a="1"/>
  <c r="S37" i="12" a="1"/>
  <c r="S38" i="12" a="1"/>
  <c r="S39" i="12" a="1"/>
  <c r="S40" i="12" a="1"/>
  <c r="S41" i="12" a="1"/>
  <c r="S42" i="12" a="1"/>
  <c r="S43" i="12" a="1"/>
  <c r="S44" i="12" a="1"/>
  <c r="S45" i="12" a="1"/>
  <c r="S46" i="12" a="1"/>
  <c r="S47" i="12" a="1"/>
  <c r="S48" i="12" a="1"/>
  <c r="S49" i="12" a="1"/>
  <c r="S50" i="12" a="1"/>
  <c r="S51" i="12" a="1"/>
  <c r="S52" i="12" a="1"/>
  <c r="S53" i="12" a="1"/>
  <c r="S54" i="12" a="1"/>
  <c r="S55" i="12" a="1"/>
  <c r="S56" i="12" a="1"/>
  <c r="S57" i="12" a="1"/>
  <c r="S58" i="12" a="1"/>
  <c r="S59" i="12" a="1"/>
  <c r="S60" i="12" a="1"/>
  <c r="S61" i="12" a="1"/>
  <c r="S62" i="12" a="1"/>
  <c r="S63" i="12" a="1"/>
  <c r="S64" i="12" a="1"/>
  <c r="S65" i="12" a="1"/>
  <c r="S66" i="12" a="1"/>
  <c r="S67" i="12" a="1"/>
  <c r="S68" i="12" a="1"/>
  <c r="S69" i="12" a="1"/>
  <c r="S70" i="12" a="1"/>
  <c r="S71" i="12" a="1"/>
  <c r="S72" i="12" a="1"/>
  <c r="S73" i="12" a="1"/>
  <c r="S74" i="12" a="1"/>
  <c r="S75" i="12" a="1"/>
  <c r="S76" i="12" a="1"/>
  <c r="S77" i="12" a="1"/>
  <c r="S78" i="12" a="1"/>
  <c r="S79" i="12" a="1"/>
  <c r="S80" i="12" a="1"/>
  <c r="S81" i="12" a="1"/>
  <c r="S82" i="12" a="1"/>
  <c r="S83" i="12" a="1"/>
  <c r="S84" i="12" a="1"/>
  <c r="S85" i="12" a="1"/>
  <c r="S86" i="12" a="1"/>
  <c r="S87" i="12" a="1"/>
  <c r="S88" i="12" a="1"/>
  <c r="S89" i="12" a="1"/>
  <c r="S90" i="12" a="1"/>
  <c r="S91" i="12" a="1"/>
  <c r="S92" i="12" a="1"/>
  <c r="S93" i="12" a="1"/>
  <c r="S94" i="12" a="1"/>
  <c r="S95" i="12" a="1"/>
  <c r="S96" i="12" a="1"/>
  <c r="S97" i="12" a="1"/>
  <c r="S98" i="12" a="1"/>
  <c r="S99" i="12" a="1"/>
  <c r="S100" i="12" a="1"/>
  <c r="S101" i="12" a="1"/>
  <c r="S102" i="12" a="1"/>
  <c r="S103" i="12" a="1"/>
  <c r="S104" i="12" a="1"/>
  <c r="S105" i="12" a="1"/>
  <c r="S106" i="12" a="1"/>
  <c r="S107" i="12" a="1"/>
  <c r="R8" i="12" a="1"/>
  <c r="R9" i="12" a="1"/>
  <c r="R10" i="12" a="1"/>
  <c r="R11" i="12" a="1"/>
  <c r="R12" i="12" a="1"/>
  <c r="R13" i="12" a="1"/>
  <c r="R14" i="12" a="1"/>
  <c r="R15" i="12" a="1"/>
  <c r="R16" i="12" a="1"/>
  <c r="R17" i="12" a="1"/>
  <c r="R18" i="12" a="1"/>
  <c r="R19" i="12" a="1"/>
  <c r="R20" i="12" a="1"/>
  <c r="R21" i="12" a="1"/>
  <c r="R22" i="12" a="1"/>
  <c r="R23" i="12" a="1"/>
  <c r="R24" i="12" a="1"/>
  <c r="R25" i="12" a="1"/>
  <c r="R26" i="12" a="1"/>
  <c r="R27" i="12" a="1"/>
  <c r="R28" i="12" a="1"/>
  <c r="R29" i="12" a="1"/>
  <c r="R30" i="12" a="1"/>
  <c r="R31" i="12" a="1"/>
  <c r="R32" i="12" a="1"/>
  <c r="R33" i="12" a="1"/>
  <c r="R34" i="12" a="1"/>
  <c r="R35" i="12" a="1"/>
  <c r="R36" i="12" a="1"/>
  <c r="R37" i="12" a="1"/>
  <c r="R38" i="12" a="1"/>
  <c r="R39" i="12" a="1"/>
  <c r="R40" i="12" a="1"/>
  <c r="R41" i="12" a="1"/>
  <c r="R42" i="12" a="1"/>
  <c r="R43" i="12" a="1"/>
  <c r="R44" i="12" a="1"/>
  <c r="R45" i="12" a="1"/>
  <c r="R46" i="12" a="1"/>
  <c r="R47" i="12" a="1"/>
  <c r="R48" i="12" a="1"/>
  <c r="R49" i="12" a="1"/>
  <c r="R50" i="12" a="1"/>
  <c r="R51" i="12" a="1"/>
  <c r="R52" i="12" a="1"/>
  <c r="R53" i="12" a="1"/>
  <c r="R54" i="12" a="1"/>
  <c r="R55" i="12" a="1"/>
  <c r="R56" i="12" a="1"/>
  <c r="R57" i="12" a="1"/>
  <c r="R58" i="12" a="1"/>
  <c r="R59" i="12" a="1"/>
  <c r="R60" i="12" a="1"/>
  <c r="R61" i="12" a="1"/>
  <c r="R62" i="12" a="1"/>
  <c r="R63" i="12" a="1"/>
  <c r="R64" i="12" a="1"/>
  <c r="R65" i="12" a="1"/>
  <c r="R66" i="12" a="1"/>
  <c r="R67" i="12" a="1"/>
  <c r="R68" i="12" a="1"/>
  <c r="R69" i="12" a="1"/>
  <c r="R70" i="12" a="1"/>
  <c r="R71" i="12" a="1"/>
  <c r="R72" i="12" a="1"/>
  <c r="R73" i="12" a="1"/>
  <c r="R74" i="12" a="1"/>
  <c r="R75" i="12" a="1"/>
  <c r="R76" i="12" a="1"/>
  <c r="R77" i="12" a="1"/>
  <c r="R78" i="12" a="1"/>
  <c r="R79" i="12" a="1"/>
  <c r="R80" i="12" a="1"/>
  <c r="R81" i="12" a="1"/>
  <c r="R82" i="12" a="1"/>
  <c r="R83" i="12" a="1"/>
  <c r="R84" i="12" a="1"/>
  <c r="R85" i="12" a="1"/>
  <c r="R86" i="12" a="1"/>
  <c r="R87" i="12" a="1"/>
  <c r="R88" i="12" a="1"/>
  <c r="R89" i="12" a="1"/>
  <c r="R90" i="12" a="1"/>
  <c r="R91" i="12" a="1"/>
  <c r="R92" i="12" a="1"/>
  <c r="R93" i="12" a="1"/>
  <c r="R94" i="12" a="1"/>
  <c r="R95" i="12" a="1"/>
  <c r="R96" i="12" a="1"/>
  <c r="R97" i="12" a="1"/>
  <c r="R98" i="12" a="1"/>
  <c r="R99" i="12" a="1"/>
  <c r="R100" i="12" a="1"/>
  <c r="R101" i="12" a="1"/>
  <c r="R102" i="12" a="1"/>
  <c r="R103" i="12" a="1"/>
  <c r="R104" i="12" a="1"/>
  <c r="R105" i="12" a="1"/>
  <c r="R106" i="12" a="1"/>
  <c r="R107" i="12" a="1"/>
  <c r="Q8" i="12" a="1"/>
  <c r="Q9" i="12" a="1"/>
  <c r="Q10" i="12" a="1"/>
  <c r="Q11" i="12" a="1"/>
  <c r="Q12" i="12" a="1"/>
  <c r="Q13" i="12" a="1"/>
  <c r="Q14" i="12" a="1"/>
  <c r="Q15" i="12" a="1"/>
  <c r="Q16" i="12" a="1"/>
  <c r="Q17" i="12" a="1"/>
  <c r="Q18" i="12" a="1"/>
  <c r="Q19" i="12" a="1"/>
  <c r="Q20" i="12" a="1"/>
  <c r="Q21" i="12" a="1"/>
  <c r="Q22" i="12" a="1"/>
  <c r="Q23" i="12" a="1"/>
  <c r="Q24" i="12" a="1"/>
  <c r="Q25" i="12" a="1"/>
  <c r="Q26" i="12" a="1"/>
  <c r="Q27" i="12" a="1"/>
  <c r="Q28" i="12" a="1"/>
  <c r="Q29" i="12" a="1"/>
  <c r="Q30" i="12" a="1"/>
  <c r="Q31" i="12" a="1"/>
  <c r="Q32" i="12" a="1"/>
  <c r="Q33" i="12" a="1"/>
  <c r="Q34" i="12" a="1"/>
  <c r="Q35" i="12" a="1"/>
  <c r="Q36" i="12" a="1"/>
  <c r="Q37" i="12" a="1"/>
  <c r="Q38" i="12" a="1"/>
  <c r="Q39" i="12" a="1"/>
  <c r="Q40" i="12" a="1"/>
  <c r="Q41" i="12" a="1"/>
  <c r="Q42" i="12" a="1"/>
  <c r="Q43" i="12" a="1"/>
  <c r="Q44" i="12" a="1"/>
  <c r="Q45" i="12" a="1"/>
  <c r="Q46" i="12" a="1"/>
  <c r="Q47" i="12" a="1"/>
  <c r="Q48" i="12" a="1"/>
  <c r="Q49" i="12" a="1"/>
  <c r="Q50" i="12" a="1"/>
  <c r="Q51" i="12" a="1"/>
  <c r="Q52" i="12" a="1"/>
  <c r="Q53" i="12" a="1"/>
  <c r="Q54" i="12" a="1"/>
  <c r="Q55" i="12" a="1"/>
  <c r="Q56" i="12" a="1"/>
  <c r="Q57" i="12" a="1"/>
  <c r="Q58" i="12" a="1"/>
  <c r="Q59" i="12" a="1"/>
  <c r="Q60" i="12" a="1"/>
  <c r="Q61" i="12" a="1"/>
  <c r="Q62" i="12" a="1"/>
  <c r="Q63" i="12" a="1"/>
  <c r="Q64" i="12" a="1"/>
  <c r="Q65" i="12" a="1"/>
  <c r="Q66" i="12" a="1"/>
  <c r="Q67" i="12" a="1"/>
  <c r="Q68" i="12" a="1"/>
  <c r="Q69" i="12" a="1"/>
  <c r="Q70" i="12" a="1"/>
  <c r="Q71" i="12" a="1"/>
  <c r="Q72" i="12" a="1"/>
  <c r="Q73" i="12" a="1"/>
  <c r="Q74" i="12" a="1"/>
  <c r="Q75" i="12" a="1"/>
  <c r="Q76" i="12" a="1"/>
  <c r="Q77" i="12" a="1"/>
  <c r="Q78" i="12" a="1"/>
  <c r="Q79" i="12" a="1"/>
  <c r="Q80" i="12" a="1"/>
  <c r="Q81" i="12" a="1"/>
  <c r="Q82" i="12" a="1"/>
  <c r="Q83" i="12" a="1"/>
  <c r="Q84" i="12" a="1"/>
  <c r="Q85" i="12" a="1"/>
  <c r="Q86" i="12" a="1"/>
  <c r="Q87" i="12" a="1"/>
  <c r="Q88" i="12" a="1"/>
  <c r="Q89" i="12" a="1"/>
  <c r="Q90" i="12" a="1"/>
  <c r="Q91" i="12" a="1"/>
  <c r="Q92" i="12" a="1"/>
  <c r="Q93" i="12" a="1"/>
  <c r="Q94" i="12" a="1"/>
  <c r="Q95" i="12" a="1"/>
  <c r="Q96" i="12" a="1"/>
  <c r="Q97" i="12" a="1"/>
  <c r="Q98" i="12" a="1"/>
  <c r="Q99" i="12" a="1"/>
  <c r="Q100" i="12" a="1"/>
  <c r="Q101" i="12" a="1"/>
  <c r="Q102" i="12" a="1"/>
  <c r="Q103" i="12" a="1"/>
  <c r="Q104" i="12" a="1"/>
  <c r="Q105" i="12" a="1"/>
  <c r="Q106" i="12" a="1"/>
  <c r="Q107" i="12" a="1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J8" i="12" a="1"/>
  <c r="J9" i="12" a="1"/>
  <c r="J10" i="12" a="1"/>
  <c r="J11" i="12" a="1"/>
  <c r="J12" i="12" a="1"/>
  <c r="J13" i="12" a="1"/>
  <c r="J14" i="12" a="1"/>
  <c r="J15" i="12" a="1"/>
  <c r="J16" i="12" a="1"/>
  <c r="J17" i="12" a="1"/>
  <c r="J18" i="12" a="1"/>
  <c r="J19" i="12" a="1"/>
  <c r="J20" i="12" a="1"/>
  <c r="J21" i="12" a="1"/>
  <c r="J22" i="12" a="1"/>
  <c r="J23" i="12" a="1"/>
  <c r="J24" i="12" a="1"/>
  <c r="J25" i="12" a="1"/>
  <c r="J26" i="12" a="1"/>
  <c r="J27" i="12" a="1"/>
  <c r="J28" i="12" a="1"/>
  <c r="J29" i="12" a="1"/>
  <c r="J30" i="12" a="1"/>
  <c r="J31" i="12" a="1"/>
  <c r="J32" i="12" a="1"/>
  <c r="J33" i="12" a="1"/>
  <c r="J34" i="12" a="1"/>
  <c r="J35" i="12" a="1"/>
  <c r="J36" i="12" a="1"/>
  <c r="J37" i="12" a="1"/>
  <c r="J38" i="12" a="1"/>
  <c r="J39" i="12" a="1"/>
  <c r="J40" i="12" a="1"/>
  <c r="J41" i="12" a="1"/>
  <c r="J42" i="12" a="1"/>
  <c r="J43" i="12" a="1"/>
  <c r="J44" i="12" a="1"/>
  <c r="J45" i="12" a="1"/>
  <c r="J46" i="12" a="1"/>
  <c r="J47" i="12" a="1"/>
  <c r="J48" i="12" a="1"/>
  <c r="J49" i="12" a="1"/>
  <c r="J50" i="12" a="1"/>
  <c r="J51" i="12" a="1"/>
  <c r="J52" i="12" a="1"/>
  <c r="J53" i="12" a="1"/>
  <c r="J54" i="12" a="1"/>
  <c r="J55" i="12" a="1"/>
  <c r="J56" i="12" a="1"/>
  <c r="J57" i="12" a="1"/>
  <c r="J58" i="12" a="1"/>
  <c r="J59" i="12" a="1"/>
  <c r="J60" i="12" a="1"/>
  <c r="J61" i="12" a="1"/>
  <c r="J62" i="12" a="1"/>
  <c r="J63" i="12" a="1"/>
  <c r="J64" i="12" a="1"/>
  <c r="J65" i="12" a="1"/>
  <c r="J66" i="12" a="1"/>
  <c r="J67" i="12" a="1"/>
  <c r="J68" i="12" a="1"/>
  <c r="J69" i="12" a="1"/>
  <c r="J70" i="12" a="1"/>
  <c r="J71" i="12" a="1"/>
  <c r="J72" i="12" a="1"/>
  <c r="J73" i="12" a="1"/>
  <c r="J74" i="12" a="1"/>
  <c r="J75" i="12" a="1"/>
  <c r="J76" i="12" a="1"/>
  <c r="J77" i="12" a="1"/>
  <c r="J78" i="12" a="1"/>
  <c r="J79" i="12" a="1"/>
  <c r="J80" i="12" a="1"/>
  <c r="J81" i="12" a="1"/>
  <c r="J82" i="12" a="1"/>
  <c r="J83" i="12" a="1"/>
  <c r="J84" i="12" a="1"/>
  <c r="J85" i="12" a="1"/>
  <c r="J86" i="12" a="1"/>
  <c r="J87" i="12" a="1"/>
  <c r="J88" i="12" a="1"/>
  <c r="J89" i="12" a="1"/>
  <c r="J90" i="12" a="1"/>
  <c r="J91" i="12" a="1"/>
  <c r="J92" i="12" a="1"/>
  <c r="J93" i="12" a="1"/>
  <c r="J94" i="12" a="1"/>
  <c r="J95" i="12" a="1"/>
  <c r="J96" i="12" a="1"/>
  <c r="J97" i="12" a="1"/>
  <c r="J98" i="12" a="1"/>
  <c r="J99" i="12" a="1"/>
  <c r="J100" i="12" a="1"/>
  <c r="J101" i="12" a="1"/>
  <c r="J102" i="12" a="1"/>
  <c r="J103" i="12" a="1"/>
  <c r="J104" i="12" a="1"/>
  <c r="J105" i="12" a="1"/>
  <c r="J106" i="12" a="1"/>
  <c r="J107" i="12" a="1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G8" i="12" a="1"/>
  <c r="G9" i="12" a="1"/>
  <c r="G10" i="12" a="1"/>
  <c r="G11" i="12" a="1"/>
  <c r="G12" i="12" a="1"/>
  <c r="G13" i="12" a="1"/>
  <c r="G14" i="12" a="1"/>
  <c r="G15" i="12" a="1"/>
  <c r="G16" i="12" a="1"/>
  <c r="G17" i="12" a="1"/>
  <c r="G18" i="12" a="1"/>
  <c r="G19" i="12" a="1"/>
  <c r="G20" i="12" a="1"/>
  <c r="G21" i="12" a="1"/>
  <c r="G22" i="12" a="1"/>
  <c r="G23" i="12" a="1"/>
  <c r="G24" i="12" a="1"/>
  <c r="G25" i="12" a="1"/>
  <c r="G26" i="12" a="1"/>
  <c r="G27" i="12" a="1"/>
  <c r="G28" i="12" a="1"/>
  <c r="G29" i="12" a="1"/>
  <c r="G30" i="12" a="1"/>
  <c r="G31" i="12" a="1"/>
  <c r="G32" i="12" a="1"/>
  <c r="G33" i="12" a="1"/>
  <c r="G34" i="12" a="1"/>
  <c r="G35" i="12" a="1"/>
  <c r="G36" i="12" a="1"/>
  <c r="G37" i="12" a="1"/>
  <c r="G38" i="12" a="1"/>
  <c r="G39" i="12" a="1"/>
  <c r="G40" i="12" a="1"/>
  <c r="G41" i="12" a="1"/>
  <c r="G42" i="12" a="1"/>
  <c r="G43" i="12" a="1"/>
  <c r="G44" i="12" a="1"/>
  <c r="G45" i="12" a="1"/>
  <c r="G46" i="12" a="1"/>
  <c r="G47" i="12" a="1"/>
  <c r="G48" i="12" a="1"/>
  <c r="G49" i="12" a="1"/>
  <c r="G50" i="12" a="1"/>
  <c r="G51" i="12" a="1"/>
  <c r="G52" i="12" a="1"/>
  <c r="G53" i="12" a="1"/>
  <c r="G54" i="12" a="1"/>
  <c r="G55" i="12" a="1"/>
  <c r="G56" i="12" a="1"/>
  <c r="G57" i="12" a="1"/>
  <c r="G58" i="12" a="1"/>
  <c r="G59" i="12" a="1"/>
  <c r="G60" i="12" a="1"/>
  <c r="G61" i="12" a="1"/>
  <c r="G62" i="12" a="1"/>
  <c r="G63" i="12" a="1"/>
  <c r="G64" i="12" a="1"/>
  <c r="G65" i="12" a="1"/>
  <c r="G66" i="12" a="1"/>
  <c r="G67" i="12" a="1"/>
  <c r="G68" i="12" a="1"/>
  <c r="G69" i="12" a="1"/>
  <c r="G70" i="12" a="1"/>
  <c r="G71" i="12" a="1"/>
  <c r="G72" i="12" a="1"/>
  <c r="G73" i="12" a="1"/>
  <c r="G74" i="12" a="1"/>
  <c r="G75" i="12" a="1"/>
  <c r="G76" i="12" a="1"/>
  <c r="G77" i="12" a="1"/>
  <c r="G78" i="12" a="1"/>
  <c r="G79" i="12" a="1"/>
  <c r="G80" i="12" a="1"/>
  <c r="G81" i="12" a="1"/>
  <c r="G82" i="12" a="1"/>
  <c r="G83" i="12" a="1"/>
  <c r="G84" i="12" a="1"/>
  <c r="G85" i="12" a="1"/>
  <c r="G86" i="12" a="1"/>
  <c r="G87" i="12" a="1"/>
  <c r="G88" i="12" a="1"/>
  <c r="G89" i="12" a="1"/>
  <c r="G90" i="12" a="1"/>
  <c r="G91" i="12" a="1"/>
  <c r="G92" i="12" a="1"/>
  <c r="G93" i="12" a="1"/>
  <c r="G94" i="12" a="1"/>
  <c r="G95" i="12" a="1"/>
  <c r="G96" i="12" a="1"/>
  <c r="G97" i="12" a="1"/>
  <c r="G98" i="12" a="1"/>
  <c r="G99" i="12" a="1"/>
  <c r="G100" i="12" a="1"/>
  <c r="G101" i="12" a="1"/>
  <c r="G102" i="12" a="1"/>
  <c r="G103" i="12" a="1"/>
  <c r="G104" i="12" a="1"/>
  <c r="G105" i="12" a="1"/>
  <c r="G106" i="12" a="1"/>
  <c r="G107" i="12" a="1"/>
  <c r="D1" i="12" a="1"/>
  <c r="BF3" i="12" a="1"/>
  <c r="A3" i="14" a="1"/>
  <c r="A3" i="13" a="1"/>
  <c r="B4" i="12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<sst xmlns="http://schemas.openxmlformats.org/spreadsheetml/2006/main" count="138" uniqueCount="87">
  <si>
    <t>Vol</t>
  </si>
  <si>
    <t>Live</t>
  </si>
  <si>
    <t>Updated</t>
  </si>
  <si>
    <t>BondOption (JGB OTC options, European, physical delivery)</t>
  </si>
  <si>
    <t>Trade date (blank = today)</t>
  </si>
  <si>
    <t>Trade date used</t>
  </si>
  <si>
    <t>Normal vol -&gt; bp/day: divide by SQRT of</t>
  </si>
  <si>
    <t>Bond</t>
  </si>
  <si>
    <t>Type</t>
  </si>
  <si>
    <t>Expiry</t>
  </si>
  <si>
    <t>Settle lag (bd)</t>
  </si>
  <si>
    <t>Notional (100mn JPY)</t>
  </si>
  <si>
    <t>Repo (%)</t>
  </si>
  <si>
    <t>ATM slide (bp)</t>
  </si>
  <si>
    <t>Normal vol override (bp/yr)</t>
  </si>
  <si>
    <t>bp vol override (bp/day)</t>
  </si>
  <si>
    <t>Coupon (%)</t>
  </si>
  <si>
    <t>Maturity</t>
  </si>
  <si>
    <t>Close yield (%)</t>
  </si>
  <si>
    <t>Close date</t>
  </si>
  <si>
    <t>ATM yield (%)</t>
  </si>
  <si>
    <t>Strike yield (%)</t>
  </si>
  <si>
    <t>Spot settle</t>
  </si>
  <si>
    <t>Exercise settle</t>
  </si>
  <si>
    <t>Spot price</t>
  </si>
  <si>
    <t>Strike price</t>
  </si>
  <si>
    <t>Fwd clean</t>
  </si>
  <si>
    <t>Fwd dirty</t>
  </si>
  <si>
    <t>Fwd yield (%)</t>
  </si>
  <si>
    <t>Fwd DD</t>
  </si>
  <si>
    <t>Fwd MD</t>
  </si>
  <si>
    <t>Normal vol (bp/yr)</t>
  </si>
  <si>
    <t>Price vol (%)</t>
  </si>
  <si>
    <t>Term (bd/252)</t>
  </si>
  <si>
    <t>Premium (sen)</t>
  </si>
  <si>
    <t>Premium (JPY)</t>
  </si>
  <si>
    <t>JS182</t>
  </si>
  <si>
    <t>Live vol (Name / RIC / Value)</t>
  </si>
  <si>
    <t>JGB master and JCL close on or before the trade date (python -m engine.common.morning_batch)</t>
  </si>
  <si>
    <t>Code</t>
  </si>
  <si>
    <t>RIC</t>
  </si>
  <si>
    <t>ISIN</t>
  </si>
  <si>
    <t>Japan holidays excluding weekends (QuantLib ql.Japan())</t>
  </si>
  <si>
    <t>Date</t>
  </si>
  <si>
    <t>Scheme</t>
  </si>
  <si>
    <t>Accrued (spot)</t>
  </si>
  <si>
    <t>Accrued (exercise)</t>
  </si>
  <si>
    <t>Interim coupons (fwd value)</t>
  </si>
  <si>
    <t>Strike basis</t>
  </si>
  <si>
    <t>Strike + premium</t>
  </si>
  <si>
    <t>TB</t>
  </si>
  <si>
    <t>Repo bid (%)</t>
  </si>
  <si>
    <t>Repo offer (%)</t>
  </si>
  <si>
    <t>Repo side</t>
  </si>
  <si>
    <t>BW</t>
  </si>
  <si>
    <t>Call</t>
  </si>
  <si>
    <t>CC</t>
  </si>
  <si>
    <t>Put</t>
  </si>
  <si>
    <t>ITMBW</t>
  </si>
  <si>
    <t>Inputs: yellow cells. Strike: fill exactly one of Spot +sen / Fwd +sen / Fwd price / ATM +bp / Yield (ITMBW: none). Repo: from the scheme table (Bid/Offer) unless overridden.</t>
  </si>
  <si>
    <t>Vol override priority: Price vol &gt; bp vol &gt; Normal vol &gt; interpolated. Any computed cell can be overwritten by hand.</t>
  </si>
  <si>
    <t>Data: python -m engine.common.morning_batch (Bonds sheet). Vols: live feed. Premium is not discounted.</t>
  </si>
  <si>
    <t>Repo override (%)</t>
  </si>
  <si>
    <t>Spot +sen</t>
  </si>
  <si>
    <t>Fwd +sen</t>
  </si>
  <si>
    <t>Fwd price</t>
  </si>
  <si>
    <t>ATM +bp</t>
  </si>
  <si>
    <t>Yield (%)</t>
  </si>
  <si>
    <t>bp vol (bp/day)</t>
  </si>
  <si>
    <t>Price vol override (%)</t>
  </si>
  <si>
    <t>Quote text</t>
  </si>
  <si>
    <t>Message</t>
  </si>
  <si>
    <t>Normal vol interpolated (bp/yr)</t>
  </si>
  <si>
    <t>Fwd yield</t>
  </si>
  <si>
    <t>Normal vol</t>
  </si>
  <si>
    <t>ITMBW strike</t>
  </si>
  <si>
    <t>Premium (JPY/100)</t>
  </si>
  <si>
    <t/>
  </si>
  <si>
    <t>Trade</t>
  </si>
  <si>
    <t>Market</t>
  </si>
  <si>
    <t>Strike input (fill one)</t>
  </si>
  <si>
    <t>Forward</t>
  </si>
  <si>
    <t>Strike</t>
  </si>
  <si>
    <t>Vol (override -&gt; used)</t>
  </si>
  <si>
    <t>Premium</t>
  </si>
  <si>
    <t>Details</t>
  </si>
  <si>
    <t>Calc (table UDFs)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</si>
</sst>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"/>
    <numFmt numFmtId="177" formatCode="0.000"/>
    <numFmt numFmtId="178" formatCode="0.0"/>
    <numFmt numFmtId="179" formatCode="0.0000"/>
    <numFmt numFmtId="180" formatCode="0.000000"/>
    <numFmt numFmtId="181" formatCode="0.00000"/>
  </numFmts>
  <fonts count="4" x14ac:knownFonts="1">
    <font>
      <sz val="11"/>
      <color theme="1"/>
      <name val="Noto Sans JP"/>
      <family val="3"/>
      <charset val="128"/>
    </font>
    <font>
      <sz val="12"/>
      <color theme="1"/>
      <name val="Noto Sans JP"/>
      <family val="3"/>
    </font>
    <font>
      <sz val="6"/>
      <name val="游ゴシック"/>
      <family val="2"/>
      <charset val="128"/>
      <scheme val="minor"/>
    </font>
    <font>
      <b/>
      <sz val="11"/>
      <color theme="1"/>
      <name val="Noto Sans JP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/>
  </cellStyleXfs>
  <cellXfs count="74">
    <xf numFmtId="0" fontId="0" fillId="0" borderId="0" xfId="0">
      <alignment vertical="center"/>
    </xf>
    <xf numFmtId="2" fontId="0" fillId="0" borderId="0" xfId="0" applyNumberFormat="1">
      <alignment vertical="center"/>
    </xf>
    <xf numFmtId="0" fontId="3" fillId="0" borderId="0" xfId="0" applyFont="1">
      <alignment vertical="center"/>
    </xf>
    <xf numFmtId="176" fontId="0" fillId="0" borderId="0" xfId="0" applyNumberFormat="1">
      <alignment vertical="center"/>
    </xf>
    <xf numFmtId="49" fontId="0" fillId="2" borderId="0" xfId="0" applyNumberFormat="1" applyFill="1">
      <alignment vertical="center"/>
    </xf>
    <xf numFmtId="0" fontId="3" fillId="2" borderId="0" xfId="0" applyFont="1" applyFill="1" applyAlignment="1">
      <alignment vertical="center" wrapText="1"/>
    </xf>
    <xf numFmtId="176" fontId="0" fillId="2" borderId="0" xfId="0" applyNumberFormat="1" applyFill="1">
      <alignment vertical="center"/>
    </xf>
    <xf numFmtId="1" fontId="0" fillId="2" borderId="0" xfId="0" applyNumberFormat="1" applyFill="1">
      <alignment vertical="center"/>
    </xf>
    <xf numFmtId="3" fontId="0" fillId="0" borderId="0" xfId="0" applyNumberFormat="1">
      <alignment vertical="center"/>
    </xf>
    <xf numFmtId="177" fontId="0" fillId="0" borderId="0" xfId="0" applyNumberFormat="1">
      <alignment vertical="center"/>
    </xf>
    <xf numFmtId="177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77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0" fontId="0" fillId="0" borderId="3" xfId="0" applyBorder="1">
      <alignment vertical="center"/>
    </xf>
    <xf numFmtId="0" fontId="3" fillId="2" borderId="4" xfId="0" applyFont="1" applyFill="1" applyBorder="1">
      <alignment vertical="center"/>
    </xf>
    <xf numFmtId="0" fontId="0" fillId="0" borderId="4" xfId="0" applyBorder="1">
      <alignment vertical="center"/>
    </xf>
    <xf numFmtId="0" fontId="0" fillId="2" borderId="4" xfId="0" applyFill="1" applyBorder="1">
      <alignment vertical="center"/>
    </xf>
    <xf numFmtId="0" fontId="0" fillId="0" borderId="0" xfId="0" applyNumberFormat="1">
      <alignment vertical="center"/>
    </xf>
    <xf numFmtId="0" fontId="3" fillId="2" borderId="0" xfId="0" applyFont="1" applyFill="1" applyAlignment="1">
      <alignment horizontal="centerContinuous" vertical="center"/>
    </xf>
    <xf numFmtId="49" fontId="0" fillId="2" borderId="3" xfId="0" applyNumberFormat="1" applyFill="1" applyBorder="1">
      <alignment vertical="center"/>
    </xf>
    <xf numFmtId="176" fontId="0" fillId="2" borderId="3" xfId="0" applyNumberFormat="1" applyFill="1" applyBorder="1">
      <alignment vertical="center"/>
    </xf>
    <xf numFmtId="1" fontId="0" fillId="2" borderId="3" xfId="0" applyNumberFormat="1" applyFill="1" applyBorder="1">
      <alignment vertical="center"/>
    </xf>
    <xf numFmtId="177" fontId="0" fillId="2" borderId="3" xfId="0" applyNumberFormat="1" applyFill="1" applyBorder="1">
      <alignment vertical="center"/>
    </xf>
    <xf numFmtId="177" fontId="0" fillId="0" borderId="3" xfId="0" applyNumberFormat="1" applyBorder="1">
      <alignment vertical="center"/>
    </xf>
    <xf numFmtId="178" fontId="0" fillId="2" borderId="3" xfId="0" applyNumberFormat="1" applyFill="1" applyBorder="1">
      <alignment vertical="center"/>
    </xf>
    <xf numFmtId="180" fontId="0" fillId="0" borderId="3" xfId="0" applyNumberFormat="1" applyBorder="1">
      <alignment vertical="center"/>
    </xf>
    <xf numFmtId="0" fontId="0" fillId="0" borderId="3" xfId="0" applyNumberFormat="1" applyBorder="1">
      <alignment vertical="center"/>
    </xf>
    <xf numFmtId="2" fontId="0" fillId="0" borderId="3" xfId="0" applyNumberFormat="1" applyBorder="1">
      <alignment vertical="center"/>
    </xf>
    <xf numFmtId="179" fontId="0" fillId="0" borderId="3" xfId="0" applyNumberFormat="1" applyBorder="1">
      <alignment vertical="center"/>
    </xf>
    <xf numFmtId="3" fontId="0" fillId="0" borderId="3" xfId="0" applyNumberFormat="1" applyBorder="1">
      <alignment vertical="center"/>
    </xf>
    <xf numFmtId="176" fontId="0" fillId="0" borderId="3" xfId="0" applyNumberFormat="1" applyBorder="1">
      <alignment vertical="center"/>
    </xf>
    <xf numFmtId="0" fontId="3" fillId="2" borderId="5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 wrapText="1"/>
    </xf>
    <xf numFmtId="0" fontId="3" fillId="2" borderId="8" xfId="0" applyFont="1" applyFill="1" applyBorder="1" applyAlignment="1">
      <alignment horizontal="centerContinuous" vertical="center"/>
    </xf>
    <xf numFmtId="0" fontId="3" fillId="2" borderId="9" xfId="0" applyFont="1" applyFill="1" applyBorder="1" applyAlignment="1">
      <alignment vertical="center" wrapText="1"/>
    </xf>
    <xf numFmtId="49" fontId="0" fillId="2" borderId="8" xfId="0" applyNumberFormat="1" applyFill="1" applyBorder="1">
      <alignment vertical="center"/>
    </xf>
    <xf numFmtId="49" fontId="0" fillId="2" borderId="7" xfId="0" applyNumberFormat="1" applyFill="1" applyBorder="1">
      <alignment vertical="center"/>
    </xf>
    <xf numFmtId="0" fontId="3" fillId="2" borderId="11" xfId="0" applyFont="1" applyFill="1" applyBorder="1" applyAlignment="1">
      <alignment horizontal="centerContinuous" vertical="center"/>
    </xf>
    <xf numFmtId="0" fontId="3" fillId="2" borderId="12" xfId="0" applyFont="1" applyFill="1" applyBorder="1" applyAlignment="1">
      <alignment vertical="center" wrapText="1"/>
    </xf>
    <xf numFmtId="3" fontId="0" fillId="2" borderId="11" xfId="0" applyNumberFormat="1" applyFill="1" applyBorder="1">
      <alignment vertical="center"/>
    </xf>
    <xf numFmtId="3" fontId="0" fillId="2" borderId="10" xfId="0" applyNumberFormat="1" applyFill="1" applyBorder="1">
      <alignment vertical="center"/>
    </xf>
    <xf numFmtId="177" fontId="0" fillId="2" borderId="8" xfId="0" applyNumberFormat="1" applyFill="1" applyBorder="1">
      <alignment vertical="center"/>
    </xf>
    <xf numFmtId="177" fontId="0" fillId="2" borderId="7" xfId="0" applyNumberFormat="1" applyFill="1" applyBorder="1">
      <alignment vertical="center"/>
    </xf>
    <xf numFmtId="177" fontId="0" fillId="0" borderId="11" xfId="0" applyNumberFormat="1" applyBorder="1">
      <alignment vertical="center"/>
    </xf>
    <xf numFmtId="177" fontId="0" fillId="0" borderId="10" xfId="0" applyNumberFormat="1" applyBorder="1">
      <alignment vertical="center"/>
    </xf>
    <xf numFmtId="178" fontId="0" fillId="2" borderId="8" xfId="0" applyNumberFormat="1" applyFill="1" applyBorder="1">
      <alignment vertical="center"/>
    </xf>
    <xf numFmtId="178" fontId="0" fillId="2" borderId="7" xfId="0" applyNumberFormat="1" applyFill="1" applyBorder="1">
      <alignment vertical="center"/>
    </xf>
    <xf numFmtId="177" fontId="0" fillId="2" borderId="11" xfId="0" applyNumberFormat="1" applyFill="1" applyBorder="1">
      <alignment vertical="center"/>
    </xf>
    <xf numFmtId="177" fontId="0" fillId="2" borderId="10" xfId="0" applyNumberFormat="1" applyFill="1" applyBorder="1">
      <alignment vertical="center"/>
    </xf>
    <xf numFmtId="0" fontId="3" fillId="2" borderId="14" xfId="0" applyFont="1" applyFill="1" applyBorder="1" applyAlignment="1">
      <alignment horizontal="centerContinuous" vertical="center"/>
    </xf>
    <xf numFmtId="0" fontId="3" fillId="2" borderId="15" xfId="0" applyFont="1" applyFill="1" applyBorder="1" applyAlignment="1">
      <alignment vertical="center" wrapText="1"/>
    </xf>
    <xf numFmtId="180" fontId="0" fillId="0" borderId="14" xfId="0" applyNumberFormat="1" applyBorder="1">
      <alignment vertical="center"/>
    </xf>
    <xf numFmtId="180" fontId="0" fillId="0" borderId="13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7" xfId="0" applyNumberFormat="1" applyBorder="1">
      <alignment vertical="center"/>
    </xf>
    <xf numFmtId="2" fontId="0" fillId="2" borderId="8" xfId="0" applyNumberFormat="1" applyFill="1" applyBorder="1">
      <alignment vertical="center"/>
    </xf>
    <xf numFmtId="2" fontId="0" fillId="2" borderId="7" xfId="0" applyNumberFormat="1" applyFill="1" applyBorder="1">
      <alignment vertical="center"/>
    </xf>
    <xf numFmtId="181" fontId="0" fillId="0" borderId="11" xfId="0" applyNumberFormat="1" applyBorder="1">
      <alignment vertical="center"/>
    </xf>
    <xf numFmtId="181" fontId="0" fillId="0" borderId="10" xfId="0" applyNumberFormat="1" applyBorder="1">
      <alignment vertical="center"/>
    </xf>
    <xf numFmtId="179" fontId="0" fillId="0" borderId="8" xfId="0" applyNumberFormat="1" applyBorder="1">
      <alignment vertical="center"/>
    </xf>
    <xf numFmtId="179" fontId="0" fillId="0" borderId="7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0" xfId="0" applyBorder="1">
      <alignment vertical="center"/>
    </xf>
    <xf numFmtId="177" fontId="0" fillId="0" borderId="8" xfId="0" applyNumberFormat="1" applyBorder="1">
      <alignment vertical="center"/>
    </xf>
    <xf numFmtId="177" fontId="0" fillId="0" borderId="7" xfId="0" applyNumberFormat="1" applyBorder="1">
      <alignment vertical="center"/>
    </xf>
    <xf numFmtId="2" fontId="0" fillId="0" borderId="11" xfId="0" applyNumberFormat="1" applyBorder="1">
      <alignment vertical="center"/>
    </xf>
    <xf numFmtId="2" fontId="0" fillId="0" borderId="10" xfId="0" applyNumberFormat="1" applyBorder="1">
      <alignment vertical="center"/>
    </xf>
    <xf numFmtId="179" fontId="0" fillId="2" borderId="1" xfId="0" applyNumberFormat="1" applyFill="1" applyBorder="1">
      <alignment vertical="center"/>
    </xf>
    <xf numFmtId="179" fontId="0" fillId="2" borderId="2" xfId="0" applyNumberFormat="1" applyFill="1" applyBorder="1">
      <alignment vertical="center"/>
    </xf>
    <xf numFmtId="181" fontId="0" fillId="2" borderId="1" xfId="0" applyNumberFormat="1" applyFill="1" applyBorder="1">
      <alignment vertical="center"/>
    </xf>
    <xf numFmtId="181" fontId="0" fillId="2" borderId="2" xfId="0" applyNumberFormat="1" applyFill="1" applyBorder="1">
      <alignment vertical="center"/>
    </xf>
  </cellXfs>
  <cellStyles count="2">
    <cellStyle name="標準" xfId="0" builtinId="0"/>
    <cellStyle name="標準 2" xfId="1" xr:uid="{5EE0B673-BC4E-4A3E-BA55-CCC089A2E0B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Noto Sans JP" panose="02110004020202020204"/>
        <a:ea typeface="Noto Sans JP"/>
        <a:cs typeface=""/>
        <a:font script="Jpan" typeface="Noto Sans JP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Noto Sans JP" panose="02110004020202020204"/>
        <a:ea typeface="Noto Sans JP"/>
        <a:cs typeface=""/>
        <a:font script="Jpan" typeface="Noto Sans JP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A823-2B9A-41C7-B3F3-B9279A6EA1F8}">
  <sheetPr codeName="Sheet1"/>
  <dimension ref="A1:BG107"/>
  <sheetViews>
    <sheetView tabSelected="1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" outlineLevelCol="1" x14ac:dyDescent="0.55000000000000004"/>
  <cols>
    <col min="1" max="16" width="12.1640625" customWidth="1"/>
    <col min="17" max="17" width="16.58203125" customWidth="1"/>
    <col min="18" max="28" width="12.1640625" customWidth="1"/>
    <col min="29" max="30" width="40.58203125" customWidth="1"/>
    <col min="31" max="46" width="12.1640625" hidden="1" customWidth="1" outlineLevel="1"/>
    <col min="47" max="47" width="2.58203125" customWidth="1" collapsed="1"/>
    <col min="48" max="52" width="0" hidden="1" customWidth="1" outlineLevel="1"/>
    <col min="53" max="55" width="8.6640625" hidden="1" customWidth="1" outlineLevel="1"/>
    <col min="56" max="58" width="0" hidden="1" customWidth="1" outlineLevel="1"/>
    <col min="59" max="59" width="8.6640625" collapsed="1"/>
  </cols>
  <sheetData>
    <row r="1" spans="1:58" x14ac:dyDescent="0.55000000000000004">
      <c r="A1" t="s">
        <v>0</v>
      </c>
      <c r="B1" t="s">
        <v>1</v>
      </c>
      <c r="C1" t="s">
        <v>2</v>
      </c>
      <c r="D1" cm="1">
        <f t="array" aca="1" ref="D1" ca="1">LiveInfo("vol",_xlfn.ANCHORARRAY($BF$3))</f>
      </c>
      <c r="G1" s="17" t="s">
        <v>44</v>
      </c>
      <c r="H1" s="17" t="s">
        <v>8</v>
      </c>
      <c r="I1" s="17" t="s">
        <v>53</v>
      </c>
      <c r="K1" t="s">
        <v>59</v>
      </c>
    </row>
    <row r="2" spans="1:58" x14ac:dyDescent="0.55000000000000004">
      <c r="A2" s="2" t="s">
        <v>3</v>
      </c>
      <c r="G2" s="18" t="s">
        <v>54</v>
      </c>
      <c r="H2" s="18" t="s">
        <v>55</v>
      </c>
      <c r="I2" s="19"/>
      <c r="K2" t="s">
        <v>60</v>
      </c>
      <c r="BF2" t="s">
        <v>37</v>
      </c>
    </row>
    <row r="3" spans="1:58" x14ac:dyDescent="0.55000000000000004">
      <c r="A3" t="s">
        <v>4</v>
      </c>
      <c r="B3" s="3"/>
      <c r="D3" t="s">
        <v>51</v>
      </c>
      <c r="E3" s="10"/>
      <c r="G3" s="18" t="s">
        <v>56</v>
      </c>
      <c r="H3" s="18" t="s">
        <v>55</v>
      </c>
      <c r="I3" s="19"/>
      <c r="K3" t="s">
        <v>61</v>
      </c>
      <c r="BF3" cm="1">
        <f t="array" aca="1" ref="BF3" ca="1">IF($B$1="Fixed",LiveSnapshot("vol"),LiveQuotes("vol"))</f>
      </c>
    </row>
    <row r="4" spans="1:58" x14ac:dyDescent="0.55000000000000004">
      <c r="A4" t="s">
        <v>5</v>
      </c>
      <c r="B4" s="3" cm="1">
        <f t="array" aca="1" ref="B4" ca="1">ValuationDate(B3)</f>
      </c>
      <c r="D4" t="s">
        <v>52</v>
      </c>
      <c r="E4" s="10"/>
      <c r="G4" s="18" t="s">
        <v>50</v>
      </c>
      <c r="H4" s="18" t="s">
        <v>57</v>
      </c>
      <c r="I4" s="19"/>
    </row>
    <row r="5" spans="1:58" x14ac:dyDescent="0.55000000000000004">
      <c r="A5" t="s">
        <v>6</v>
      </c>
      <c r="B5">
        <v>252</v>
      </c>
      <c r="G5" s="18" t="s">
        <v>58</v>
      </c>
      <c r="H5" s="18" t="s">
        <v>55</v>
      </c>
      <c r="I5" s="19"/>
    </row>
    <row r="6" spans="1:58" x14ac:dyDescent="0.55000000000000004">
      <c r="A6" s="36" t="s">
        <v>78</v>
      </c>
      <c r="B6" s="21"/>
      <c r="C6" s="21"/>
      <c r="D6" s="21"/>
      <c r="E6" s="40"/>
      <c r="F6" s="36" t="s">
        <v>79</v>
      </c>
      <c r="G6" s="21"/>
      <c r="H6" s="21"/>
      <c r="I6" s="21"/>
      <c r="J6" s="40"/>
      <c r="K6" s="36" t="s">
        <v>80</v>
      </c>
      <c r="L6" s="21"/>
      <c r="M6" s="21"/>
      <c r="N6" s="21"/>
      <c r="O6" s="40"/>
      <c r="P6" s="52" t="s">
        <v>81</v>
      </c>
      <c r="Q6" s="36" t="s">
        <v>82</v>
      </c>
      <c r="R6" s="21"/>
      <c r="S6" s="40"/>
      <c r="T6" s="36" t="s">
        <v>83</v>
      </c>
      <c r="U6" s="21"/>
      <c r="V6" s="21"/>
      <c r="W6" s="21"/>
      <c r="X6" s="21"/>
      <c r="Y6" s="40"/>
      <c r="Z6" s="36" t="s">
        <v>84</v>
      </c>
      <c r="AA6" s="21"/>
      <c r="AB6" s="21"/>
      <c r="AC6" s="21"/>
      <c r="AD6" s="40"/>
      <c r="AE6" s="36" t="s">
        <v>85</v>
      </c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40"/>
      <c r="AV6" s="36" t="s">
        <v>86</v>
      </c>
      <c r="AW6" s="21"/>
      <c r="AX6" s="21"/>
      <c r="AY6" s="21"/>
      <c r="AZ6" s="21"/>
      <c r="BA6" s="21"/>
      <c r="BB6" s="21"/>
      <c r="BC6" s="21"/>
      <c r="BD6" s="40"/>
    </row>
    <row r="7" spans="1:58" ht="48" customHeight="1" thickBot="1" x14ac:dyDescent="0.6">
      <c r="A7" s="37" t="s">
        <v>7</v>
      </c>
      <c r="B7" s="34" t="s">
        <v>44</v>
      </c>
      <c r="C7" s="34" t="s">
        <v>9</v>
      </c>
      <c r="D7" s="34" t="s">
        <v>10</v>
      </c>
      <c r="E7" s="41" t="s">
        <v>11</v>
      </c>
      <c r="F7" s="37" t="s">
        <v>62</v>
      </c>
      <c r="G7" s="34" t="s">
        <v>12</v>
      </c>
      <c r="H7" s="34" t="s">
        <v>13</v>
      </c>
      <c r="I7" s="34" t="s">
        <v>20</v>
      </c>
      <c r="J7" s="41" t="s">
        <v>24</v>
      </c>
      <c r="K7" s="37" t="s">
        <v>63</v>
      </c>
      <c r="L7" s="34" t="s">
        <v>64</v>
      </c>
      <c r="M7" s="34" t="s">
        <v>65</v>
      </c>
      <c r="N7" s="34" t="s">
        <v>66</v>
      </c>
      <c r="O7" s="41" t="s">
        <v>67</v>
      </c>
      <c r="P7" s="53" t="s">
        <v>26</v>
      </c>
      <c r="Q7" s="37" t="s">
        <v>48</v>
      </c>
      <c r="R7" s="34" t="s">
        <v>25</v>
      </c>
      <c r="S7" s="41" t="s">
        <v>21</v>
      </c>
      <c r="T7" s="37" t="s">
        <v>14</v>
      </c>
      <c r="U7" s="34" t="s">
        <v>31</v>
      </c>
      <c r="V7" s="35" t="s">
        <v>15</v>
      </c>
      <c r="W7" s="34" t="s">
        <v>68</v>
      </c>
      <c r="X7" s="35" t="s">
        <v>69</v>
      </c>
      <c r="Y7" s="41" t="s">
        <v>32</v>
      </c>
      <c r="Z7" s="37" t="s">
        <v>34</v>
      </c>
      <c r="AA7" s="34" t="s">
        <v>35</v>
      </c>
      <c r="AB7" s="34" t="s">
        <v>49</v>
      </c>
      <c r="AC7" s="34" t="s">
        <v>70</v>
      </c>
      <c r="AD7" s="41" t="s">
        <v>71</v>
      </c>
      <c r="AE7" s="37" t="s">
        <v>16</v>
      </c>
      <c r="AF7" s="34" t="s">
        <v>17</v>
      </c>
      <c r="AG7" s="34" t="s">
        <v>18</v>
      </c>
      <c r="AH7" s="34" t="s">
        <v>19</v>
      </c>
      <c r="AI7" s="34" t="s">
        <v>8</v>
      </c>
      <c r="AJ7" s="34" t="s">
        <v>22</v>
      </c>
      <c r="AK7" s="34" t="s">
        <v>23</v>
      </c>
      <c r="AL7" s="34" t="s">
        <v>33</v>
      </c>
      <c r="AM7" s="34" t="s">
        <v>45</v>
      </c>
      <c r="AN7" s="34" t="s">
        <v>46</v>
      </c>
      <c r="AO7" s="34" t="s">
        <v>47</v>
      </c>
      <c r="AP7" s="34" t="s">
        <v>27</v>
      </c>
      <c r="AQ7" s="34" t="s">
        <v>28</v>
      </c>
      <c r="AR7" s="34" t="s">
        <v>29</v>
      </c>
      <c r="AS7" s="34" t="s">
        <v>30</v>
      </c>
      <c r="AT7" s="41" t="s">
        <v>72</v>
      </c>
      <c r="AU7" s="5"/>
      <c r="AV7" s="37" t="s">
        <v>73</v>
      </c>
      <c r="AW7" s="34" t="s">
        <v>29</v>
      </c>
      <c r="AX7" s="34" t="s">
        <v>30</v>
      </c>
      <c r="AY7" s="34" t="s">
        <v>74</v>
      </c>
      <c r="AZ7" s="34" t="s">
        <v>71</v>
      </c>
      <c r="BA7" s="34" t="s">
        <v>75</v>
      </c>
      <c r="BB7" s="34" t="s">
        <v>71</v>
      </c>
      <c r="BC7" s="34" t="s">
        <v>76</v>
      </c>
      <c r="BD7" s="41" t="s">
        <v>71</v>
      </c>
    </row>
    <row r="8" spans="1:58" x14ac:dyDescent="0.55000000000000004">
      <c r="A8" s="38" t="s">
        <v>36</v>
      </c>
      <c r="B8" s="4" t="s">
        <v>50</v>
      </c>
      <c r="C8" s="6">
        <v>46371.625</v>
      </c>
      <c r="D8" s="7">
        <v>1</v>
      </c>
      <c r="E8" s="42">
        <v>10</v>
      </c>
      <c r="F8" s="44">
        <v>0.5</v>
      </c>
      <c r="G8" s="9" cm="1">
        <f t="array" aca="1" ref="G8" ca="1">IF($A8="","",IF($F8&lt;&gt;"",$F8,_xlfn.LET(_xlpm.s,_xlfn.XLOOKUP($B8,INDEX(SchemeTable,0,1),INDEX(SchemeTable,0,3),""),_xlpm.r,_xlfn.SWITCH(_xlpm.s,"Bid",IF(ISBLANK(RepoBid),"",RepoBid),"Offer",IF(ISBLANK(RepoOffer),"",RepoOffer),""),IF(_xlpm.s="","Error: set repo side for "&amp;$B8,IF(_xlpm.r="","Error: enter repo "&amp;LOWER(_xlpm.s),_xlpm.r)))))</f>
      </c>
      <c r="H8" s="11">
        <v>0</v>
      </c>
      <c r="I8" s="9">
        <f t="shared" ref="I8:I39" ca="1" si="0">IF($A8="","",$AG8+N($H8)/100)</f>
      </c>
      <c r="J8" s="46" cm="1">
        <f t="array" aca="1" ref="J8" ca="1">IF($A8="","",JGB_PRICE($AE8,$I8,$AJ8,$AF8))</f>
      </c>
      <c r="K8" s="48"/>
      <c r="L8" s="11"/>
      <c r="M8" s="10"/>
      <c r="N8" s="11">
        <v>0</v>
      </c>
      <c r="O8" s="50"/>
      <c r="P8" s="54">
        <f t="shared" ref="P8:P39" ca="1" si="1">IF($A8="","",$AP8-$AN8)</f>
      </c>
      <c r="Q8" s="56" cm="1">
        <f t="array" aca="1" ref="Q8" ca="1">IF($A8="","",_xlfn.LET(_xlpm.n,COUNTA($K8:$O8),IF($B8="ITMBW",IF(_xlpm.n=0,"ITMBW","Error: ITMBW takes no strike input"),IF(_xlpm.n=1,_xlfn.XLOOKUP(TRUE,$K8:$O8&lt;&gt;"",{"Spot +sen","Fwd +sen","Fwd price","ATM +bp","Yield"}),IF(_xlpm.n=0,"Error: enter one strike input","Error: enter only one strike input")))))</f>
      </c>
      <c r="R8" s="9" cm="1">
        <f t="array" aca="1" ref="R8" ca="1">IF($A8="","",_xlfn.SWITCH($Q8,"Spot +sen",ROUNDDOWN(ROUND($J8+$K8/100,9),3),"Fwd +sen",ROUNDDOWN(ROUND($P8+$L8/100,9),3),"Fwd price",$M8,"ATM +bp",JGB_PRICE($AE8,$I8+$N8/100,$C8,$AF8),"Yield",JGB_PRICE($AE8,$O8,$C8,$AF8),"ITMBW",IF($BA8="",NA(),$BA8),NA()))</f>
      </c>
      <c r="S8" s="46" cm="1">
        <f t="array" aca="1" ref="S8" ca="1">IF($A8="","",JGB_YIELD($AE8,$R8,$AK8,$AF8))</f>
      </c>
      <c r="T8" s="58"/>
      <c r="U8" s="1">
        <f ca="1">IF($A8="","",IF(OR($X8&lt;&gt;"",$V8&lt;&gt;""),$W8*SQRT(VolDays),IF($T8&lt;&gt;"",$T8,$AT8)))</f>
      </c>
      <c r="V8" s="70"/>
      <c r="W8" s="12">
        <f ca="1">IF($A8="","",IF($X8&lt;&gt;"",$X8*100/(SQRT(252)*$AS8),IF($V8&lt;&gt;"",$V8,IF($T8&lt;&gt;"",$T8,$AT8)/SQRT(VolDays))))</f>
      </c>
      <c r="X8" s="72"/>
      <c r="Y8" s="60">
        <f t="shared" ref="Y8:Y39" ca="1" si="2">IF($A8="","",IF($X8&lt;&gt;"",$X8,$W8*SQRT(252)*$AS8/100))</f>
      </c>
      <c r="Z8" s="62">
        <f t="shared" ref="Z8:Z39" ca="1" si="3">IF($A8="","",IF($BC8="",NA(),$BC8*100))</f>
      </c>
      <c r="AA8" s="8">
        <f t="shared" ref="AA8:AA39" ca="1" si="4">IF(OR($A8="",$E8=""),"",$Z8*$E8*10000)</f>
      </c>
      <c r="AB8" s="9">
        <f t="shared" ref="AB8:AB39" ca="1" si="5">IF($A8="","",$R8+$Z8/100)</f>
      </c>
      <c r="AD8" s="64">
        <f t="shared" ref="AD8:AD39" ca="1" si="6">IF($A8="","",_xlfn.TEXTJOIN(" / ",TRUE,IF(ISTEXT($G8),$G8,""),IF(LEFT($Q8,5)="Error",$Q8,""),$AZ8,$BB8,$BD8))</f>
      </c>
      <c r="AE8" s="66" cm="1">
        <f t="array" aca="1" ref="AE8" ca="1">IF($A8="","",_xlfn.XLOOKUP($A8,INDEX(BondList,0,1),INDEX(BondList,0,2)))</f>
      </c>
      <c r="AF8" s="3" cm="1">
        <f t="array" aca="1" ref="AF8" ca="1">IF($A8="","",_xlfn.XLOOKUP($A8,INDEX(BondList,0,1),INDEX(BondList,0,3)))</f>
      </c>
      <c r="AG8" s="9" cm="1">
        <f t="array" aca="1" ref="AG8" ca="1">IF($A8="","",_xlfn.XLOOKUP($A8,INDEX(BondList,0,1),INDEX(BondList,0,4)))</f>
      </c>
      <c r="AH8" s="3" cm="1">
        <f t="array" aca="1" ref="AH8" ca="1">IF($A8="","",_xlfn.XLOOKUP($A8,INDEX(BondList,0,1),INDEX(BondList,0,5)))</f>
      </c>
      <c r="AI8" s="20" cm="1">
        <f t="array" aca="1" ref="AI8" ca="1">IF($A8="","",_xlfn.XLOOKUP($B8,INDEX(SchemeTable,0,1),INDEX(SchemeTable,0,2),NA()))</f>
      </c>
      <c r="AJ8" s="3">
        <f ca="1">IF($A8="","",WORKDAY(TradeDate,1,Holidays))</f>
      </c>
      <c r="AK8" s="3">
        <f ca="1">IF($A8="","",WORKDAY($C8,$D8,Holidays))</f>
      </c>
      <c r="AL8" s="13">
        <f ca="1">IF($A8="","",NETWORKDAYS(TradeDate,$C8-1,Holidays)/252)</f>
      </c>
      <c r="AM8" s="13" cm="1">
        <f t="array" aca="1" ref="AM8" ca="1">IF($A8="","",JGB_AI($AE8,$AJ8,$AF8))</f>
      </c>
      <c r="AN8" s="13" cm="1">
        <f t="array" aca="1" ref="AN8" ca="1">IF($A8="","",JGB_AI($AE8,$AK8,$AF8))</f>
      </c>
      <c r="AO8" s="13" cm="1">
        <f t="array" aca="1" ref="AO8" ca="1">IF($A8="","",JGB_CARRY_COUPONS($AE8,$AF8,$AJ8,$AK8,$G8))</f>
      </c>
      <c r="AP8" s="13">
        <f t="shared" ref="AP8:AP39" ca="1" si="7">IF($A8="","",($J8+$AM8)*(1+$G8/100*($AK8-$AJ8)/365)-$AO8)</f>
      </c>
      <c r="AQ8" s="9">
        <f t="shared" ref="AQ8:AQ39" ca="1" si="8">IF($A8="","",IF($AV8="",NA(),$AV8))</f>
      </c>
      <c r="AR8" s="13">
        <f t="shared" ref="AR8:AR39" ca="1" si="9">IF($A8="","",IF($AW8="",NA(),$AW8))</f>
      </c>
      <c r="AS8" s="12">
        <f t="shared" ref="AS8:AS39" ca="1" si="10">IF($A8="","",IF($AX8="",NA(),$AX8))</f>
      </c>
      <c r="AT8" s="68">
        <f t="shared" ref="AT8:AT39" ca="1" si="11">IF($A8="","",IF($AY8="",NA(),$AY8))</f>
      </c>
      <c r="AV8" s="66" cm="1">
        <f t="array" aca="1" ref="AV8" ca="1">OptionMarketTable($A$8:$A$107,$AE$8:$AE$107,$AF$8:$AF$107,$AP$8:$AP$107,$AK$8:$AK$107,$C$8:$C$107,_xlfn.ANCHORARRAY($BF$3),TradeDate)</f>
      </c>
      <c r="AW8" s="13"/>
      <c r="AX8" s="12"/>
      <c r="AY8" s="1"/>
      <c r="BA8" s="9" cm="1">
        <f t="array" aca="1" ref="BA8" ca="1">ItmBuyWriteTable($Q$8:$Q$107,$P$8:$P$107,$J$8:$J$107,$Y$8:$Y$107,$AL$8:$AL$107)</f>
      </c>
      <c r="BC8" s="12" cm="1">
        <f t="array" aca="1" ref="BC8" ca="1">PremiumTable($AI$8:$AI$107,$P$8:$P$107,$R$8:$R$107,$Y$8:$Y$107,$AL$8:$AL$107)</f>
      </c>
      <c r="BD8" s="64"/>
    </row>
    <row r="9" spans="1:58" x14ac:dyDescent="0.55000000000000004">
      <c r="A9" s="38" t="s">
        <v>77</v>
      </c>
      <c r="B9" s="4" t="s">
        <v>77</v>
      </c>
      <c r="C9" s="6"/>
      <c r="D9" s="7"/>
      <c r="E9" s="42"/>
      <c r="F9" s="44"/>
      <c r="G9" s="9" cm="1">
        <f t="array" aca="1" ref="G9" ca="1">IF($A9="","",IF($F9&lt;&gt;"",$F9,_xlfn.LET(_xlpm.s,_xlfn.XLOOKUP($B9,INDEX(SchemeTable,0,1),INDEX(SchemeTable,0,3),""),_xlpm.r,_xlfn.SWITCH(_xlpm.s,"Bid",IF(ISBLANK(RepoBid),"",RepoBid),"Offer",IF(ISBLANK(RepoOffer),"",RepoOffer),""),IF(_xlpm.s="","Error: set repo side for "&amp;$B9,IF(_xlpm.r="","Error: enter repo "&amp;LOWER(_xlpm.s),_xlpm.r)))))</f>
      </c>
      <c r="H9" s="11"/>
      <c r="I9" s="9">
        <f t="shared" ca="1" si="0"/>
      </c>
      <c r="J9" s="46" cm="1">
        <f t="array" aca="1" ref="J9" ca="1">IF($A9="","",JGB_PRICE($AE9,$I9,$AJ9,$AF9))</f>
      </c>
      <c r="K9" s="48"/>
      <c r="L9" s="11"/>
      <c r="M9" s="10"/>
      <c r="N9" s="11"/>
      <c r="O9" s="50"/>
      <c r="P9" s="54">
        <f t="shared" ca="1" si="1"/>
      </c>
      <c r="Q9" s="56" cm="1">
        <f t="array" aca="1" ref="Q9" ca="1">IF($A9="","",_xlfn.LET(_xlpm.n,COUNTA($K9:$O9),IF($B9="ITMBW",IF(_xlpm.n=0,"ITMBW","Error: ITMBW takes no strike input"),IF(_xlpm.n=1,_xlfn.XLOOKUP(TRUE,$K9:$O9&lt;&gt;"",{"Spot +sen","Fwd +sen","Fwd price","ATM +bp","Yield"}),IF(_xlpm.n=0,"Error: enter one strike input","Error: enter only one strike input")))))</f>
      </c>
      <c r="R9" s="9" cm="1">
        <f t="array" aca="1" ref="R9" ca="1">IF($A9="","",_xlfn.SWITCH($Q9,"Spot +sen",ROUNDDOWN(ROUND($J9+$K9/100,9),3),"Fwd +sen",ROUNDDOWN(ROUND($P9+$L9/100,9),3),"Fwd price",$M9,"ATM +bp",JGB_PRICE($AE9,$I9+$N9/100,$C9,$AF9),"Yield",JGB_PRICE($AE9,$O9,$C9,$AF9),"ITMBW",IF($BA9="",NA(),$BA9),NA()))</f>
      </c>
      <c r="S9" s="46" cm="1">
        <f t="array" aca="1" ref="S9" ca="1">IF($A9="","",JGB_YIELD($AE9,$R9,$AK9,$AF9))</f>
      </c>
      <c r="T9" s="58"/>
      <c r="U9" s="1">
        <f ca="1">IF($A9="","",IF(OR($X9&lt;&gt;"",$V9&lt;&gt;""),$W9*SQRT(VolDays),IF($T9&lt;&gt;"",$T9,$AT9)))</f>
      </c>
      <c r="V9" s="70"/>
      <c r="W9" s="12">
        <f ca="1">IF($A9="","",IF($X9&lt;&gt;"",$X9*100/(SQRT(252)*$AS9),IF($V9&lt;&gt;"",$V9,IF($T9&lt;&gt;"",$T9,$AT9)/SQRT(VolDays))))</f>
      </c>
      <c r="X9" s="72"/>
      <c r="Y9" s="60">
        <f t="shared" ca="1" si="2"/>
      </c>
      <c r="Z9" s="62">
        <f t="shared" ca="1" si="3"/>
      </c>
      <c r="AA9" s="8">
        <f t="shared" ca="1" si="4"/>
      </c>
      <c r="AB9" s="9">
        <f t="shared" ca="1" si="5"/>
      </c>
      <c r="AD9" s="64">
        <f t="shared" ca="1" si="6"/>
      </c>
      <c r="AE9" s="66" cm="1">
        <f t="array" aca="1" ref="AE9" ca="1">IF($A9="","",_xlfn.XLOOKUP($A9,INDEX(BondList,0,1),INDEX(BondList,0,2)))</f>
      </c>
      <c r="AF9" s="3" cm="1">
        <f t="array" aca="1" ref="AF9" ca="1">IF($A9="","",_xlfn.XLOOKUP($A9,INDEX(BondList,0,1),INDEX(BondList,0,3)))</f>
      </c>
      <c r="AG9" s="9" cm="1">
        <f t="array" aca="1" ref="AG9" ca="1">IF($A9="","",_xlfn.XLOOKUP($A9,INDEX(BondList,0,1),INDEX(BondList,0,4)))</f>
      </c>
      <c r="AH9" s="3" cm="1">
        <f t="array" aca="1" ref="AH9" ca="1">IF($A9="","",_xlfn.XLOOKUP($A9,INDEX(BondList,0,1),INDEX(BondList,0,5)))</f>
      </c>
      <c r="AI9" s="20" cm="1">
        <f t="array" aca="1" ref="AI9" ca="1">IF($A9="","",_xlfn.XLOOKUP($B9,INDEX(SchemeTable,0,1),INDEX(SchemeTable,0,2),NA()))</f>
      </c>
      <c r="AJ9" s="3">
        <f ca="1">IF($A9="","",WORKDAY(TradeDate,1,Holidays))</f>
      </c>
      <c r="AK9" s="3">
        <f ca="1">IF($A9="","",WORKDAY($C9,$D9,Holidays))</f>
      </c>
      <c r="AL9" s="13">
        <f ca="1">IF($A9="","",NETWORKDAYS(TradeDate,$C9-1,Holidays)/252)</f>
      </c>
      <c r="AM9" s="13" cm="1">
        <f t="array" aca="1" ref="AM9" ca="1">IF($A9="","",JGB_AI($AE9,$AJ9,$AF9))</f>
      </c>
      <c r="AN9" s="13" cm="1">
        <f t="array" aca="1" ref="AN9" ca="1">IF($A9="","",JGB_AI($AE9,$AK9,$AF9))</f>
      </c>
      <c r="AO9" s="13" cm="1">
        <f t="array" aca="1" ref="AO9" ca="1">IF($A9="","",JGB_CARRY_COUPONS($AE9,$AF9,$AJ9,$AK9,$G9))</f>
      </c>
      <c r="AP9" s="13">
        <f t="shared" ca="1" si="7"/>
      </c>
      <c r="AQ9" s="9">
        <f t="shared" ca="1" si="8"/>
      </c>
      <c r="AR9" s="13">
        <f t="shared" ca="1" si="9"/>
      </c>
      <c r="AS9" s="12">
        <f t="shared" ca="1" si="10"/>
      </c>
      <c r="AT9" s="68">
        <f t="shared" ca="1" si="11"/>
      </c>
      <c r="AV9" s="66"/>
      <c r="AW9" s="13"/>
      <c r="AX9" s="12"/>
      <c r="AY9" s="1"/>
      <c r="BA9" s="9"/>
      <c r="BC9" s="12"/>
      <c r="BD9" s="64"/>
    </row>
    <row r="10" spans="1:58" x14ac:dyDescent="0.55000000000000004">
      <c r="A10" s="38" t="s">
        <v>77</v>
      </c>
      <c r="B10" s="4" t="s">
        <v>77</v>
      </c>
      <c r="C10" s="6"/>
      <c r="D10" s="7"/>
      <c r="E10" s="42"/>
      <c r="F10" s="44"/>
      <c r="G10" s="9" cm="1">
        <f t="array" aca="1" ref="G10" ca="1">IF($A10="","",IF($F10&lt;&gt;"",$F10,_xlfn.LET(_xlpm.s,_xlfn.XLOOKUP($B10,INDEX(SchemeTable,0,1),INDEX(SchemeTable,0,3),""),_xlpm.r,_xlfn.SWITCH(_xlpm.s,"Bid",IF(ISBLANK(RepoBid),"",RepoBid),"Offer",IF(ISBLANK(RepoOffer),"",RepoOffer),""),IF(_xlpm.s="","Error: set repo side for "&amp;$B10,IF(_xlpm.r="","Error: enter repo "&amp;LOWER(_xlpm.s),_xlpm.r)))))</f>
      </c>
      <c r="H10" s="11"/>
      <c r="I10" s="9">
        <f t="shared" ca="1" si="0"/>
      </c>
      <c r="J10" s="46" cm="1">
        <f t="array" aca="1" ref="J10" ca="1">IF($A10="","",JGB_PRICE($AE10,$I10,$AJ10,$AF10))</f>
      </c>
      <c r="K10" s="48"/>
      <c r="L10" s="11"/>
      <c r="M10" s="10"/>
      <c r="N10" s="11"/>
      <c r="O10" s="50"/>
      <c r="P10" s="54">
        <f t="shared" ca="1" si="1"/>
      </c>
      <c r="Q10" s="56" cm="1">
        <f t="array" aca="1" ref="Q10" ca="1">IF($A10="","",_xlfn.LET(_xlpm.n,COUNTA($K10:$O10),IF($B10="ITMBW",IF(_xlpm.n=0,"ITMBW","Error: ITMBW takes no strike input"),IF(_xlpm.n=1,_xlfn.XLOOKUP(TRUE,$K10:$O10&lt;&gt;"",{"Spot +sen","Fwd +sen","Fwd price","ATM +bp","Yield"}),IF(_xlpm.n=0,"Error: enter one strike input","Error: enter only one strike input")))))</f>
      </c>
      <c r="R10" s="9" cm="1">
        <f t="array" aca="1" ref="R10" ca="1">IF($A10="","",_xlfn.SWITCH($Q10,"Spot +sen",ROUNDDOWN(ROUND($J10+$K10/100,9),3),"Fwd +sen",ROUNDDOWN(ROUND($P10+$L10/100,9),3),"Fwd price",$M10,"ATM +bp",JGB_PRICE($AE10,$I10+$N10/100,$C10,$AF10),"Yield",JGB_PRICE($AE10,$O10,$C10,$AF10),"ITMBW",IF($BA10="",NA(),$BA10),NA()))</f>
      </c>
      <c r="S10" s="46" cm="1">
        <f t="array" aca="1" ref="S10" ca="1">IF($A10="","",JGB_YIELD($AE10,$R10,$AK10,$AF10))</f>
      </c>
      <c r="T10" s="58"/>
      <c r="U10" s="1">
        <f ca="1">IF($A10="","",IF(OR($X10&lt;&gt;"",$V10&lt;&gt;""),$W10*SQRT(VolDays),IF($T10&lt;&gt;"",$T10,$AT10)))</f>
      </c>
      <c r="V10" s="70"/>
      <c r="W10" s="12">
        <f ca="1">IF($A10="","",IF($X10&lt;&gt;"",$X10*100/(SQRT(252)*$AS10),IF($V10&lt;&gt;"",$V10,IF($T10&lt;&gt;"",$T10,$AT10)/SQRT(VolDays))))</f>
      </c>
      <c r="X10" s="72"/>
      <c r="Y10" s="60">
        <f t="shared" ca="1" si="2"/>
      </c>
      <c r="Z10" s="62">
        <f t="shared" ca="1" si="3"/>
      </c>
      <c r="AA10" s="8">
        <f t="shared" ca="1" si="4"/>
      </c>
      <c r="AB10" s="9">
        <f t="shared" ca="1" si="5"/>
      </c>
      <c r="AD10" s="64">
        <f t="shared" ca="1" si="6"/>
      </c>
      <c r="AE10" s="66" cm="1">
        <f t="array" aca="1" ref="AE10" ca="1">IF($A10="","",_xlfn.XLOOKUP($A10,INDEX(BondList,0,1),INDEX(BondList,0,2)))</f>
      </c>
      <c r="AF10" s="3" cm="1">
        <f t="array" aca="1" ref="AF10" ca="1">IF($A10="","",_xlfn.XLOOKUP($A10,INDEX(BondList,0,1),INDEX(BondList,0,3)))</f>
      </c>
      <c r="AG10" s="9" cm="1">
        <f t="array" aca="1" ref="AG10" ca="1">IF($A10="","",_xlfn.XLOOKUP($A10,INDEX(BondList,0,1),INDEX(BondList,0,4)))</f>
      </c>
      <c r="AH10" s="3" cm="1">
        <f t="array" aca="1" ref="AH10" ca="1">IF($A10="","",_xlfn.XLOOKUP($A10,INDEX(BondList,0,1),INDEX(BondList,0,5)))</f>
      </c>
      <c r="AI10" s="20" cm="1">
        <f t="array" aca="1" ref="AI10" ca="1">IF($A10="","",_xlfn.XLOOKUP($B10,INDEX(SchemeTable,0,1),INDEX(SchemeTable,0,2),NA()))</f>
      </c>
      <c r="AJ10" s="3">
        <f ca="1">IF($A10="","",WORKDAY(TradeDate,1,Holidays))</f>
      </c>
      <c r="AK10" s="3">
        <f ca="1">IF($A10="","",WORKDAY($C10,$D10,Holidays))</f>
      </c>
      <c r="AL10" s="13">
        <f ca="1">IF($A10="","",NETWORKDAYS(TradeDate,$C10-1,Holidays)/252)</f>
      </c>
      <c r="AM10" s="13" cm="1">
        <f t="array" aca="1" ref="AM10" ca="1">IF($A10="","",JGB_AI($AE10,$AJ10,$AF10))</f>
      </c>
      <c r="AN10" s="13" cm="1">
        <f t="array" aca="1" ref="AN10" ca="1">IF($A10="","",JGB_AI($AE10,$AK10,$AF10))</f>
      </c>
      <c r="AO10" s="13" cm="1">
        <f t="array" aca="1" ref="AO10" ca="1">IF($A10="","",JGB_CARRY_COUPONS($AE10,$AF10,$AJ10,$AK10,$G10))</f>
      </c>
      <c r="AP10" s="13">
        <f t="shared" ca="1" si="7"/>
      </c>
      <c r="AQ10" s="9">
        <f t="shared" ca="1" si="8"/>
      </c>
      <c r="AR10" s="13">
        <f t="shared" ca="1" si="9"/>
      </c>
      <c r="AS10" s="12">
        <f t="shared" ca="1" si="10"/>
      </c>
      <c r="AT10" s="68">
        <f t="shared" ca="1" si="11"/>
      </c>
      <c r="AV10" s="66"/>
      <c r="AW10" s="13"/>
      <c r="AX10" s="12"/>
      <c r="AY10" s="1"/>
      <c r="BA10" s="9"/>
      <c r="BC10" s="12"/>
      <c r="BD10" s="64"/>
    </row>
    <row r="11" spans="1:58" x14ac:dyDescent="0.55000000000000004">
      <c r="A11" s="38" t="s">
        <v>77</v>
      </c>
      <c r="B11" s="4" t="s">
        <v>77</v>
      </c>
      <c r="C11" s="6"/>
      <c r="D11" s="7"/>
      <c r="E11" s="42"/>
      <c r="F11" s="44"/>
      <c r="G11" s="9" cm="1">
        <f t="array" aca="1" ref="G11" ca="1">IF($A11="","",IF($F11&lt;&gt;"",$F11,_xlfn.LET(_xlpm.s,_xlfn.XLOOKUP($B11,INDEX(SchemeTable,0,1),INDEX(SchemeTable,0,3),""),_xlpm.r,_xlfn.SWITCH(_xlpm.s,"Bid",IF(ISBLANK(RepoBid),"",RepoBid),"Offer",IF(ISBLANK(RepoOffer),"",RepoOffer),""),IF(_xlpm.s="","Error: set repo side for "&amp;$B11,IF(_xlpm.r="","Error: enter repo "&amp;LOWER(_xlpm.s),_xlpm.r)))))</f>
      </c>
      <c r="H11" s="11"/>
      <c r="I11" s="9">
        <f t="shared" ca="1" si="0"/>
      </c>
      <c r="J11" s="46" cm="1">
        <f t="array" aca="1" ref="J11" ca="1">IF($A11="","",JGB_PRICE($AE11,$I11,$AJ11,$AF11))</f>
      </c>
      <c r="K11" s="48"/>
      <c r="L11" s="11"/>
      <c r="M11" s="10"/>
      <c r="N11" s="11"/>
      <c r="O11" s="50"/>
      <c r="P11" s="54">
        <f t="shared" ca="1" si="1"/>
      </c>
      <c r="Q11" s="56" cm="1">
        <f t="array" aca="1" ref="Q11" ca="1">IF($A11="","",_xlfn.LET(_xlpm.n,COUNTA($K11:$O11),IF($B11="ITMBW",IF(_xlpm.n=0,"ITMBW","Error: ITMBW takes no strike input"),IF(_xlpm.n=1,_xlfn.XLOOKUP(TRUE,$K11:$O11&lt;&gt;"",{"Spot +sen","Fwd +sen","Fwd price","ATM +bp","Yield"}),IF(_xlpm.n=0,"Error: enter one strike input","Error: enter only one strike input")))))</f>
      </c>
      <c r="R11" s="9" cm="1">
        <f t="array" aca="1" ref="R11" ca="1">IF($A11="","",_xlfn.SWITCH($Q11,"Spot +sen",ROUNDDOWN(ROUND($J11+$K11/100,9),3),"Fwd +sen",ROUNDDOWN(ROUND($P11+$L11/100,9),3),"Fwd price",$M11,"ATM +bp",JGB_PRICE($AE11,$I11+$N11/100,$C11,$AF11),"Yield",JGB_PRICE($AE11,$O11,$C11,$AF11),"ITMBW",IF($BA11="",NA(),$BA11),NA()))</f>
      </c>
      <c r="S11" s="46" cm="1">
        <f t="array" aca="1" ref="S11" ca="1">IF($A11="","",JGB_YIELD($AE11,$R11,$AK11,$AF11))</f>
      </c>
      <c r="T11" s="58"/>
      <c r="U11" s="1">
        <f ca="1">IF($A11="","",IF(OR($X11&lt;&gt;"",$V11&lt;&gt;""),$W11*SQRT(VolDays),IF($T11&lt;&gt;"",$T11,$AT11)))</f>
      </c>
      <c r="V11" s="70"/>
      <c r="W11" s="12">
        <f ca="1">IF($A11="","",IF($X11&lt;&gt;"",$X11*100/(SQRT(252)*$AS11),IF($V11&lt;&gt;"",$V11,IF($T11&lt;&gt;"",$T11,$AT11)/SQRT(VolDays))))</f>
      </c>
      <c r="X11" s="72"/>
      <c r="Y11" s="60">
        <f t="shared" ca="1" si="2"/>
      </c>
      <c r="Z11" s="62">
        <f t="shared" ca="1" si="3"/>
      </c>
      <c r="AA11" s="8">
        <f t="shared" ca="1" si="4"/>
      </c>
      <c r="AB11" s="9">
        <f t="shared" ca="1" si="5"/>
      </c>
      <c r="AD11" s="64">
        <f t="shared" ca="1" si="6"/>
      </c>
      <c r="AE11" s="66" cm="1">
        <f t="array" aca="1" ref="AE11" ca="1">IF($A11="","",_xlfn.XLOOKUP($A11,INDEX(BondList,0,1),INDEX(BondList,0,2)))</f>
      </c>
      <c r="AF11" s="3" cm="1">
        <f t="array" aca="1" ref="AF11" ca="1">IF($A11="","",_xlfn.XLOOKUP($A11,INDEX(BondList,0,1),INDEX(BondList,0,3)))</f>
      </c>
      <c r="AG11" s="9" cm="1">
        <f t="array" aca="1" ref="AG11" ca="1">IF($A11="","",_xlfn.XLOOKUP($A11,INDEX(BondList,0,1),INDEX(BondList,0,4)))</f>
      </c>
      <c r="AH11" s="3" cm="1">
        <f t="array" aca="1" ref="AH11" ca="1">IF($A11="","",_xlfn.XLOOKUP($A11,INDEX(BondList,0,1),INDEX(BondList,0,5)))</f>
      </c>
      <c r="AI11" s="20" cm="1">
        <f t="array" aca="1" ref="AI11" ca="1">IF($A11="","",_xlfn.XLOOKUP($B11,INDEX(SchemeTable,0,1),INDEX(SchemeTable,0,2),NA()))</f>
      </c>
      <c r="AJ11" s="3">
        <f ca="1">IF($A11="","",WORKDAY(TradeDate,1,Holidays))</f>
      </c>
      <c r="AK11" s="3">
        <f ca="1">IF($A11="","",WORKDAY($C11,$D11,Holidays))</f>
      </c>
      <c r="AL11" s="13">
        <f ca="1">IF($A11="","",NETWORKDAYS(TradeDate,$C11-1,Holidays)/252)</f>
      </c>
      <c r="AM11" s="13" cm="1">
        <f t="array" aca="1" ref="AM11" ca="1">IF($A11="","",JGB_AI($AE11,$AJ11,$AF11))</f>
      </c>
      <c r="AN11" s="13" cm="1">
        <f t="array" aca="1" ref="AN11" ca="1">IF($A11="","",JGB_AI($AE11,$AK11,$AF11))</f>
      </c>
      <c r="AO11" s="13" cm="1">
        <f t="array" aca="1" ref="AO11" ca="1">IF($A11="","",JGB_CARRY_COUPONS($AE11,$AF11,$AJ11,$AK11,$G11))</f>
      </c>
      <c r="AP11" s="13">
        <f t="shared" ca="1" si="7"/>
      </c>
      <c r="AQ11" s="9">
        <f t="shared" ca="1" si="8"/>
      </c>
      <c r="AR11" s="13">
        <f t="shared" ca="1" si="9"/>
      </c>
      <c r="AS11" s="12">
        <f t="shared" ca="1" si="10"/>
      </c>
      <c r="AT11" s="68">
        <f t="shared" ca="1" si="11"/>
      </c>
      <c r="AV11" s="66"/>
      <c r="AW11" s="13"/>
      <c r="AX11" s="12"/>
      <c r="AY11" s="1"/>
      <c r="BA11" s="9"/>
      <c r="BC11" s="12"/>
      <c r="BD11" s="64"/>
    </row>
    <row r="12" spans="1:58" x14ac:dyDescent="0.55000000000000004">
      <c r="A12" s="39" t="s">
        <v>77</v>
      </c>
      <c r="B12" s="22" t="s">
        <v>77</v>
      </c>
      <c r="C12" s="23"/>
      <c r="D12" s="24"/>
      <c r="E12" s="43"/>
      <c r="F12" s="45"/>
      <c r="G12" s="26" cm="1">
        <f t="array" aca="1" ref="G12" ca="1">IF($A12="","",IF($F12&lt;&gt;"",$F12,_xlfn.LET(_xlpm.s,_xlfn.XLOOKUP($B12,INDEX(SchemeTable,0,1),INDEX(SchemeTable,0,3),""),_xlpm.r,_xlfn.SWITCH(_xlpm.s,"Bid",IF(ISBLANK(RepoBid),"",RepoBid),"Offer",IF(ISBLANK(RepoOffer),"",RepoOffer),""),IF(_xlpm.s="","Error: set repo side for "&amp;$B12,IF(_xlpm.r="","Error: enter repo "&amp;LOWER(_xlpm.s),_xlpm.r)))))</f>
      </c>
      <c r="H12" s="27"/>
      <c r="I12" s="26">
        <f t="shared" ca="1" si="0"/>
      </c>
      <c r="J12" s="47" cm="1">
        <f t="array" aca="1" ref="J12" ca="1">IF($A12="","",JGB_PRICE($AE12,$I12,$AJ12,$AF12))</f>
      </c>
      <c r="K12" s="49"/>
      <c r="L12" s="27"/>
      <c r="M12" s="25"/>
      <c r="N12" s="27"/>
      <c r="O12" s="51"/>
      <c r="P12" s="55">
        <f t="shared" ca="1" si="1"/>
      </c>
      <c r="Q12" s="57" cm="1">
        <f t="array" aca="1" ref="Q12" ca="1">IF($A12="","",_xlfn.LET(_xlpm.n,COUNTA($K12:$O12),IF($B12="ITMBW",IF(_xlpm.n=0,"ITMBW","Error: ITMBW takes no strike input"),IF(_xlpm.n=1,_xlfn.XLOOKUP(TRUE,$K12:$O12&lt;&gt;"",{"Spot +sen","Fwd +sen","Fwd price","ATM +bp","Yield"}),IF(_xlpm.n=0,"Error: enter one strike input","Error: enter only one strike input")))))</f>
      </c>
      <c r="R12" s="26" cm="1">
        <f t="array" aca="1" ref="R12" ca="1">IF($A12="","",_xlfn.SWITCH($Q12,"Spot +sen",ROUNDDOWN(ROUND($J12+$K12/100,9),3),"Fwd +sen",ROUNDDOWN(ROUND($P12+$L12/100,9),3),"Fwd price",$M12,"ATM +bp",JGB_PRICE($AE12,$I12+$N12/100,$C12,$AF12),"Yield",JGB_PRICE($AE12,$O12,$C12,$AF12),"ITMBW",IF($BA12="",NA(),$BA12),NA()))</f>
      </c>
      <c r="S12" s="47" cm="1">
        <f t="array" aca="1" ref="S12" ca="1">IF($A12="","",JGB_YIELD($AE12,$R12,$AK12,$AF12))</f>
      </c>
      <c r="T12" s="59"/>
      <c r="U12" s="30">
        <f ca="1">IF($A12="","",IF(OR($X12&lt;&gt;"",$V12&lt;&gt;""),$W12*SQRT(VolDays),IF($T12&lt;&gt;"",$T12,$AT12)))</f>
      </c>
      <c r="V12" s="71"/>
      <c r="W12" s="31">
        <f ca="1">IF($A12="","",IF($X12&lt;&gt;"",$X12*100/(SQRT(252)*$AS12),IF($V12&lt;&gt;"",$V12,IF($T12&lt;&gt;"",$T12,$AT12)/SQRT(VolDays))))</f>
      </c>
      <c r="X12" s="73"/>
      <c r="Y12" s="61">
        <f t="shared" ca="1" si="2"/>
      </c>
      <c r="Z12" s="63">
        <f t="shared" ca="1" si="3"/>
      </c>
      <c r="AA12" s="32">
        <f t="shared" ca="1" si="4"/>
      </c>
      <c r="AB12" s="26">
        <f t="shared" ca="1" si="5"/>
      </c>
      <c r="AC12" s="16"/>
      <c r="AD12" s="65">
        <f t="shared" ca="1" si="6"/>
      </c>
      <c r="AE12" s="67" cm="1">
        <f t="array" aca="1" ref="AE12" ca="1">IF($A12="","",_xlfn.XLOOKUP($A12,INDEX(BondList,0,1),INDEX(BondList,0,2)))</f>
      </c>
      <c r="AF12" s="33" cm="1">
        <f t="array" aca="1" ref="AF12" ca="1">IF($A12="","",_xlfn.XLOOKUP($A12,INDEX(BondList,0,1),INDEX(BondList,0,3)))</f>
      </c>
      <c r="AG12" s="26" cm="1">
        <f t="array" aca="1" ref="AG12" ca="1">IF($A12="","",_xlfn.XLOOKUP($A12,INDEX(BondList,0,1),INDEX(BondList,0,4)))</f>
      </c>
      <c r="AH12" s="33" cm="1">
        <f t="array" aca="1" ref="AH12" ca="1">IF($A12="","",_xlfn.XLOOKUP($A12,INDEX(BondList,0,1),INDEX(BondList,0,5)))</f>
      </c>
      <c r="AI12" s="29" cm="1">
        <f t="array" aca="1" ref="AI12" ca="1">IF($A12="","",_xlfn.XLOOKUP($B12,INDEX(SchemeTable,0,1),INDEX(SchemeTable,0,2),NA()))</f>
      </c>
      <c r="AJ12" s="33">
        <f ca="1">IF($A12="","",WORKDAY(TradeDate,1,Holidays))</f>
      </c>
      <c r="AK12" s="33">
        <f ca="1">IF($A12="","",WORKDAY($C12,$D12,Holidays))</f>
      </c>
      <c r="AL12" s="28">
        <f ca="1">IF($A12="","",NETWORKDAYS(TradeDate,$C12-1,Holidays)/252)</f>
      </c>
      <c r="AM12" s="28" cm="1">
        <f t="array" aca="1" ref="AM12" ca="1">IF($A12="","",JGB_AI($AE12,$AJ12,$AF12))</f>
      </c>
      <c r="AN12" s="28" cm="1">
        <f t="array" aca="1" ref="AN12" ca="1">IF($A12="","",JGB_AI($AE12,$AK12,$AF12))</f>
      </c>
      <c r="AO12" s="28" cm="1">
        <f t="array" aca="1" ref="AO12" ca="1">IF($A12="","",JGB_CARRY_COUPONS($AE12,$AF12,$AJ12,$AK12,$G12))</f>
      </c>
      <c r="AP12" s="28">
        <f t="shared" ca="1" si="7"/>
      </c>
      <c r="AQ12" s="26">
        <f t="shared" ca="1" si="8"/>
      </c>
      <c r="AR12" s="28">
        <f t="shared" ca="1" si="9"/>
      </c>
      <c r="AS12" s="31">
        <f t="shared" ca="1" si="10"/>
      </c>
      <c r="AT12" s="69">
        <f t="shared" ca="1" si="11"/>
      </c>
      <c r="AV12" s="67"/>
      <c r="AW12" s="28"/>
      <c r="AX12" s="31"/>
      <c r="AY12" s="30"/>
      <c r="AZ12" s="16"/>
      <c r="BA12" s="26"/>
      <c r="BB12" s="16"/>
      <c r="BC12" s="31"/>
      <c r="BD12" s="65"/>
    </row>
    <row r="13" spans="1:58" x14ac:dyDescent="0.55000000000000004">
      <c r="A13" s="38" t="s">
        <v>77</v>
      </c>
      <c r="B13" s="4" t="s">
        <v>77</v>
      </c>
      <c r="C13" s="6"/>
      <c r="D13" s="7"/>
      <c r="E13" s="42"/>
      <c r="F13" s="44"/>
      <c r="G13" s="9" cm="1">
        <f t="array" aca="1" ref="G13" ca="1">IF($A13="","",IF($F13&lt;&gt;"",$F13,_xlfn.LET(_xlpm.s,_xlfn.XLOOKUP($B13,INDEX(SchemeTable,0,1),INDEX(SchemeTable,0,3),""),_xlpm.r,_xlfn.SWITCH(_xlpm.s,"Bid",IF(ISBLANK(RepoBid),"",RepoBid),"Offer",IF(ISBLANK(RepoOffer),"",RepoOffer),""),IF(_xlpm.s="","Error: set repo side for "&amp;$B13,IF(_xlpm.r="","Error: enter repo "&amp;LOWER(_xlpm.s),_xlpm.r)))))</f>
      </c>
      <c r="H13" s="11"/>
      <c r="I13" s="9">
        <f t="shared" ca="1" si="0"/>
      </c>
      <c r="J13" s="46" cm="1">
        <f t="array" aca="1" ref="J13" ca="1">IF($A13="","",JGB_PRICE($AE13,$I13,$AJ13,$AF13))</f>
      </c>
      <c r="K13" s="48"/>
      <c r="L13" s="11"/>
      <c r="M13" s="10"/>
      <c r="N13" s="11"/>
      <c r="O13" s="50"/>
      <c r="P13" s="54">
        <f t="shared" ca="1" si="1"/>
      </c>
      <c r="Q13" s="56" cm="1">
        <f t="array" aca="1" ref="Q13" ca="1">IF($A13="","",_xlfn.LET(_xlpm.n,COUNTA($K13:$O13),IF($B13="ITMBW",IF(_xlpm.n=0,"ITMBW","Error: ITMBW takes no strike input"),IF(_xlpm.n=1,_xlfn.XLOOKUP(TRUE,$K13:$O13&lt;&gt;"",{"Spot +sen","Fwd +sen","Fwd price","ATM +bp","Yield"}),IF(_xlpm.n=0,"Error: enter one strike input","Error: enter only one strike input")))))</f>
      </c>
      <c r="R13" s="9" cm="1">
        <f t="array" aca="1" ref="R13" ca="1">IF($A13="","",_xlfn.SWITCH($Q13,"Spot +sen",ROUNDDOWN(ROUND($J13+$K13/100,9),3),"Fwd +sen",ROUNDDOWN(ROUND($P13+$L13/100,9),3),"Fwd price",$M13,"ATM +bp",JGB_PRICE($AE13,$I13+$N13/100,$C13,$AF13),"Yield",JGB_PRICE($AE13,$O13,$C13,$AF13),"ITMBW",IF($BA13="",NA(),$BA13),NA()))</f>
      </c>
      <c r="S13" s="46" cm="1">
        <f t="array" aca="1" ref="S13" ca="1">IF($A13="","",JGB_YIELD($AE13,$R13,$AK13,$AF13))</f>
      </c>
      <c r="T13" s="58"/>
      <c r="U13" s="1">
        <f ca="1">IF($A13="","",IF(OR($X13&lt;&gt;"",$V13&lt;&gt;""),$W13*SQRT(VolDays),IF($T13&lt;&gt;"",$T13,$AT13)))</f>
      </c>
      <c r="V13" s="70"/>
      <c r="W13" s="12">
        <f ca="1">IF($A13="","",IF($X13&lt;&gt;"",$X13*100/(SQRT(252)*$AS13),IF($V13&lt;&gt;"",$V13,IF($T13&lt;&gt;"",$T13,$AT13)/SQRT(VolDays))))</f>
      </c>
      <c r="X13" s="72"/>
      <c r="Y13" s="60">
        <f t="shared" ca="1" si="2"/>
      </c>
      <c r="Z13" s="62">
        <f t="shared" ca="1" si="3"/>
      </c>
      <c r="AA13" s="8">
        <f t="shared" ca="1" si="4"/>
      </c>
      <c r="AB13" s="9">
        <f t="shared" ca="1" si="5"/>
      </c>
      <c r="AD13" s="64">
        <f t="shared" ca="1" si="6"/>
      </c>
      <c r="AE13" s="66" cm="1">
        <f t="array" aca="1" ref="AE13" ca="1">IF($A13="","",_xlfn.XLOOKUP($A13,INDEX(BondList,0,1),INDEX(BondList,0,2)))</f>
      </c>
      <c r="AF13" s="3" cm="1">
        <f t="array" aca="1" ref="AF13" ca="1">IF($A13="","",_xlfn.XLOOKUP($A13,INDEX(BondList,0,1),INDEX(BondList,0,3)))</f>
      </c>
      <c r="AG13" s="9" cm="1">
        <f t="array" aca="1" ref="AG13" ca="1">IF($A13="","",_xlfn.XLOOKUP($A13,INDEX(BondList,0,1),INDEX(BondList,0,4)))</f>
      </c>
      <c r="AH13" s="3" cm="1">
        <f t="array" aca="1" ref="AH13" ca="1">IF($A13="","",_xlfn.XLOOKUP($A13,INDEX(BondList,0,1),INDEX(BondList,0,5)))</f>
      </c>
      <c r="AI13" s="20" cm="1">
        <f t="array" aca="1" ref="AI13" ca="1">IF($A13="","",_xlfn.XLOOKUP($B13,INDEX(SchemeTable,0,1),INDEX(SchemeTable,0,2),NA()))</f>
      </c>
      <c r="AJ13" s="3">
        <f ca="1">IF($A13="","",WORKDAY(TradeDate,1,Holidays))</f>
      </c>
      <c r="AK13" s="3">
        <f ca="1">IF($A13="","",WORKDAY($C13,$D13,Holidays))</f>
      </c>
      <c r="AL13" s="13">
        <f ca="1">IF($A13="","",NETWORKDAYS(TradeDate,$C13-1,Holidays)/252)</f>
      </c>
      <c r="AM13" s="13" cm="1">
        <f t="array" aca="1" ref="AM13" ca="1">IF($A13="","",JGB_AI($AE13,$AJ13,$AF13))</f>
      </c>
      <c r="AN13" s="13" cm="1">
        <f t="array" aca="1" ref="AN13" ca="1">IF($A13="","",JGB_AI($AE13,$AK13,$AF13))</f>
      </c>
      <c r="AO13" s="13" cm="1">
        <f t="array" aca="1" ref="AO13" ca="1">IF($A13="","",JGB_CARRY_COUPONS($AE13,$AF13,$AJ13,$AK13,$G13))</f>
      </c>
      <c r="AP13" s="13">
        <f t="shared" ca="1" si="7"/>
      </c>
      <c r="AQ13" s="9">
        <f t="shared" ca="1" si="8"/>
      </c>
      <c r="AR13" s="13">
        <f t="shared" ca="1" si="9"/>
      </c>
      <c r="AS13" s="12">
        <f t="shared" ca="1" si="10"/>
      </c>
      <c r="AT13" s="68">
        <f t="shared" ca="1" si="11"/>
      </c>
      <c r="AV13" s="66"/>
      <c r="AW13" s="13"/>
      <c r="AX13" s="12"/>
      <c r="AY13" s="1"/>
      <c r="BA13" s="9"/>
      <c r="BC13" s="12"/>
      <c r="BD13" s="64"/>
    </row>
    <row r="14" spans="1:58" x14ac:dyDescent="0.55000000000000004">
      <c r="A14" s="38" t="s">
        <v>77</v>
      </c>
      <c r="B14" s="4" t="s">
        <v>77</v>
      </c>
      <c r="C14" s="6"/>
      <c r="D14" s="7"/>
      <c r="E14" s="42"/>
      <c r="F14" s="44"/>
      <c r="G14" s="9" cm="1">
        <f t="array" aca="1" ref="G14" ca="1">IF($A14="","",IF($F14&lt;&gt;"",$F14,_xlfn.LET(_xlpm.s,_xlfn.XLOOKUP($B14,INDEX(SchemeTable,0,1),INDEX(SchemeTable,0,3),""),_xlpm.r,_xlfn.SWITCH(_xlpm.s,"Bid",IF(ISBLANK(RepoBid),"",RepoBid),"Offer",IF(ISBLANK(RepoOffer),"",RepoOffer),""),IF(_xlpm.s="","Error: set repo side for "&amp;$B14,IF(_xlpm.r="","Error: enter repo "&amp;LOWER(_xlpm.s),_xlpm.r)))))</f>
      </c>
      <c r="H14" s="11"/>
      <c r="I14" s="9">
        <f t="shared" ca="1" si="0"/>
      </c>
      <c r="J14" s="46" cm="1">
        <f t="array" aca="1" ref="J14" ca="1">IF($A14="","",JGB_PRICE($AE14,$I14,$AJ14,$AF14))</f>
      </c>
      <c r="K14" s="48"/>
      <c r="L14" s="11"/>
      <c r="M14" s="10"/>
      <c r="N14" s="11"/>
      <c r="O14" s="50"/>
      <c r="P14" s="54">
        <f t="shared" ca="1" si="1"/>
      </c>
      <c r="Q14" s="56" cm="1">
        <f t="array" aca="1" ref="Q14" ca="1">IF($A14="","",_xlfn.LET(_xlpm.n,COUNTA($K14:$O14),IF($B14="ITMBW",IF(_xlpm.n=0,"ITMBW","Error: ITMBW takes no strike input"),IF(_xlpm.n=1,_xlfn.XLOOKUP(TRUE,$K14:$O14&lt;&gt;"",{"Spot +sen","Fwd +sen","Fwd price","ATM +bp","Yield"}),IF(_xlpm.n=0,"Error: enter one strike input","Error: enter only one strike input")))))</f>
      </c>
      <c r="R14" s="9" cm="1">
        <f t="array" aca="1" ref="R14" ca="1">IF($A14="","",_xlfn.SWITCH($Q14,"Spot +sen",ROUNDDOWN(ROUND($J14+$K14/100,9),3),"Fwd +sen",ROUNDDOWN(ROUND($P14+$L14/100,9),3),"Fwd price",$M14,"ATM +bp",JGB_PRICE($AE14,$I14+$N14/100,$C14,$AF14),"Yield",JGB_PRICE($AE14,$O14,$C14,$AF14),"ITMBW",IF($BA14="",NA(),$BA14),NA()))</f>
      </c>
      <c r="S14" s="46" cm="1">
        <f t="array" aca="1" ref="S14" ca="1">IF($A14="","",JGB_YIELD($AE14,$R14,$AK14,$AF14))</f>
      </c>
      <c r="T14" s="58"/>
      <c r="U14" s="1">
        <f ca="1">IF($A14="","",IF(OR($X14&lt;&gt;"",$V14&lt;&gt;""),$W14*SQRT(VolDays),IF($T14&lt;&gt;"",$T14,$AT14)))</f>
      </c>
      <c r="V14" s="70"/>
      <c r="W14" s="12">
        <f ca="1">IF($A14="","",IF($X14&lt;&gt;"",$X14*100/(SQRT(252)*$AS14),IF($V14&lt;&gt;"",$V14,IF($T14&lt;&gt;"",$T14,$AT14)/SQRT(VolDays))))</f>
      </c>
      <c r="X14" s="72"/>
      <c r="Y14" s="60">
        <f t="shared" ca="1" si="2"/>
      </c>
      <c r="Z14" s="62">
        <f t="shared" ca="1" si="3"/>
      </c>
      <c r="AA14" s="8">
        <f t="shared" ca="1" si="4"/>
      </c>
      <c r="AB14" s="9">
        <f t="shared" ca="1" si="5"/>
      </c>
      <c r="AD14" s="64">
        <f t="shared" ca="1" si="6"/>
      </c>
      <c r="AE14" s="66" cm="1">
        <f t="array" aca="1" ref="AE14" ca="1">IF($A14="","",_xlfn.XLOOKUP($A14,INDEX(BondList,0,1),INDEX(BondList,0,2)))</f>
      </c>
      <c r="AF14" s="3" cm="1">
        <f t="array" aca="1" ref="AF14" ca="1">IF($A14="","",_xlfn.XLOOKUP($A14,INDEX(BondList,0,1),INDEX(BondList,0,3)))</f>
      </c>
      <c r="AG14" s="9" cm="1">
        <f t="array" aca="1" ref="AG14" ca="1">IF($A14="","",_xlfn.XLOOKUP($A14,INDEX(BondList,0,1),INDEX(BondList,0,4)))</f>
      </c>
      <c r="AH14" s="3" cm="1">
        <f t="array" aca="1" ref="AH14" ca="1">IF($A14="","",_xlfn.XLOOKUP($A14,INDEX(BondList,0,1),INDEX(BondList,0,5)))</f>
      </c>
      <c r="AI14" s="20" cm="1">
        <f t="array" aca="1" ref="AI14" ca="1">IF($A14="","",_xlfn.XLOOKUP($B14,INDEX(SchemeTable,0,1),INDEX(SchemeTable,0,2),NA()))</f>
      </c>
      <c r="AJ14" s="3">
        <f ca="1">IF($A14="","",WORKDAY(TradeDate,1,Holidays))</f>
      </c>
      <c r="AK14" s="3">
        <f ca="1">IF($A14="","",WORKDAY($C14,$D14,Holidays))</f>
      </c>
      <c r="AL14" s="13">
        <f ca="1">IF($A14="","",NETWORKDAYS(TradeDate,$C14-1,Holidays)/252)</f>
      </c>
      <c r="AM14" s="13" cm="1">
        <f t="array" aca="1" ref="AM14" ca="1">IF($A14="","",JGB_AI($AE14,$AJ14,$AF14))</f>
      </c>
      <c r="AN14" s="13" cm="1">
        <f t="array" aca="1" ref="AN14" ca="1">IF($A14="","",JGB_AI($AE14,$AK14,$AF14))</f>
      </c>
      <c r="AO14" s="13" cm="1">
        <f t="array" aca="1" ref="AO14" ca="1">IF($A14="","",JGB_CARRY_COUPONS($AE14,$AF14,$AJ14,$AK14,$G14))</f>
      </c>
      <c r="AP14" s="13">
        <f t="shared" ca="1" si="7"/>
      </c>
      <c r="AQ14" s="9">
        <f t="shared" ca="1" si="8"/>
      </c>
      <c r="AR14" s="13">
        <f t="shared" ca="1" si="9"/>
      </c>
      <c r="AS14" s="12">
        <f t="shared" ca="1" si="10"/>
      </c>
      <c r="AT14" s="68">
        <f t="shared" ca="1" si="11"/>
      </c>
      <c r="AV14" s="66"/>
      <c r="AW14" s="13"/>
      <c r="AX14" s="12"/>
      <c r="AY14" s="1"/>
      <c r="BA14" s="9"/>
      <c r="BC14" s="12"/>
      <c r="BD14" s="64"/>
    </row>
    <row r="15" spans="1:58" x14ac:dyDescent="0.55000000000000004">
      <c r="A15" s="38" t="s">
        <v>77</v>
      </c>
      <c r="B15" s="4" t="s">
        <v>77</v>
      </c>
      <c r="C15" s="6"/>
      <c r="D15" s="7"/>
      <c r="E15" s="42"/>
      <c r="F15" s="44"/>
      <c r="G15" s="9" cm="1">
        <f t="array" aca="1" ref="G15" ca="1">IF($A15="","",IF($F15&lt;&gt;"",$F15,_xlfn.LET(_xlpm.s,_xlfn.XLOOKUP($B15,INDEX(SchemeTable,0,1),INDEX(SchemeTable,0,3),""),_xlpm.r,_xlfn.SWITCH(_xlpm.s,"Bid",IF(ISBLANK(RepoBid),"",RepoBid),"Offer",IF(ISBLANK(RepoOffer),"",RepoOffer),""),IF(_xlpm.s="","Error: set repo side for "&amp;$B15,IF(_xlpm.r="","Error: enter repo "&amp;LOWER(_xlpm.s),_xlpm.r)))))</f>
      </c>
      <c r="H15" s="11"/>
      <c r="I15" s="9">
        <f t="shared" ca="1" si="0"/>
      </c>
      <c r="J15" s="46" cm="1">
        <f t="array" aca="1" ref="J15" ca="1">IF($A15="","",JGB_PRICE($AE15,$I15,$AJ15,$AF15))</f>
      </c>
      <c r="K15" s="48"/>
      <c r="L15" s="11"/>
      <c r="M15" s="10"/>
      <c r="N15" s="11"/>
      <c r="O15" s="50"/>
      <c r="P15" s="54">
        <f t="shared" ca="1" si="1"/>
      </c>
      <c r="Q15" s="56" cm="1">
        <f t="array" aca="1" ref="Q15" ca="1">IF($A15="","",_xlfn.LET(_xlpm.n,COUNTA($K15:$O15),IF($B15="ITMBW",IF(_xlpm.n=0,"ITMBW","Error: ITMBW takes no strike input"),IF(_xlpm.n=1,_xlfn.XLOOKUP(TRUE,$K15:$O15&lt;&gt;"",{"Spot +sen","Fwd +sen","Fwd price","ATM +bp","Yield"}),IF(_xlpm.n=0,"Error: enter one strike input","Error: enter only one strike input")))))</f>
      </c>
      <c r="R15" s="9" cm="1">
        <f t="array" aca="1" ref="R15" ca="1">IF($A15="","",_xlfn.SWITCH($Q15,"Spot +sen",ROUNDDOWN(ROUND($J15+$K15/100,9),3),"Fwd +sen",ROUNDDOWN(ROUND($P15+$L15/100,9),3),"Fwd price",$M15,"ATM +bp",JGB_PRICE($AE15,$I15+$N15/100,$C15,$AF15),"Yield",JGB_PRICE($AE15,$O15,$C15,$AF15),"ITMBW",IF($BA15="",NA(),$BA15),NA()))</f>
      </c>
      <c r="S15" s="46" cm="1">
        <f t="array" aca="1" ref="S15" ca="1">IF($A15="","",JGB_YIELD($AE15,$R15,$AK15,$AF15))</f>
      </c>
      <c r="T15" s="58"/>
      <c r="U15" s="1">
        <f ca="1">IF($A15="","",IF(OR($X15&lt;&gt;"",$V15&lt;&gt;""),$W15*SQRT(VolDays),IF($T15&lt;&gt;"",$T15,$AT15)))</f>
      </c>
      <c r="V15" s="70"/>
      <c r="W15" s="12">
        <f ca="1">IF($A15="","",IF($X15&lt;&gt;"",$X15*100/(SQRT(252)*$AS15),IF($V15&lt;&gt;"",$V15,IF($T15&lt;&gt;"",$T15,$AT15)/SQRT(VolDays))))</f>
      </c>
      <c r="X15" s="72"/>
      <c r="Y15" s="60">
        <f t="shared" ca="1" si="2"/>
      </c>
      <c r="Z15" s="62">
        <f t="shared" ca="1" si="3"/>
      </c>
      <c r="AA15" s="8">
        <f t="shared" ca="1" si="4"/>
      </c>
      <c r="AB15" s="9">
        <f t="shared" ca="1" si="5"/>
      </c>
      <c r="AD15" s="64">
        <f t="shared" ca="1" si="6"/>
      </c>
      <c r="AE15" s="66" cm="1">
        <f t="array" aca="1" ref="AE15" ca="1">IF($A15="","",_xlfn.XLOOKUP($A15,INDEX(BondList,0,1),INDEX(BondList,0,2)))</f>
      </c>
      <c r="AF15" s="3" cm="1">
        <f t="array" aca="1" ref="AF15" ca="1">IF($A15="","",_xlfn.XLOOKUP($A15,INDEX(BondList,0,1),INDEX(BondList,0,3)))</f>
      </c>
      <c r="AG15" s="9" cm="1">
        <f t="array" aca="1" ref="AG15" ca="1">IF($A15="","",_xlfn.XLOOKUP($A15,INDEX(BondList,0,1),INDEX(BondList,0,4)))</f>
      </c>
      <c r="AH15" s="3" cm="1">
        <f t="array" aca="1" ref="AH15" ca="1">IF($A15="","",_xlfn.XLOOKUP($A15,INDEX(BondList,0,1),INDEX(BondList,0,5)))</f>
      </c>
      <c r="AI15" s="20" cm="1">
        <f t="array" aca="1" ref="AI15" ca="1">IF($A15="","",_xlfn.XLOOKUP($B15,INDEX(SchemeTable,0,1),INDEX(SchemeTable,0,2),NA()))</f>
      </c>
      <c r="AJ15" s="3">
        <f ca="1">IF($A15="","",WORKDAY(TradeDate,1,Holidays))</f>
      </c>
      <c r="AK15" s="3">
        <f ca="1">IF($A15="","",WORKDAY($C15,$D15,Holidays))</f>
      </c>
      <c r="AL15" s="13">
        <f ca="1">IF($A15="","",NETWORKDAYS(TradeDate,$C15-1,Holidays)/252)</f>
      </c>
      <c r="AM15" s="13" cm="1">
        <f t="array" aca="1" ref="AM15" ca="1">IF($A15="","",JGB_AI($AE15,$AJ15,$AF15))</f>
      </c>
      <c r="AN15" s="13" cm="1">
        <f t="array" aca="1" ref="AN15" ca="1">IF($A15="","",JGB_AI($AE15,$AK15,$AF15))</f>
      </c>
      <c r="AO15" s="13" cm="1">
        <f t="array" aca="1" ref="AO15" ca="1">IF($A15="","",JGB_CARRY_COUPONS($AE15,$AF15,$AJ15,$AK15,$G15))</f>
      </c>
      <c r="AP15" s="13">
        <f t="shared" ca="1" si="7"/>
      </c>
      <c r="AQ15" s="9">
        <f t="shared" ca="1" si="8"/>
      </c>
      <c r="AR15" s="13">
        <f t="shared" ca="1" si="9"/>
      </c>
      <c r="AS15" s="12">
        <f t="shared" ca="1" si="10"/>
      </c>
      <c r="AT15" s="68">
        <f t="shared" ca="1" si="11"/>
      </c>
      <c r="AV15" s="66"/>
      <c r="AW15" s="13"/>
      <c r="AX15" s="12"/>
      <c r="AY15" s="1"/>
      <c r="BA15" s="9"/>
      <c r="BC15" s="12"/>
      <c r="BD15" s="64"/>
    </row>
    <row r="16" spans="1:58" x14ac:dyDescent="0.55000000000000004">
      <c r="A16" s="38" t="s">
        <v>77</v>
      </c>
      <c r="B16" s="4" t="s">
        <v>77</v>
      </c>
      <c r="C16" s="6"/>
      <c r="D16" s="7"/>
      <c r="E16" s="42"/>
      <c r="F16" s="44"/>
      <c r="G16" s="9" cm="1">
        <f t="array" aca="1" ref="G16" ca="1">IF($A16="","",IF($F16&lt;&gt;"",$F16,_xlfn.LET(_xlpm.s,_xlfn.XLOOKUP($B16,INDEX(SchemeTable,0,1),INDEX(SchemeTable,0,3),""),_xlpm.r,_xlfn.SWITCH(_xlpm.s,"Bid",IF(ISBLANK(RepoBid),"",RepoBid),"Offer",IF(ISBLANK(RepoOffer),"",RepoOffer),""),IF(_xlpm.s="","Error: set repo side for "&amp;$B16,IF(_xlpm.r="","Error: enter repo "&amp;LOWER(_xlpm.s),_xlpm.r)))))</f>
      </c>
      <c r="H16" s="11"/>
      <c r="I16" s="9">
        <f t="shared" ca="1" si="0"/>
      </c>
      <c r="J16" s="46" cm="1">
        <f t="array" aca="1" ref="J16" ca="1">IF($A16="","",JGB_PRICE($AE16,$I16,$AJ16,$AF16))</f>
      </c>
      <c r="K16" s="48"/>
      <c r="L16" s="11"/>
      <c r="M16" s="10"/>
      <c r="N16" s="11"/>
      <c r="O16" s="50"/>
      <c r="P16" s="54">
        <f t="shared" ca="1" si="1"/>
      </c>
      <c r="Q16" s="56" cm="1">
        <f t="array" aca="1" ref="Q16" ca="1">IF($A16="","",_xlfn.LET(_xlpm.n,COUNTA($K16:$O16),IF($B16="ITMBW",IF(_xlpm.n=0,"ITMBW","Error: ITMBW takes no strike input"),IF(_xlpm.n=1,_xlfn.XLOOKUP(TRUE,$K16:$O16&lt;&gt;"",{"Spot +sen","Fwd +sen","Fwd price","ATM +bp","Yield"}),IF(_xlpm.n=0,"Error: enter one strike input","Error: enter only one strike input")))))</f>
      </c>
      <c r="R16" s="9" cm="1">
        <f t="array" aca="1" ref="R16" ca="1">IF($A16="","",_xlfn.SWITCH($Q16,"Spot +sen",ROUNDDOWN(ROUND($J16+$K16/100,9),3),"Fwd +sen",ROUNDDOWN(ROUND($P16+$L16/100,9),3),"Fwd price",$M16,"ATM +bp",JGB_PRICE($AE16,$I16+$N16/100,$C16,$AF16),"Yield",JGB_PRICE($AE16,$O16,$C16,$AF16),"ITMBW",IF($BA16="",NA(),$BA16),NA()))</f>
      </c>
      <c r="S16" s="46" cm="1">
        <f t="array" aca="1" ref="S16" ca="1">IF($A16="","",JGB_YIELD($AE16,$R16,$AK16,$AF16))</f>
      </c>
      <c r="T16" s="58"/>
      <c r="U16" s="1">
        <f ca="1">IF($A16="","",IF(OR($X16&lt;&gt;"",$V16&lt;&gt;""),$W16*SQRT(VolDays),IF($T16&lt;&gt;"",$T16,$AT16)))</f>
      </c>
      <c r="V16" s="70"/>
      <c r="W16" s="12">
        <f ca="1">IF($A16="","",IF($X16&lt;&gt;"",$X16*100/(SQRT(252)*$AS16),IF($V16&lt;&gt;"",$V16,IF($T16&lt;&gt;"",$T16,$AT16)/SQRT(VolDays))))</f>
      </c>
      <c r="X16" s="72"/>
      <c r="Y16" s="60">
        <f t="shared" ca="1" si="2"/>
      </c>
      <c r="Z16" s="62">
        <f t="shared" ca="1" si="3"/>
      </c>
      <c r="AA16" s="8">
        <f t="shared" ca="1" si="4"/>
      </c>
      <c r="AB16" s="9">
        <f t="shared" ca="1" si="5"/>
      </c>
      <c r="AD16" s="64">
        <f t="shared" ca="1" si="6"/>
      </c>
      <c r="AE16" s="66" cm="1">
        <f t="array" aca="1" ref="AE16" ca="1">IF($A16="","",_xlfn.XLOOKUP($A16,INDEX(BondList,0,1),INDEX(BondList,0,2)))</f>
      </c>
      <c r="AF16" s="3" cm="1">
        <f t="array" aca="1" ref="AF16" ca="1">IF($A16="","",_xlfn.XLOOKUP($A16,INDEX(BondList,0,1),INDEX(BondList,0,3)))</f>
      </c>
      <c r="AG16" s="9" cm="1">
        <f t="array" aca="1" ref="AG16" ca="1">IF($A16="","",_xlfn.XLOOKUP($A16,INDEX(BondList,0,1),INDEX(BondList,0,4)))</f>
      </c>
      <c r="AH16" s="3" cm="1">
        <f t="array" aca="1" ref="AH16" ca="1">IF($A16="","",_xlfn.XLOOKUP($A16,INDEX(BondList,0,1),INDEX(BondList,0,5)))</f>
      </c>
      <c r="AI16" s="20" cm="1">
        <f t="array" aca="1" ref="AI16" ca="1">IF($A16="","",_xlfn.XLOOKUP($B16,INDEX(SchemeTable,0,1),INDEX(SchemeTable,0,2),NA()))</f>
      </c>
      <c r="AJ16" s="3">
        <f ca="1">IF($A16="","",WORKDAY(TradeDate,1,Holidays))</f>
      </c>
      <c r="AK16" s="3">
        <f ca="1">IF($A16="","",WORKDAY($C16,$D16,Holidays))</f>
      </c>
      <c r="AL16" s="13">
        <f ca="1">IF($A16="","",NETWORKDAYS(TradeDate,$C16-1,Holidays)/252)</f>
      </c>
      <c r="AM16" s="13" cm="1">
        <f t="array" aca="1" ref="AM16" ca="1">IF($A16="","",JGB_AI($AE16,$AJ16,$AF16))</f>
      </c>
      <c r="AN16" s="13" cm="1">
        <f t="array" aca="1" ref="AN16" ca="1">IF($A16="","",JGB_AI($AE16,$AK16,$AF16))</f>
      </c>
      <c r="AO16" s="13" cm="1">
        <f t="array" aca="1" ref="AO16" ca="1">IF($A16="","",JGB_CARRY_COUPONS($AE16,$AF16,$AJ16,$AK16,$G16))</f>
      </c>
      <c r="AP16" s="13">
        <f t="shared" ca="1" si="7"/>
      </c>
      <c r="AQ16" s="9">
        <f t="shared" ca="1" si="8"/>
      </c>
      <c r="AR16" s="13">
        <f t="shared" ca="1" si="9"/>
      </c>
      <c r="AS16" s="12">
        <f t="shared" ca="1" si="10"/>
      </c>
      <c r="AT16" s="68">
        <f t="shared" ca="1" si="11"/>
      </c>
      <c r="AV16" s="66"/>
      <c r="AW16" s="13"/>
      <c r="AX16" s="12"/>
      <c r="AY16" s="1"/>
      <c r="BA16" s="9"/>
      <c r="BC16" s="12"/>
      <c r="BD16" s="64"/>
    </row>
    <row r="17" spans="1:56" x14ac:dyDescent="0.55000000000000004">
      <c r="A17" s="39" t="s">
        <v>77</v>
      </c>
      <c r="B17" s="22" t="s">
        <v>77</v>
      </c>
      <c r="C17" s="23"/>
      <c r="D17" s="24"/>
      <c r="E17" s="43"/>
      <c r="F17" s="45"/>
      <c r="G17" s="26" cm="1">
        <f t="array" aca="1" ref="G17" ca="1">IF($A17="","",IF($F17&lt;&gt;"",$F17,_xlfn.LET(_xlpm.s,_xlfn.XLOOKUP($B17,INDEX(SchemeTable,0,1),INDEX(SchemeTable,0,3),""),_xlpm.r,_xlfn.SWITCH(_xlpm.s,"Bid",IF(ISBLANK(RepoBid),"",RepoBid),"Offer",IF(ISBLANK(RepoOffer),"",RepoOffer),""),IF(_xlpm.s="","Error: set repo side for "&amp;$B17,IF(_xlpm.r="","Error: enter repo "&amp;LOWER(_xlpm.s),_xlpm.r)))))</f>
      </c>
      <c r="H17" s="27"/>
      <c r="I17" s="26">
        <f t="shared" ca="1" si="0"/>
      </c>
      <c r="J17" s="47" cm="1">
        <f t="array" aca="1" ref="J17" ca="1">IF($A17="","",JGB_PRICE($AE17,$I17,$AJ17,$AF17))</f>
      </c>
      <c r="K17" s="49"/>
      <c r="L17" s="27"/>
      <c r="M17" s="25"/>
      <c r="N17" s="27"/>
      <c r="O17" s="51"/>
      <c r="P17" s="55">
        <f t="shared" ca="1" si="1"/>
      </c>
      <c r="Q17" s="57" cm="1">
        <f t="array" aca="1" ref="Q17" ca="1">IF($A17="","",_xlfn.LET(_xlpm.n,COUNTA($K17:$O17),IF($B17="ITMBW",IF(_xlpm.n=0,"ITMBW","Error: ITMBW takes no strike input"),IF(_xlpm.n=1,_xlfn.XLOOKUP(TRUE,$K17:$O17&lt;&gt;"",{"Spot +sen","Fwd +sen","Fwd price","ATM +bp","Yield"}),IF(_xlpm.n=0,"Error: enter one strike input","Error: enter only one strike input")))))</f>
      </c>
      <c r="R17" s="26" cm="1">
        <f t="array" aca="1" ref="R17" ca="1">IF($A17="","",_xlfn.SWITCH($Q17,"Spot +sen",ROUNDDOWN(ROUND($J17+$K17/100,9),3),"Fwd +sen",ROUNDDOWN(ROUND($P17+$L17/100,9),3),"Fwd price",$M17,"ATM +bp",JGB_PRICE($AE17,$I17+$N17/100,$C17,$AF17),"Yield",JGB_PRICE($AE17,$O17,$C17,$AF17),"ITMBW",IF($BA17="",NA(),$BA17),NA()))</f>
      </c>
      <c r="S17" s="47" cm="1">
        <f t="array" aca="1" ref="S17" ca="1">IF($A17="","",JGB_YIELD($AE17,$R17,$AK17,$AF17))</f>
      </c>
      <c r="T17" s="59"/>
      <c r="U17" s="30">
        <f ca="1">IF($A17="","",IF(OR($X17&lt;&gt;"",$V17&lt;&gt;""),$W17*SQRT(VolDays),IF($T17&lt;&gt;"",$T17,$AT17)))</f>
      </c>
      <c r="V17" s="71"/>
      <c r="W17" s="31">
        <f ca="1">IF($A17="","",IF($X17&lt;&gt;"",$X17*100/(SQRT(252)*$AS17),IF($V17&lt;&gt;"",$V17,IF($T17&lt;&gt;"",$T17,$AT17)/SQRT(VolDays))))</f>
      </c>
      <c r="X17" s="73"/>
      <c r="Y17" s="61">
        <f t="shared" ca="1" si="2"/>
      </c>
      <c r="Z17" s="63">
        <f t="shared" ca="1" si="3"/>
      </c>
      <c r="AA17" s="32">
        <f t="shared" ca="1" si="4"/>
      </c>
      <c r="AB17" s="26">
        <f t="shared" ca="1" si="5"/>
      </c>
      <c r="AC17" s="16"/>
      <c r="AD17" s="65">
        <f t="shared" ca="1" si="6"/>
      </c>
      <c r="AE17" s="67" cm="1">
        <f t="array" aca="1" ref="AE17" ca="1">IF($A17="","",_xlfn.XLOOKUP($A17,INDEX(BondList,0,1),INDEX(BondList,0,2)))</f>
      </c>
      <c r="AF17" s="33" cm="1">
        <f t="array" aca="1" ref="AF17" ca="1">IF($A17="","",_xlfn.XLOOKUP($A17,INDEX(BondList,0,1),INDEX(BondList,0,3)))</f>
      </c>
      <c r="AG17" s="26" cm="1">
        <f t="array" aca="1" ref="AG17" ca="1">IF($A17="","",_xlfn.XLOOKUP($A17,INDEX(BondList,0,1),INDEX(BondList,0,4)))</f>
      </c>
      <c r="AH17" s="33" cm="1">
        <f t="array" aca="1" ref="AH17" ca="1">IF($A17="","",_xlfn.XLOOKUP($A17,INDEX(BondList,0,1),INDEX(BondList,0,5)))</f>
      </c>
      <c r="AI17" s="29" cm="1">
        <f t="array" aca="1" ref="AI17" ca="1">IF($A17="","",_xlfn.XLOOKUP($B17,INDEX(SchemeTable,0,1),INDEX(SchemeTable,0,2),NA()))</f>
      </c>
      <c r="AJ17" s="33">
        <f ca="1">IF($A17="","",WORKDAY(TradeDate,1,Holidays))</f>
      </c>
      <c r="AK17" s="33">
        <f ca="1">IF($A17="","",WORKDAY($C17,$D17,Holidays))</f>
      </c>
      <c r="AL17" s="28">
        <f ca="1">IF($A17="","",NETWORKDAYS(TradeDate,$C17-1,Holidays)/252)</f>
      </c>
      <c r="AM17" s="28" cm="1">
        <f t="array" aca="1" ref="AM17" ca="1">IF($A17="","",JGB_AI($AE17,$AJ17,$AF17))</f>
      </c>
      <c r="AN17" s="28" cm="1">
        <f t="array" aca="1" ref="AN17" ca="1">IF($A17="","",JGB_AI($AE17,$AK17,$AF17))</f>
      </c>
      <c r="AO17" s="28" cm="1">
        <f t="array" aca="1" ref="AO17" ca="1">IF($A17="","",JGB_CARRY_COUPONS($AE17,$AF17,$AJ17,$AK17,$G17))</f>
      </c>
      <c r="AP17" s="28">
        <f t="shared" ca="1" si="7"/>
      </c>
      <c r="AQ17" s="26">
        <f t="shared" ca="1" si="8"/>
      </c>
      <c r="AR17" s="28">
        <f t="shared" ca="1" si="9"/>
      </c>
      <c r="AS17" s="31">
        <f t="shared" ca="1" si="10"/>
      </c>
      <c r="AT17" s="69">
        <f t="shared" ca="1" si="11"/>
      </c>
      <c r="AV17" s="67"/>
      <c r="AW17" s="28"/>
      <c r="AX17" s="31"/>
      <c r="AY17" s="30"/>
      <c r="AZ17" s="16"/>
      <c r="BA17" s="26"/>
      <c r="BB17" s="16"/>
      <c r="BC17" s="31"/>
      <c r="BD17" s="65"/>
    </row>
    <row r="18" spans="1:56" x14ac:dyDescent="0.55000000000000004">
      <c r="A18" s="38" t="s">
        <v>77</v>
      </c>
      <c r="B18" s="4" t="s">
        <v>77</v>
      </c>
      <c r="C18" s="6"/>
      <c r="D18" s="7"/>
      <c r="E18" s="42"/>
      <c r="F18" s="44"/>
      <c r="G18" s="9" cm="1">
        <f t="array" aca="1" ref="G18" ca="1">IF($A18="","",IF($F18&lt;&gt;"",$F18,_xlfn.LET(_xlpm.s,_xlfn.XLOOKUP($B18,INDEX(SchemeTable,0,1),INDEX(SchemeTable,0,3),""),_xlpm.r,_xlfn.SWITCH(_xlpm.s,"Bid",IF(ISBLANK(RepoBid),"",RepoBid),"Offer",IF(ISBLANK(RepoOffer),"",RepoOffer),""),IF(_xlpm.s="","Error: set repo side for "&amp;$B18,IF(_xlpm.r="","Error: enter repo "&amp;LOWER(_xlpm.s),_xlpm.r)))))</f>
      </c>
      <c r="H18" s="11"/>
      <c r="I18" s="9">
        <f t="shared" ca="1" si="0"/>
      </c>
      <c r="J18" s="46" cm="1">
        <f t="array" aca="1" ref="J18" ca="1">IF($A18="","",JGB_PRICE($AE18,$I18,$AJ18,$AF18))</f>
      </c>
      <c r="K18" s="48"/>
      <c r="L18" s="11"/>
      <c r="M18" s="10"/>
      <c r="N18" s="11"/>
      <c r="O18" s="50"/>
      <c r="P18" s="54">
        <f t="shared" ca="1" si="1"/>
      </c>
      <c r="Q18" s="56" cm="1">
        <f t="array" aca="1" ref="Q18" ca="1">IF($A18="","",_xlfn.LET(_xlpm.n,COUNTA($K18:$O18),IF($B18="ITMBW",IF(_xlpm.n=0,"ITMBW","Error: ITMBW takes no strike input"),IF(_xlpm.n=1,_xlfn.XLOOKUP(TRUE,$K18:$O18&lt;&gt;"",{"Spot +sen","Fwd +sen","Fwd price","ATM +bp","Yield"}),IF(_xlpm.n=0,"Error: enter one strike input","Error: enter only one strike input")))))</f>
      </c>
      <c r="R18" s="9" cm="1">
        <f t="array" aca="1" ref="R18" ca="1">IF($A18="","",_xlfn.SWITCH($Q18,"Spot +sen",ROUNDDOWN(ROUND($J18+$K18/100,9),3),"Fwd +sen",ROUNDDOWN(ROUND($P18+$L18/100,9),3),"Fwd price",$M18,"ATM +bp",JGB_PRICE($AE18,$I18+$N18/100,$C18,$AF18),"Yield",JGB_PRICE($AE18,$O18,$C18,$AF18),"ITMBW",IF($BA18="",NA(),$BA18),NA()))</f>
      </c>
      <c r="S18" s="46" cm="1">
        <f t="array" aca="1" ref="S18" ca="1">IF($A18="","",JGB_YIELD($AE18,$R18,$AK18,$AF18))</f>
      </c>
      <c r="T18" s="58"/>
      <c r="U18" s="1">
        <f ca="1">IF($A18="","",IF(OR($X18&lt;&gt;"",$V18&lt;&gt;""),$W18*SQRT(VolDays),IF($T18&lt;&gt;"",$T18,$AT18)))</f>
      </c>
      <c r="V18" s="70"/>
      <c r="W18" s="12">
        <f ca="1">IF($A18="","",IF($X18&lt;&gt;"",$X18*100/(SQRT(252)*$AS18),IF($V18&lt;&gt;"",$V18,IF($T18&lt;&gt;"",$T18,$AT18)/SQRT(VolDays))))</f>
      </c>
      <c r="X18" s="72"/>
      <c r="Y18" s="60">
        <f t="shared" ca="1" si="2"/>
      </c>
      <c r="Z18" s="62">
        <f t="shared" ca="1" si="3"/>
      </c>
      <c r="AA18" s="8">
        <f t="shared" ca="1" si="4"/>
      </c>
      <c r="AB18" s="9">
        <f t="shared" ca="1" si="5"/>
      </c>
      <c r="AD18" s="64">
        <f t="shared" ca="1" si="6"/>
      </c>
      <c r="AE18" s="66" cm="1">
        <f t="array" aca="1" ref="AE18" ca="1">IF($A18="","",_xlfn.XLOOKUP($A18,INDEX(BondList,0,1),INDEX(BondList,0,2)))</f>
      </c>
      <c r="AF18" s="3" cm="1">
        <f t="array" aca="1" ref="AF18" ca="1">IF($A18="","",_xlfn.XLOOKUP($A18,INDEX(BondList,0,1),INDEX(BondList,0,3)))</f>
      </c>
      <c r="AG18" s="9" cm="1">
        <f t="array" aca="1" ref="AG18" ca="1">IF($A18="","",_xlfn.XLOOKUP($A18,INDEX(BondList,0,1),INDEX(BondList,0,4)))</f>
      </c>
      <c r="AH18" s="3" cm="1">
        <f t="array" aca="1" ref="AH18" ca="1">IF($A18="","",_xlfn.XLOOKUP($A18,INDEX(BondList,0,1),INDEX(BondList,0,5)))</f>
      </c>
      <c r="AI18" s="20" cm="1">
        <f t="array" aca="1" ref="AI18" ca="1">IF($A18="","",_xlfn.XLOOKUP($B18,INDEX(SchemeTable,0,1),INDEX(SchemeTable,0,2),NA()))</f>
      </c>
      <c r="AJ18" s="3">
        <f ca="1">IF($A18="","",WORKDAY(TradeDate,1,Holidays))</f>
      </c>
      <c r="AK18" s="3">
        <f ca="1">IF($A18="","",WORKDAY($C18,$D18,Holidays))</f>
      </c>
      <c r="AL18" s="13">
        <f ca="1">IF($A18="","",NETWORKDAYS(TradeDate,$C18-1,Holidays)/252)</f>
      </c>
      <c r="AM18" s="13" cm="1">
        <f t="array" aca="1" ref="AM18" ca="1">IF($A18="","",JGB_AI($AE18,$AJ18,$AF18))</f>
      </c>
      <c r="AN18" s="13" cm="1">
        <f t="array" aca="1" ref="AN18" ca="1">IF($A18="","",JGB_AI($AE18,$AK18,$AF18))</f>
      </c>
      <c r="AO18" s="13" cm="1">
        <f t="array" aca="1" ref="AO18" ca="1">IF($A18="","",JGB_CARRY_COUPONS($AE18,$AF18,$AJ18,$AK18,$G18))</f>
      </c>
      <c r="AP18" s="13">
        <f t="shared" ca="1" si="7"/>
      </c>
      <c r="AQ18" s="9">
        <f t="shared" ca="1" si="8"/>
      </c>
      <c r="AR18" s="13">
        <f t="shared" ca="1" si="9"/>
      </c>
      <c r="AS18" s="12">
        <f t="shared" ca="1" si="10"/>
      </c>
      <c r="AT18" s="68">
        <f t="shared" ca="1" si="11"/>
      </c>
      <c r="AV18" s="66"/>
      <c r="AW18" s="13"/>
      <c r="AX18" s="12"/>
      <c r="AY18" s="1"/>
      <c r="BA18" s="9"/>
      <c r="BC18" s="12"/>
      <c r="BD18" s="64"/>
    </row>
    <row r="19" spans="1:56" x14ac:dyDescent="0.55000000000000004">
      <c r="A19" s="38" t="s">
        <v>77</v>
      </c>
      <c r="B19" s="4" t="s">
        <v>77</v>
      </c>
      <c r="C19" s="6"/>
      <c r="D19" s="7"/>
      <c r="E19" s="42"/>
      <c r="F19" s="44"/>
      <c r="G19" s="9" cm="1">
        <f t="array" aca="1" ref="G19" ca="1">IF($A19="","",IF($F19&lt;&gt;"",$F19,_xlfn.LET(_xlpm.s,_xlfn.XLOOKUP($B19,INDEX(SchemeTable,0,1),INDEX(SchemeTable,0,3),""),_xlpm.r,_xlfn.SWITCH(_xlpm.s,"Bid",IF(ISBLANK(RepoBid),"",RepoBid),"Offer",IF(ISBLANK(RepoOffer),"",RepoOffer),""),IF(_xlpm.s="","Error: set repo side for "&amp;$B19,IF(_xlpm.r="","Error: enter repo "&amp;LOWER(_xlpm.s),_xlpm.r)))))</f>
      </c>
      <c r="H19" s="11"/>
      <c r="I19" s="9">
        <f t="shared" ca="1" si="0"/>
      </c>
      <c r="J19" s="46" cm="1">
        <f t="array" aca="1" ref="J19" ca="1">IF($A19="","",JGB_PRICE($AE19,$I19,$AJ19,$AF19))</f>
      </c>
      <c r="K19" s="48"/>
      <c r="L19" s="11"/>
      <c r="M19" s="10"/>
      <c r="N19" s="11"/>
      <c r="O19" s="50"/>
      <c r="P19" s="54">
        <f t="shared" ca="1" si="1"/>
      </c>
      <c r="Q19" s="56" cm="1">
        <f t="array" aca="1" ref="Q19" ca="1">IF($A19="","",_xlfn.LET(_xlpm.n,COUNTA($K19:$O19),IF($B19="ITMBW",IF(_xlpm.n=0,"ITMBW","Error: ITMBW takes no strike input"),IF(_xlpm.n=1,_xlfn.XLOOKUP(TRUE,$K19:$O19&lt;&gt;"",{"Spot +sen","Fwd +sen","Fwd price","ATM +bp","Yield"}),IF(_xlpm.n=0,"Error: enter one strike input","Error: enter only one strike input")))))</f>
      </c>
      <c r="R19" s="9" cm="1">
        <f t="array" aca="1" ref="R19" ca="1">IF($A19="","",_xlfn.SWITCH($Q19,"Spot +sen",ROUNDDOWN(ROUND($J19+$K19/100,9),3),"Fwd +sen",ROUNDDOWN(ROUND($P19+$L19/100,9),3),"Fwd price",$M19,"ATM +bp",JGB_PRICE($AE19,$I19+$N19/100,$C19,$AF19),"Yield",JGB_PRICE($AE19,$O19,$C19,$AF19),"ITMBW",IF($BA19="",NA(),$BA19),NA()))</f>
      </c>
      <c r="S19" s="46" cm="1">
        <f t="array" aca="1" ref="S19" ca="1">IF($A19="","",JGB_YIELD($AE19,$R19,$AK19,$AF19))</f>
      </c>
      <c r="T19" s="58"/>
      <c r="U19" s="1">
        <f ca="1">IF($A19="","",IF(OR($X19&lt;&gt;"",$V19&lt;&gt;""),$W19*SQRT(VolDays),IF($T19&lt;&gt;"",$T19,$AT19)))</f>
      </c>
      <c r="V19" s="70"/>
      <c r="W19" s="12">
        <f ca="1">IF($A19="","",IF($X19&lt;&gt;"",$X19*100/(SQRT(252)*$AS19),IF($V19&lt;&gt;"",$V19,IF($T19&lt;&gt;"",$T19,$AT19)/SQRT(VolDays))))</f>
      </c>
      <c r="X19" s="72"/>
      <c r="Y19" s="60">
        <f t="shared" ca="1" si="2"/>
      </c>
      <c r="Z19" s="62">
        <f t="shared" ca="1" si="3"/>
      </c>
      <c r="AA19" s="8">
        <f t="shared" ca="1" si="4"/>
      </c>
      <c r="AB19" s="9">
        <f t="shared" ca="1" si="5"/>
      </c>
      <c r="AD19" s="64">
        <f t="shared" ca="1" si="6"/>
      </c>
      <c r="AE19" s="66" cm="1">
        <f t="array" aca="1" ref="AE19" ca="1">IF($A19="","",_xlfn.XLOOKUP($A19,INDEX(BondList,0,1),INDEX(BondList,0,2)))</f>
      </c>
      <c r="AF19" s="3" cm="1">
        <f t="array" aca="1" ref="AF19" ca="1">IF($A19="","",_xlfn.XLOOKUP($A19,INDEX(BondList,0,1),INDEX(BondList,0,3)))</f>
      </c>
      <c r="AG19" s="9" cm="1">
        <f t="array" aca="1" ref="AG19" ca="1">IF($A19="","",_xlfn.XLOOKUP($A19,INDEX(BondList,0,1),INDEX(BondList,0,4)))</f>
      </c>
      <c r="AH19" s="3" cm="1">
        <f t="array" aca="1" ref="AH19" ca="1">IF($A19="","",_xlfn.XLOOKUP($A19,INDEX(BondList,0,1),INDEX(BondList,0,5)))</f>
      </c>
      <c r="AI19" s="20" cm="1">
        <f t="array" aca="1" ref="AI19" ca="1">IF($A19="","",_xlfn.XLOOKUP($B19,INDEX(SchemeTable,0,1),INDEX(SchemeTable,0,2),NA()))</f>
      </c>
      <c r="AJ19" s="3">
        <f ca="1">IF($A19="","",WORKDAY(TradeDate,1,Holidays))</f>
      </c>
      <c r="AK19" s="3">
        <f ca="1">IF($A19="","",WORKDAY($C19,$D19,Holidays))</f>
      </c>
      <c r="AL19" s="13">
        <f ca="1">IF($A19="","",NETWORKDAYS(TradeDate,$C19-1,Holidays)/252)</f>
      </c>
      <c r="AM19" s="13" cm="1">
        <f t="array" aca="1" ref="AM19" ca="1">IF($A19="","",JGB_AI($AE19,$AJ19,$AF19))</f>
      </c>
      <c r="AN19" s="13" cm="1">
        <f t="array" aca="1" ref="AN19" ca="1">IF($A19="","",JGB_AI($AE19,$AK19,$AF19))</f>
      </c>
      <c r="AO19" s="13" cm="1">
        <f t="array" aca="1" ref="AO19" ca="1">IF($A19="","",JGB_CARRY_COUPONS($AE19,$AF19,$AJ19,$AK19,$G19))</f>
      </c>
      <c r="AP19" s="13">
        <f t="shared" ca="1" si="7"/>
      </c>
      <c r="AQ19" s="9">
        <f t="shared" ca="1" si="8"/>
      </c>
      <c r="AR19" s="13">
        <f t="shared" ca="1" si="9"/>
      </c>
      <c r="AS19" s="12">
        <f t="shared" ca="1" si="10"/>
      </c>
      <c r="AT19" s="68">
        <f t="shared" ca="1" si="11"/>
      </c>
      <c r="AV19" s="66"/>
      <c r="AW19" s="13"/>
      <c r="AX19" s="12"/>
      <c r="AY19" s="1"/>
      <c r="BA19" s="9"/>
      <c r="BC19" s="12"/>
      <c r="BD19" s="64"/>
    </row>
    <row r="20" spans="1:56" x14ac:dyDescent="0.55000000000000004">
      <c r="A20" s="38" t="s">
        <v>77</v>
      </c>
      <c r="B20" s="4" t="s">
        <v>77</v>
      </c>
      <c r="C20" s="6"/>
      <c r="D20" s="7"/>
      <c r="E20" s="42"/>
      <c r="F20" s="44"/>
      <c r="G20" s="9" cm="1">
        <f t="array" aca="1" ref="G20" ca="1">IF($A20="","",IF($F20&lt;&gt;"",$F20,_xlfn.LET(_xlpm.s,_xlfn.XLOOKUP($B20,INDEX(SchemeTable,0,1),INDEX(SchemeTable,0,3),""),_xlpm.r,_xlfn.SWITCH(_xlpm.s,"Bid",IF(ISBLANK(RepoBid),"",RepoBid),"Offer",IF(ISBLANK(RepoOffer),"",RepoOffer),""),IF(_xlpm.s="","Error: set repo side for "&amp;$B20,IF(_xlpm.r="","Error: enter repo "&amp;LOWER(_xlpm.s),_xlpm.r)))))</f>
      </c>
      <c r="H20" s="11"/>
      <c r="I20" s="9">
        <f t="shared" ca="1" si="0"/>
      </c>
      <c r="J20" s="46" cm="1">
        <f t="array" aca="1" ref="J20" ca="1">IF($A20="","",JGB_PRICE($AE20,$I20,$AJ20,$AF20))</f>
      </c>
      <c r="K20" s="48"/>
      <c r="L20" s="11"/>
      <c r="M20" s="10"/>
      <c r="N20" s="11"/>
      <c r="O20" s="50"/>
      <c r="P20" s="54">
        <f t="shared" ca="1" si="1"/>
      </c>
      <c r="Q20" s="56" cm="1">
        <f t="array" aca="1" ref="Q20" ca="1">IF($A20="","",_xlfn.LET(_xlpm.n,COUNTA($K20:$O20),IF($B20="ITMBW",IF(_xlpm.n=0,"ITMBW","Error: ITMBW takes no strike input"),IF(_xlpm.n=1,_xlfn.XLOOKUP(TRUE,$K20:$O20&lt;&gt;"",{"Spot +sen","Fwd +sen","Fwd price","ATM +bp","Yield"}),IF(_xlpm.n=0,"Error: enter one strike input","Error: enter only one strike input")))))</f>
      </c>
      <c r="R20" s="9" cm="1">
        <f t="array" aca="1" ref="R20" ca="1">IF($A20="","",_xlfn.SWITCH($Q20,"Spot +sen",ROUNDDOWN(ROUND($J20+$K20/100,9),3),"Fwd +sen",ROUNDDOWN(ROUND($P20+$L20/100,9),3),"Fwd price",$M20,"ATM +bp",JGB_PRICE($AE20,$I20+$N20/100,$C20,$AF20),"Yield",JGB_PRICE($AE20,$O20,$C20,$AF20),"ITMBW",IF($BA20="",NA(),$BA20),NA()))</f>
      </c>
      <c r="S20" s="46" cm="1">
        <f t="array" aca="1" ref="S20" ca="1">IF($A20="","",JGB_YIELD($AE20,$R20,$AK20,$AF20))</f>
      </c>
      <c r="T20" s="58"/>
      <c r="U20" s="1">
        <f ca="1">IF($A20="","",IF(OR($X20&lt;&gt;"",$V20&lt;&gt;""),$W20*SQRT(VolDays),IF($T20&lt;&gt;"",$T20,$AT20)))</f>
      </c>
      <c r="V20" s="70"/>
      <c r="W20" s="12">
        <f ca="1">IF($A20="","",IF($X20&lt;&gt;"",$X20*100/(SQRT(252)*$AS20),IF($V20&lt;&gt;"",$V20,IF($T20&lt;&gt;"",$T20,$AT20)/SQRT(VolDays))))</f>
      </c>
      <c r="X20" s="72"/>
      <c r="Y20" s="60">
        <f t="shared" ca="1" si="2"/>
      </c>
      <c r="Z20" s="62">
        <f t="shared" ca="1" si="3"/>
      </c>
      <c r="AA20" s="8">
        <f t="shared" ca="1" si="4"/>
      </c>
      <c r="AB20" s="9">
        <f t="shared" ca="1" si="5"/>
      </c>
      <c r="AD20" s="64">
        <f t="shared" ca="1" si="6"/>
      </c>
      <c r="AE20" s="66" cm="1">
        <f t="array" aca="1" ref="AE20" ca="1">IF($A20="","",_xlfn.XLOOKUP($A20,INDEX(BondList,0,1),INDEX(BondList,0,2)))</f>
      </c>
      <c r="AF20" s="3" cm="1">
        <f t="array" aca="1" ref="AF20" ca="1">IF($A20="","",_xlfn.XLOOKUP($A20,INDEX(BondList,0,1),INDEX(BondList,0,3)))</f>
      </c>
      <c r="AG20" s="9" cm="1">
        <f t="array" aca="1" ref="AG20" ca="1">IF($A20="","",_xlfn.XLOOKUP($A20,INDEX(BondList,0,1),INDEX(BondList,0,4)))</f>
      </c>
      <c r="AH20" s="3" cm="1">
        <f t="array" aca="1" ref="AH20" ca="1">IF($A20="","",_xlfn.XLOOKUP($A20,INDEX(BondList,0,1),INDEX(BondList,0,5)))</f>
      </c>
      <c r="AI20" s="20" cm="1">
        <f t="array" aca="1" ref="AI20" ca="1">IF($A20="","",_xlfn.XLOOKUP($B20,INDEX(SchemeTable,0,1),INDEX(SchemeTable,0,2),NA()))</f>
      </c>
      <c r="AJ20" s="3">
        <f ca="1">IF($A20="","",WORKDAY(TradeDate,1,Holidays))</f>
      </c>
      <c r="AK20" s="3">
        <f ca="1">IF($A20="","",WORKDAY($C20,$D20,Holidays))</f>
      </c>
      <c r="AL20" s="13">
        <f ca="1">IF($A20="","",NETWORKDAYS(TradeDate,$C20-1,Holidays)/252)</f>
      </c>
      <c r="AM20" s="13" cm="1">
        <f t="array" aca="1" ref="AM20" ca="1">IF($A20="","",JGB_AI($AE20,$AJ20,$AF20))</f>
      </c>
      <c r="AN20" s="13" cm="1">
        <f t="array" aca="1" ref="AN20" ca="1">IF($A20="","",JGB_AI($AE20,$AK20,$AF20))</f>
      </c>
      <c r="AO20" s="13" cm="1">
        <f t="array" aca="1" ref="AO20" ca="1">IF($A20="","",JGB_CARRY_COUPONS($AE20,$AF20,$AJ20,$AK20,$G20))</f>
      </c>
      <c r="AP20" s="13">
        <f t="shared" ca="1" si="7"/>
      </c>
      <c r="AQ20" s="9">
        <f t="shared" ca="1" si="8"/>
      </c>
      <c r="AR20" s="13">
        <f t="shared" ca="1" si="9"/>
      </c>
      <c r="AS20" s="12">
        <f t="shared" ca="1" si="10"/>
      </c>
      <c r="AT20" s="68">
        <f t="shared" ca="1" si="11"/>
      </c>
      <c r="AV20" s="66"/>
      <c r="AW20" s="13"/>
      <c r="AX20" s="12"/>
      <c r="AY20" s="1"/>
      <c r="BA20" s="9"/>
      <c r="BC20" s="12"/>
      <c r="BD20" s="64"/>
    </row>
    <row r="21" spans="1:56" x14ac:dyDescent="0.55000000000000004">
      <c r="A21" s="38" t="s">
        <v>77</v>
      </c>
      <c r="B21" s="4" t="s">
        <v>77</v>
      </c>
      <c r="C21" s="6"/>
      <c r="D21" s="7"/>
      <c r="E21" s="42"/>
      <c r="F21" s="44"/>
      <c r="G21" s="9" cm="1">
        <f t="array" aca="1" ref="G21" ca="1">IF($A21="","",IF($F21&lt;&gt;"",$F21,_xlfn.LET(_xlpm.s,_xlfn.XLOOKUP($B21,INDEX(SchemeTable,0,1),INDEX(SchemeTable,0,3),""),_xlpm.r,_xlfn.SWITCH(_xlpm.s,"Bid",IF(ISBLANK(RepoBid),"",RepoBid),"Offer",IF(ISBLANK(RepoOffer),"",RepoOffer),""),IF(_xlpm.s="","Error: set repo side for "&amp;$B21,IF(_xlpm.r="","Error: enter repo "&amp;LOWER(_xlpm.s),_xlpm.r)))))</f>
      </c>
      <c r="H21" s="11"/>
      <c r="I21" s="9">
        <f t="shared" ca="1" si="0"/>
      </c>
      <c r="J21" s="46" cm="1">
        <f t="array" aca="1" ref="J21" ca="1">IF($A21="","",JGB_PRICE($AE21,$I21,$AJ21,$AF21))</f>
      </c>
      <c r="K21" s="48"/>
      <c r="L21" s="11"/>
      <c r="M21" s="10"/>
      <c r="N21" s="11"/>
      <c r="O21" s="50"/>
      <c r="P21" s="54">
        <f t="shared" ca="1" si="1"/>
      </c>
      <c r="Q21" s="56" cm="1">
        <f t="array" aca="1" ref="Q21" ca="1">IF($A21="","",_xlfn.LET(_xlpm.n,COUNTA($K21:$O21),IF($B21="ITMBW",IF(_xlpm.n=0,"ITMBW","Error: ITMBW takes no strike input"),IF(_xlpm.n=1,_xlfn.XLOOKUP(TRUE,$K21:$O21&lt;&gt;"",{"Spot +sen","Fwd +sen","Fwd price","ATM +bp","Yield"}),IF(_xlpm.n=0,"Error: enter one strike input","Error: enter only one strike input")))))</f>
      </c>
      <c r="R21" s="9" cm="1">
        <f t="array" aca="1" ref="R21" ca="1">IF($A21="","",_xlfn.SWITCH($Q21,"Spot +sen",ROUNDDOWN(ROUND($J21+$K21/100,9),3),"Fwd +sen",ROUNDDOWN(ROUND($P21+$L21/100,9),3),"Fwd price",$M21,"ATM +bp",JGB_PRICE($AE21,$I21+$N21/100,$C21,$AF21),"Yield",JGB_PRICE($AE21,$O21,$C21,$AF21),"ITMBW",IF($BA21="",NA(),$BA21),NA()))</f>
      </c>
      <c r="S21" s="46" cm="1">
        <f t="array" aca="1" ref="S21" ca="1">IF($A21="","",JGB_YIELD($AE21,$R21,$AK21,$AF21))</f>
      </c>
      <c r="T21" s="58"/>
      <c r="U21" s="1">
        <f ca="1">IF($A21="","",IF(OR($X21&lt;&gt;"",$V21&lt;&gt;""),$W21*SQRT(VolDays),IF($T21&lt;&gt;"",$T21,$AT21)))</f>
      </c>
      <c r="V21" s="70"/>
      <c r="W21" s="12">
        <f ca="1">IF($A21="","",IF($X21&lt;&gt;"",$X21*100/(SQRT(252)*$AS21),IF($V21&lt;&gt;"",$V21,IF($T21&lt;&gt;"",$T21,$AT21)/SQRT(VolDays))))</f>
      </c>
      <c r="X21" s="72"/>
      <c r="Y21" s="60">
        <f t="shared" ca="1" si="2"/>
      </c>
      <c r="Z21" s="62">
        <f t="shared" ca="1" si="3"/>
      </c>
      <c r="AA21" s="8">
        <f t="shared" ca="1" si="4"/>
      </c>
      <c r="AB21" s="9">
        <f t="shared" ca="1" si="5"/>
      </c>
      <c r="AD21" s="64">
        <f t="shared" ca="1" si="6"/>
      </c>
      <c r="AE21" s="66" cm="1">
        <f t="array" aca="1" ref="AE21" ca="1">IF($A21="","",_xlfn.XLOOKUP($A21,INDEX(BondList,0,1),INDEX(BondList,0,2)))</f>
      </c>
      <c r="AF21" s="3" cm="1">
        <f t="array" aca="1" ref="AF21" ca="1">IF($A21="","",_xlfn.XLOOKUP($A21,INDEX(BondList,0,1),INDEX(BondList,0,3)))</f>
      </c>
      <c r="AG21" s="9" cm="1">
        <f t="array" aca="1" ref="AG21" ca="1">IF($A21="","",_xlfn.XLOOKUP($A21,INDEX(BondList,0,1),INDEX(BondList,0,4)))</f>
      </c>
      <c r="AH21" s="3" cm="1">
        <f t="array" aca="1" ref="AH21" ca="1">IF($A21="","",_xlfn.XLOOKUP($A21,INDEX(BondList,0,1),INDEX(BondList,0,5)))</f>
      </c>
      <c r="AI21" s="20" cm="1">
        <f t="array" aca="1" ref="AI21" ca="1">IF($A21="","",_xlfn.XLOOKUP($B21,INDEX(SchemeTable,0,1),INDEX(SchemeTable,0,2),NA()))</f>
      </c>
      <c r="AJ21" s="3">
        <f ca="1">IF($A21="","",WORKDAY(TradeDate,1,Holidays))</f>
      </c>
      <c r="AK21" s="3">
        <f ca="1">IF($A21="","",WORKDAY($C21,$D21,Holidays))</f>
      </c>
      <c r="AL21" s="13">
        <f ca="1">IF($A21="","",NETWORKDAYS(TradeDate,$C21-1,Holidays)/252)</f>
      </c>
      <c r="AM21" s="13" cm="1">
        <f t="array" aca="1" ref="AM21" ca="1">IF($A21="","",JGB_AI($AE21,$AJ21,$AF21))</f>
      </c>
      <c r="AN21" s="13" cm="1">
        <f t="array" aca="1" ref="AN21" ca="1">IF($A21="","",JGB_AI($AE21,$AK21,$AF21))</f>
      </c>
      <c r="AO21" s="13" cm="1">
        <f t="array" aca="1" ref="AO21" ca="1">IF($A21="","",JGB_CARRY_COUPONS($AE21,$AF21,$AJ21,$AK21,$G21))</f>
      </c>
      <c r="AP21" s="13">
        <f t="shared" ca="1" si="7"/>
      </c>
      <c r="AQ21" s="9">
        <f t="shared" ca="1" si="8"/>
      </c>
      <c r="AR21" s="13">
        <f t="shared" ca="1" si="9"/>
      </c>
      <c r="AS21" s="12">
        <f t="shared" ca="1" si="10"/>
      </c>
      <c r="AT21" s="68">
        <f t="shared" ca="1" si="11"/>
      </c>
      <c r="AV21" s="66"/>
      <c r="AW21" s="13"/>
      <c r="AX21" s="12"/>
      <c r="AY21" s="1"/>
      <c r="BA21" s="9"/>
      <c r="BC21" s="12"/>
      <c r="BD21" s="64"/>
    </row>
    <row r="22" spans="1:56" x14ac:dyDescent="0.55000000000000004">
      <c r="A22" s="39" t="s">
        <v>77</v>
      </c>
      <c r="B22" s="22" t="s">
        <v>77</v>
      </c>
      <c r="C22" s="23"/>
      <c r="D22" s="24"/>
      <c r="E22" s="43"/>
      <c r="F22" s="45"/>
      <c r="G22" s="26" cm="1">
        <f t="array" aca="1" ref="G22" ca="1">IF($A22="","",IF($F22&lt;&gt;"",$F22,_xlfn.LET(_xlpm.s,_xlfn.XLOOKUP($B22,INDEX(SchemeTable,0,1),INDEX(SchemeTable,0,3),""),_xlpm.r,_xlfn.SWITCH(_xlpm.s,"Bid",IF(ISBLANK(RepoBid),"",RepoBid),"Offer",IF(ISBLANK(RepoOffer),"",RepoOffer),""),IF(_xlpm.s="","Error: set repo side for "&amp;$B22,IF(_xlpm.r="","Error: enter repo "&amp;LOWER(_xlpm.s),_xlpm.r)))))</f>
      </c>
      <c r="H22" s="27"/>
      <c r="I22" s="26">
        <f t="shared" ca="1" si="0"/>
      </c>
      <c r="J22" s="47" cm="1">
        <f t="array" aca="1" ref="J22" ca="1">IF($A22="","",JGB_PRICE($AE22,$I22,$AJ22,$AF22))</f>
      </c>
      <c r="K22" s="49"/>
      <c r="L22" s="27"/>
      <c r="M22" s="25"/>
      <c r="N22" s="27"/>
      <c r="O22" s="51"/>
      <c r="P22" s="55">
        <f t="shared" ca="1" si="1"/>
      </c>
      <c r="Q22" s="57" cm="1">
        <f t="array" aca="1" ref="Q22" ca="1">IF($A22="","",_xlfn.LET(_xlpm.n,COUNTA($K22:$O22),IF($B22="ITMBW",IF(_xlpm.n=0,"ITMBW","Error: ITMBW takes no strike input"),IF(_xlpm.n=1,_xlfn.XLOOKUP(TRUE,$K22:$O22&lt;&gt;"",{"Spot +sen","Fwd +sen","Fwd price","ATM +bp","Yield"}),IF(_xlpm.n=0,"Error: enter one strike input","Error: enter only one strike input")))))</f>
      </c>
      <c r="R22" s="26" cm="1">
        <f t="array" aca="1" ref="R22" ca="1">IF($A22="","",_xlfn.SWITCH($Q22,"Spot +sen",ROUNDDOWN(ROUND($J22+$K22/100,9),3),"Fwd +sen",ROUNDDOWN(ROUND($P22+$L22/100,9),3),"Fwd price",$M22,"ATM +bp",JGB_PRICE($AE22,$I22+$N22/100,$C22,$AF22),"Yield",JGB_PRICE($AE22,$O22,$C22,$AF22),"ITMBW",IF($BA22="",NA(),$BA22),NA()))</f>
      </c>
      <c r="S22" s="47" cm="1">
        <f t="array" aca="1" ref="S22" ca="1">IF($A22="","",JGB_YIELD($AE22,$R22,$AK22,$AF22))</f>
      </c>
      <c r="T22" s="59"/>
      <c r="U22" s="30">
        <f ca="1">IF($A22="","",IF(OR($X22&lt;&gt;"",$V22&lt;&gt;""),$W22*SQRT(VolDays),IF($T22&lt;&gt;"",$T22,$AT22)))</f>
      </c>
      <c r="V22" s="71"/>
      <c r="W22" s="31">
        <f ca="1">IF($A22="","",IF($X22&lt;&gt;"",$X22*100/(SQRT(252)*$AS22),IF($V22&lt;&gt;"",$V22,IF($T22&lt;&gt;"",$T22,$AT22)/SQRT(VolDays))))</f>
      </c>
      <c r="X22" s="73"/>
      <c r="Y22" s="61">
        <f t="shared" ca="1" si="2"/>
      </c>
      <c r="Z22" s="63">
        <f t="shared" ca="1" si="3"/>
      </c>
      <c r="AA22" s="32">
        <f t="shared" ca="1" si="4"/>
      </c>
      <c r="AB22" s="26">
        <f t="shared" ca="1" si="5"/>
      </c>
      <c r="AC22" s="16"/>
      <c r="AD22" s="65">
        <f t="shared" ca="1" si="6"/>
      </c>
      <c r="AE22" s="67" cm="1">
        <f t="array" aca="1" ref="AE22" ca="1">IF($A22="","",_xlfn.XLOOKUP($A22,INDEX(BondList,0,1),INDEX(BondList,0,2)))</f>
      </c>
      <c r="AF22" s="33" cm="1">
        <f t="array" aca="1" ref="AF22" ca="1">IF($A22="","",_xlfn.XLOOKUP($A22,INDEX(BondList,0,1),INDEX(BondList,0,3)))</f>
      </c>
      <c r="AG22" s="26" cm="1">
        <f t="array" aca="1" ref="AG22" ca="1">IF($A22="","",_xlfn.XLOOKUP($A22,INDEX(BondList,0,1),INDEX(BondList,0,4)))</f>
      </c>
      <c r="AH22" s="33" cm="1">
        <f t="array" aca="1" ref="AH22" ca="1">IF($A22="","",_xlfn.XLOOKUP($A22,INDEX(BondList,0,1),INDEX(BondList,0,5)))</f>
      </c>
      <c r="AI22" s="29" cm="1">
        <f t="array" aca="1" ref="AI22" ca="1">IF($A22="","",_xlfn.XLOOKUP($B22,INDEX(SchemeTable,0,1),INDEX(SchemeTable,0,2),NA()))</f>
      </c>
      <c r="AJ22" s="33">
        <f ca="1">IF($A22="","",WORKDAY(TradeDate,1,Holidays))</f>
      </c>
      <c r="AK22" s="33">
        <f ca="1">IF($A22="","",WORKDAY($C22,$D22,Holidays))</f>
      </c>
      <c r="AL22" s="28">
        <f ca="1">IF($A22="","",NETWORKDAYS(TradeDate,$C22-1,Holidays)/252)</f>
      </c>
      <c r="AM22" s="28" cm="1">
        <f t="array" aca="1" ref="AM22" ca="1">IF($A22="","",JGB_AI($AE22,$AJ22,$AF22))</f>
      </c>
      <c r="AN22" s="28" cm="1">
        <f t="array" aca="1" ref="AN22" ca="1">IF($A22="","",JGB_AI($AE22,$AK22,$AF22))</f>
      </c>
      <c r="AO22" s="28" cm="1">
        <f t="array" aca="1" ref="AO22" ca="1">IF($A22="","",JGB_CARRY_COUPONS($AE22,$AF22,$AJ22,$AK22,$G22))</f>
      </c>
      <c r="AP22" s="28">
        <f t="shared" ca="1" si="7"/>
      </c>
      <c r="AQ22" s="26">
        <f t="shared" ca="1" si="8"/>
      </c>
      <c r="AR22" s="28">
        <f t="shared" ca="1" si="9"/>
      </c>
      <c r="AS22" s="31">
        <f t="shared" ca="1" si="10"/>
      </c>
      <c r="AT22" s="69">
        <f t="shared" ca="1" si="11"/>
      </c>
      <c r="AV22" s="67"/>
      <c r="AW22" s="28"/>
      <c r="AX22" s="31"/>
      <c r="AY22" s="30"/>
      <c r="AZ22" s="16"/>
      <c r="BA22" s="26"/>
      <c r="BB22" s="16"/>
      <c r="BC22" s="31"/>
      <c r="BD22" s="65"/>
    </row>
    <row r="23" spans="1:56" x14ac:dyDescent="0.55000000000000004">
      <c r="A23" s="38" t="s">
        <v>77</v>
      </c>
      <c r="B23" s="4" t="s">
        <v>77</v>
      </c>
      <c r="C23" s="6"/>
      <c r="D23" s="7"/>
      <c r="E23" s="42"/>
      <c r="F23" s="44"/>
      <c r="G23" s="9" cm="1">
        <f t="array" aca="1" ref="G23" ca="1">IF($A23="","",IF($F23&lt;&gt;"",$F23,_xlfn.LET(_xlpm.s,_xlfn.XLOOKUP($B23,INDEX(SchemeTable,0,1),INDEX(SchemeTable,0,3),""),_xlpm.r,_xlfn.SWITCH(_xlpm.s,"Bid",IF(ISBLANK(RepoBid),"",RepoBid),"Offer",IF(ISBLANK(RepoOffer),"",RepoOffer),""),IF(_xlpm.s="","Error: set repo side for "&amp;$B23,IF(_xlpm.r="","Error: enter repo "&amp;LOWER(_xlpm.s),_xlpm.r)))))</f>
      </c>
      <c r="H23" s="11"/>
      <c r="I23" s="9">
        <f t="shared" ca="1" si="0"/>
      </c>
      <c r="J23" s="46" cm="1">
        <f t="array" aca="1" ref="J23" ca="1">IF($A23="","",JGB_PRICE($AE23,$I23,$AJ23,$AF23))</f>
      </c>
      <c r="K23" s="48"/>
      <c r="L23" s="11"/>
      <c r="M23" s="10"/>
      <c r="N23" s="11"/>
      <c r="O23" s="50"/>
      <c r="P23" s="54">
        <f t="shared" ca="1" si="1"/>
      </c>
      <c r="Q23" s="56" cm="1">
        <f t="array" aca="1" ref="Q23" ca="1">IF($A23="","",_xlfn.LET(_xlpm.n,COUNTA($K23:$O23),IF($B23="ITMBW",IF(_xlpm.n=0,"ITMBW","Error: ITMBW takes no strike input"),IF(_xlpm.n=1,_xlfn.XLOOKUP(TRUE,$K23:$O23&lt;&gt;"",{"Spot +sen","Fwd +sen","Fwd price","ATM +bp","Yield"}),IF(_xlpm.n=0,"Error: enter one strike input","Error: enter only one strike input")))))</f>
      </c>
      <c r="R23" s="9" cm="1">
        <f t="array" aca="1" ref="R23" ca="1">IF($A23="","",_xlfn.SWITCH($Q23,"Spot +sen",ROUNDDOWN(ROUND($J23+$K23/100,9),3),"Fwd +sen",ROUNDDOWN(ROUND($P23+$L23/100,9),3),"Fwd price",$M23,"ATM +bp",JGB_PRICE($AE23,$I23+$N23/100,$C23,$AF23),"Yield",JGB_PRICE($AE23,$O23,$C23,$AF23),"ITMBW",IF($BA23="",NA(),$BA23),NA()))</f>
      </c>
      <c r="S23" s="46" cm="1">
        <f t="array" aca="1" ref="S23" ca="1">IF($A23="","",JGB_YIELD($AE23,$R23,$AK23,$AF23))</f>
      </c>
      <c r="T23" s="58"/>
      <c r="U23" s="1">
        <f ca="1">IF($A23="","",IF(OR($X23&lt;&gt;"",$V23&lt;&gt;""),$W23*SQRT(VolDays),IF($T23&lt;&gt;"",$T23,$AT23)))</f>
      </c>
      <c r="V23" s="70"/>
      <c r="W23" s="12">
        <f ca="1">IF($A23="","",IF($X23&lt;&gt;"",$X23*100/(SQRT(252)*$AS23),IF($V23&lt;&gt;"",$V23,IF($T23&lt;&gt;"",$T23,$AT23)/SQRT(VolDays))))</f>
      </c>
      <c r="X23" s="72"/>
      <c r="Y23" s="60">
        <f t="shared" ca="1" si="2"/>
      </c>
      <c r="Z23" s="62">
        <f t="shared" ca="1" si="3"/>
      </c>
      <c r="AA23" s="8">
        <f t="shared" ca="1" si="4"/>
      </c>
      <c r="AB23" s="9">
        <f t="shared" ca="1" si="5"/>
      </c>
      <c r="AD23" s="64">
        <f t="shared" ca="1" si="6"/>
      </c>
      <c r="AE23" s="66" cm="1">
        <f t="array" aca="1" ref="AE23" ca="1">IF($A23="","",_xlfn.XLOOKUP($A23,INDEX(BondList,0,1),INDEX(BondList,0,2)))</f>
      </c>
      <c r="AF23" s="3" cm="1">
        <f t="array" aca="1" ref="AF23" ca="1">IF($A23="","",_xlfn.XLOOKUP($A23,INDEX(BondList,0,1),INDEX(BondList,0,3)))</f>
      </c>
      <c r="AG23" s="9" cm="1">
        <f t="array" aca="1" ref="AG23" ca="1">IF($A23="","",_xlfn.XLOOKUP($A23,INDEX(BondList,0,1),INDEX(BondList,0,4)))</f>
      </c>
      <c r="AH23" s="3" cm="1">
        <f t="array" aca="1" ref="AH23" ca="1">IF($A23="","",_xlfn.XLOOKUP($A23,INDEX(BondList,0,1),INDEX(BondList,0,5)))</f>
      </c>
      <c r="AI23" s="20" cm="1">
        <f t="array" aca="1" ref="AI23" ca="1">IF($A23="","",_xlfn.XLOOKUP($B23,INDEX(SchemeTable,0,1),INDEX(SchemeTable,0,2),NA()))</f>
      </c>
      <c r="AJ23" s="3">
        <f ca="1">IF($A23="","",WORKDAY(TradeDate,1,Holidays))</f>
      </c>
      <c r="AK23" s="3">
        <f ca="1">IF($A23="","",WORKDAY($C23,$D23,Holidays))</f>
      </c>
      <c r="AL23" s="13">
        <f ca="1">IF($A23="","",NETWORKDAYS(TradeDate,$C23-1,Holidays)/252)</f>
      </c>
      <c r="AM23" s="13" cm="1">
        <f t="array" aca="1" ref="AM23" ca="1">IF($A23="","",JGB_AI($AE23,$AJ23,$AF23))</f>
      </c>
      <c r="AN23" s="13" cm="1">
        <f t="array" aca="1" ref="AN23" ca="1">IF($A23="","",JGB_AI($AE23,$AK23,$AF23))</f>
      </c>
      <c r="AO23" s="13" cm="1">
        <f t="array" aca="1" ref="AO23" ca="1">IF($A23="","",JGB_CARRY_COUPONS($AE23,$AF23,$AJ23,$AK23,$G23))</f>
      </c>
      <c r="AP23" s="13">
        <f t="shared" ca="1" si="7"/>
      </c>
      <c r="AQ23" s="9">
        <f t="shared" ca="1" si="8"/>
      </c>
      <c r="AR23" s="13">
        <f t="shared" ca="1" si="9"/>
      </c>
      <c r="AS23" s="12">
        <f t="shared" ca="1" si="10"/>
      </c>
      <c r="AT23" s="68">
        <f t="shared" ca="1" si="11"/>
      </c>
      <c r="AV23" s="66"/>
      <c r="AW23" s="13"/>
      <c r="AX23" s="12"/>
      <c r="AY23" s="1"/>
      <c r="BA23" s="9"/>
      <c r="BC23" s="12"/>
      <c r="BD23" s="64"/>
    </row>
    <row r="24" spans="1:56" x14ac:dyDescent="0.55000000000000004">
      <c r="A24" s="38" t="s">
        <v>77</v>
      </c>
      <c r="B24" s="4" t="s">
        <v>77</v>
      </c>
      <c r="C24" s="6"/>
      <c r="D24" s="7"/>
      <c r="E24" s="42"/>
      <c r="F24" s="44"/>
      <c r="G24" s="9" cm="1">
        <f t="array" aca="1" ref="G24" ca="1">IF($A24="","",IF($F24&lt;&gt;"",$F24,_xlfn.LET(_xlpm.s,_xlfn.XLOOKUP($B24,INDEX(SchemeTable,0,1),INDEX(SchemeTable,0,3),""),_xlpm.r,_xlfn.SWITCH(_xlpm.s,"Bid",IF(ISBLANK(RepoBid),"",RepoBid),"Offer",IF(ISBLANK(RepoOffer),"",RepoOffer),""),IF(_xlpm.s="","Error: set repo side for "&amp;$B24,IF(_xlpm.r="","Error: enter repo "&amp;LOWER(_xlpm.s),_xlpm.r)))))</f>
      </c>
      <c r="H24" s="11"/>
      <c r="I24" s="9">
        <f t="shared" ca="1" si="0"/>
      </c>
      <c r="J24" s="46" cm="1">
        <f t="array" aca="1" ref="J24" ca="1">IF($A24="","",JGB_PRICE($AE24,$I24,$AJ24,$AF24))</f>
      </c>
      <c r="K24" s="48"/>
      <c r="L24" s="11"/>
      <c r="M24" s="10"/>
      <c r="N24" s="11"/>
      <c r="O24" s="50"/>
      <c r="P24" s="54">
        <f t="shared" ca="1" si="1"/>
      </c>
      <c r="Q24" s="56" cm="1">
        <f t="array" aca="1" ref="Q24" ca="1">IF($A24="","",_xlfn.LET(_xlpm.n,COUNTA($K24:$O24),IF($B24="ITMBW",IF(_xlpm.n=0,"ITMBW","Error: ITMBW takes no strike input"),IF(_xlpm.n=1,_xlfn.XLOOKUP(TRUE,$K24:$O24&lt;&gt;"",{"Spot +sen","Fwd +sen","Fwd price","ATM +bp","Yield"}),IF(_xlpm.n=0,"Error: enter one strike input","Error: enter only one strike input")))))</f>
      </c>
      <c r="R24" s="9" cm="1">
        <f t="array" aca="1" ref="R24" ca="1">IF($A24="","",_xlfn.SWITCH($Q24,"Spot +sen",ROUNDDOWN(ROUND($J24+$K24/100,9),3),"Fwd +sen",ROUNDDOWN(ROUND($P24+$L24/100,9),3),"Fwd price",$M24,"ATM +bp",JGB_PRICE($AE24,$I24+$N24/100,$C24,$AF24),"Yield",JGB_PRICE($AE24,$O24,$C24,$AF24),"ITMBW",IF($BA24="",NA(),$BA24),NA()))</f>
      </c>
      <c r="S24" s="46" cm="1">
        <f t="array" aca="1" ref="S24" ca="1">IF($A24="","",JGB_YIELD($AE24,$R24,$AK24,$AF24))</f>
      </c>
      <c r="T24" s="58"/>
      <c r="U24" s="1">
        <f ca="1">IF($A24="","",IF(OR($X24&lt;&gt;"",$V24&lt;&gt;""),$W24*SQRT(VolDays),IF($T24&lt;&gt;"",$T24,$AT24)))</f>
      </c>
      <c r="V24" s="70"/>
      <c r="W24" s="12">
        <f ca="1">IF($A24="","",IF($X24&lt;&gt;"",$X24*100/(SQRT(252)*$AS24),IF($V24&lt;&gt;"",$V24,IF($T24&lt;&gt;"",$T24,$AT24)/SQRT(VolDays))))</f>
      </c>
      <c r="X24" s="72"/>
      <c r="Y24" s="60">
        <f t="shared" ca="1" si="2"/>
      </c>
      <c r="Z24" s="62">
        <f t="shared" ca="1" si="3"/>
      </c>
      <c r="AA24" s="8">
        <f t="shared" ca="1" si="4"/>
      </c>
      <c r="AB24" s="9">
        <f t="shared" ca="1" si="5"/>
      </c>
      <c r="AD24" s="64">
        <f t="shared" ca="1" si="6"/>
      </c>
      <c r="AE24" s="66" cm="1">
        <f t="array" aca="1" ref="AE24" ca="1">IF($A24="","",_xlfn.XLOOKUP($A24,INDEX(BondList,0,1),INDEX(BondList,0,2)))</f>
      </c>
      <c r="AF24" s="3" cm="1">
        <f t="array" aca="1" ref="AF24" ca="1">IF($A24="","",_xlfn.XLOOKUP($A24,INDEX(BondList,0,1),INDEX(BondList,0,3)))</f>
      </c>
      <c r="AG24" s="9" cm="1">
        <f t="array" aca="1" ref="AG24" ca="1">IF($A24="","",_xlfn.XLOOKUP($A24,INDEX(BondList,0,1),INDEX(BondList,0,4)))</f>
      </c>
      <c r="AH24" s="3" cm="1">
        <f t="array" aca="1" ref="AH24" ca="1">IF($A24="","",_xlfn.XLOOKUP($A24,INDEX(BondList,0,1),INDEX(BondList,0,5)))</f>
      </c>
      <c r="AI24" s="20" cm="1">
        <f t="array" aca="1" ref="AI24" ca="1">IF($A24="","",_xlfn.XLOOKUP($B24,INDEX(SchemeTable,0,1),INDEX(SchemeTable,0,2),NA()))</f>
      </c>
      <c r="AJ24" s="3">
        <f ca="1">IF($A24="","",WORKDAY(TradeDate,1,Holidays))</f>
      </c>
      <c r="AK24" s="3">
        <f ca="1">IF($A24="","",WORKDAY($C24,$D24,Holidays))</f>
      </c>
      <c r="AL24" s="13">
        <f ca="1">IF($A24="","",NETWORKDAYS(TradeDate,$C24-1,Holidays)/252)</f>
      </c>
      <c r="AM24" s="13" cm="1">
        <f t="array" aca="1" ref="AM24" ca="1">IF($A24="","",JGB_AI($AE24,$AJ24,$AF24))</f>
      </c>
      <c r="AN24" s="13" cm="1">
        <f t="array" aca="1" ref="AN24" ca="1">IF($A24="","",JGB_AI($AE24,$AK24,$AF24))</f>
      </c>
      <c r="AO24" s="13" cm="1">
        <f t="array" aca="1" ref="AO24" ca="1">IF($A24="","",JGB_CARRY_COUPONS($AE24,$AF24,$AJ24,$AK24,$G24))</f>
      </c>
      <c r="AP24" s="13">
        <f t="shared" ca="1" si="7"/>
      </c>
      <c r="AQ24" s="9">
        <f t="shared" ca="1" si="8"/>
      </c>
      <c r="AR24" s="13">
        <f t="shared" ca="1" si="9"/>
      </c>
      <c r="AS24" s="12">
        <f t="shared" ca="1" si="10"/>
      </c>
      <c r="AT24" s="68">
        <f t="shared" ca="1" si="11"/>
      </c>
      <c r="AV24" s="66"/>
      <c r="AW24" s="13"/>
      <c r="AX24" s="12"/>
      <c r="AY24" s="1"/>
      <c r="BA24" s="9"/>
      <c r="BC24" s="12"/>
      <c r="BD24" s="64"/>
    </row>
    <row r="25" spans="1:56" x14ac:dyDescent="0.55000000000000004">
      <c r="A25" s="38" t="s">
        <v>77</v>
      </c>
      <c r="B25" s="4" t="s">
        <v>77</v>
      </c>
      <c r="C25" s="6"/>
      <c r="D25" s="7"/>
      <c r="E25" s="42"/>
      <c r="F25" s="44"/>
      <c r="G25" s="9" cm="1">
        <f t="array" aca="1" ref="G25" ca="1">IF($A25="","",IF($F25&lt;&gt;"",$F25,_xlfn.LET(_xlpm.s,_xlfn.XLOOKUP($B25,INDEX(SchemeTable,0,1),INDEX(SchemeTable,0,3),""),_xlpm.r,_xlfn.SWITCH(_xlpm.s,"Bid",IF(ISBLANK(RepoBid),"",RepoBid),"Offer",IF(ISBLANK(RepoOffer),"",RepoOffer),""),IF(_xlpm.s="","Error: set repo side for "&amp;$B25,IF(_xlpm.r="","Error: enter repo "&amp;LOWER(_xlpm.s),_xlpm.r)))))</f>
      </c>
      <c r="H25" s="11"/>
      <c r="I25" s="9">
        <f t="shared" ca="1" si="0"/>
      </c>
      <c r="J25" s="46" cm="1">
        <f t="array" aca="1" ref="J25" ca="1">IF($A25="","",JGB_PRICE($AE25,$I25,$AJ25,$AF25))</f>
      </c>
      <c r="K25" s="48"/>
      <c r="L25" s="11"/>
      <c r="M25" s="10"/>
      <c r="N25" s="11"/>
      <c r="O25" s="50"/>
      <c r="P25" s="54">
        <f t="shared" ca="1" si="1"/>
      </c>
      <c r="Q25" s="56" cm="1">
        <f t="array" aca="1" ref="Q25" ca="1">IF($A25="","",_xlfn.LET(_xlpm.n,COUNTA($K25:$O25),IF($B25="ITMBW",IF(_xlpm.n=0,"ITMBW","Error: ITMBW takes no strike input"),IF(_xlpm.n=1,_xlfn.XLOOKUP(TRUE,$K25:$O25&lt;&gt;"",{"Spot +sen","Fwd +sen","Fwd price","ATM +bp","Yield"}),IF(_xlpm.n=0,"Error: enter one strike input","Error: enter only one strike input")))))</f>
      </c>
      <c r="R25" s="9" cm="1">
        <f t="array" aca="1" ref="R25" ca="1">IF($A25="","",_xlfn.SWITCH($Q25,"Spot +sen",ROUNDDOWN(ROUND($J25+$K25/100,9),3),"Fwd +sen",ROUNDDOWN(ROUND($P25+$L25/100,9),3),"Fwd price",$M25,"ATM +bp",JGB_PRICE($AE25,$I25+$N25/100,$C25,$AF25),"Yield",JGB_PRICE($AE25,$O25,$C25,$AF25),"ITMBW",IF($BA25="",NA(),$BA25),NA()))</f>
      </c>
      <c r="S25" s="46" cm="1">
        <f t="array" aca="1" ref="S25" ca="1">IF($A25="","",JGB_YIELD($AE25,$R25,$AK25,$AF25))</f>
      </c>
      <c r="T25" s="58"/>
      <c r="U25" s="1">
        <f ca="1">IF($A25="","",IF(OR($X25&lt;&gt;"",$V25&lt;&gt;""),$W25*SQRT(VolDays),IF($T25&lt;&gt;"",$T25,$AT25)))</f>
      </c>
      <c r="V25" s="70"/>
      <c r="W25" s="12">
        <f ca="1">IF($A25="","",IF($X25&lt;&gt;"",$X25*100/(SQRT(252)*$AS25),IF($V25&lt;&gt;"",$V25,IF($T25&lt;&gt;"",$T25,$AT25)/SQRT(VolDays))))</f>
      </c>
      <c r="X25" s="72"/>
      <c r="Y25" s="60">
        <f t="shared" ca="1" si="2"/>
      </c>
      <c r="Z25" s="62">
        <f t="shared" ca="1" si="3"/>
      </c>
      <c r="AA25" s="8">
        <f t="shared" ca="1" si="4"/>
      </c>
      <c r="AB25" s="9">
        <f t="shared" ca="1" si="5"/>
      </c>
      <c r="AD25" s="64">
        <f t="shared" ca="1" si="6"/>
      </c>
      <c r="AE25" s="66" cm="1">
        <f t="array" aca="1" ref="AE25" ca="1">IF($A25="","",_xlfn.XLOOKUP($A25,INDEX(BondList,0,1),INDEX(BondList,0,2)))</f>
      </c>
      <c r="AF25" s="3" cm="1">
        <f t="array" aca="1" ref="AF25" ca="1">IF($A25="","",_xlfn.XLOOKUP($A25,INDEX(BondList,0,1),INDEX(BondList,0,3)))</f>
      </c>
      <c r="AG25" s="9" cm="1">
        <f t="array" aca="1" ref="AG25" ca="1">IF($A25="","",_xlfn.XLOOKUP($A25,INDEX(BondList,0,1),INDEX(BondList,0,4)))</f>
      </c>
      <c r="AH25" s="3" cm="1">
        <f t="array" aca="1" ref="AH25" ca="1">IF($A25="","",_xlfn.XLOOKUP($A25,INDEX(BondList,0,1),INDEX(BondList,0,5)))</f>
      </c>
      <c r="AI25" s="20" cm="1">
        <f t="array" aca="1" ref="AI25" ca="1">IF($A25="","",_xlfn.XLOOKUP($B25,INDEX(SchemeTable,0,1),INDEX(SchemeTable,0,2),NA()))</f>
      </c>
      <c r="AJ25" s="3">
        <f ca="1">IF($A25="","",WORKDAY(TradeDate,1,Holidays))</f>
      </c>
      <c r="AK25" s="3">
        <f ca="1">IF($A25="","",WORKDAY($C25,$D25,Holidays))</f>
      </c>
      <c r="AL25" s="13">
        <f ca="1">IF($A25="","",NETWORKDAYS(TradeDate,$C25-1,Holidays)/252)</f>
      </c>
      <c r="AM25" s="13" cm="1">
        <f t="array" aca="1" ref="AM25" ca="1">IF($A25="","",JGB_AI($AE25,$AJ25,$AF25))</f>
      </c>
      <c r="AN25" s="13" cm="1">
        <f t="array" aca="1" ref="AN25" ca="1">IF($A25="","",JGB_AI($AE25,$AK25,$AF25))</f>
      </c>
      <c r="AO25" s="13" cm="1">
        <f t="array" aca="1" ref="AO25" ca="1">IF($A25="","",JGB_CARRY_COUPONS($AE25,$AF25,$AJ25,$AK25,$G25))</f>
      </c>
      <c r="AP25" s="13">
        <f t="shared" ca="1" si="7"/>
      </c>
      <c r="AQ25" s="9">
        <f t="shared" ca="1" si="8"/>
      </c>
      <c r="AR25" s="13">
        <f t="shared" ca="1" si="9"/>
      </c>
      <c r="AS25" s="12">
        <f t="shared" ca="1" si="10"/>
      </c>
      <c r="AT25" s="68">
        <f t="shared" ca="1" si="11"/>
      </c>
      <c r="AV25" s="66"/>
      <c r="AW25" s="13"/>
      <c r="AX25" s="12"/>
      <c r="AY25" s="1"/>
      <c r="BA25" s="9"/>
      <c r="BC25" s="12"/>
      <c r="BD25" s="64"/>
    </row>
    <row r="26" spans="1:56" x14ac:dyDescent="0.55000000000000004">
      <c r="A26" s="38" t="s">
        <v>77</v>
      </c>
      <c r="B26" s="4" t="s">
        <v>77</v>
      </c>
      <c r="C26" s="6"/>
      <c r="D26" s="7"/>
      <c r="E26" s="42"/>
      <c r="F26" s="44"/>
      <c r="G26" s="9" cm="1">
        <f t="array" aca="1" ref="G26" ca="1">IF($A26="","",IF($F26&lt;&gt;"",$F26,_xlfn.LET(_xlpm.s,_xlfn.XLOOKUP($B26,INDEX(SchemeTable,0,1),INDEX(SchemeTable,0,3),""),_xlpm.r,_xlfn.SWITCH(_xlpm.s,"Bid",IF(ISBLANK(RepoBid),"",RepoBid),"Offer",IF(ISBLANK(RepoOffer),"",RepoOffer),""),IF(_xlpm.s="","Error: set repo side for "&amp;$B26,IF(_xlpm.r="","Error: enter repo "&amp;LOWER(_xlpm.s),_xlpm.r)))))</f>
      </c>
      <c r="H26" s="11"/>
      <c r="I26" s="9">
        <f t="shared" ca="1" si="0"/>
      </c>
      <c r="J26" s="46" cm="1">
        <f t="array" aca="1" ref="J26" ca="1">IF($A26="","",JGB_PRICE($AE26,$I26,$AJ26,$AF26))</f>
      </c>
      <c r="K26" s="48"/>
      <c r="L26" s="11"/>
      <c r="M26" s="10"/>
      <c r="N26" s="11"/>
      <c r="O26" s="50"/>
      <c r="P26" s="54">
        <f t="shared" ca="1" si="1"/>
      </c>
      <c r="Q26" s="56" cm="1">
        <f t="array" aca="1" ref="Q26" ca="1">IF($A26="","",_xlfn.LET(_xlpm.n,COUNTA($K26:$O26),IF($B26="ITMBW",IF(_xlpm.n=0,"ITMBW","Error: ITMBW takes no strike input"),IF(_xlpm.n=1,_xlfn.XLOOKUP(TRUE,$K26:$O26&lt;&gt;"",{"Spot +sen","Fwd +sen","Fwd price","ATM +bp","Yield"}),IF(_xlpm.n=0,"Error: enter one strike input","Error: enter only one strike input")))))</f>
      </c>
      <c r="R26" s="9" cm="1">
        <f t="array" aca="1" ref="R26" ca="1">IF($A26="","",_xlfn.SWITCH($Q26,"Spot +sen",ROUNDDOWN(ROUND($J26+$K26/100,9),3),"Fwd +sen",ROUNDDOWN(ROUND($P26+$L26/100,9),3),"Fwd price",$M26,"ATM +bp",JGB_PRICE($AE26,$I26+$N26/100,$C26,$AF26),"Yield",JGB_PRICE($AE26,$O26,$C26,$AF26),"ITMBW",IF($BA26="",NA(),$BA26),NA()))</f>
      </c>
      <c r="S26" s="46" cm="1">
        <f t="array" aca="1" ref="S26" ca="1">IF($A26="","",JGB_YIELD($AE26,$R26,$AK26,$AF26))</f>
      </c>
      <c r="T26" s="58"/>
      <c r="U26" s="1">
        <f ca="1">IF($A26="","",IF(OR($X26&lt;&gt;"",$V26&lt;&gt;""),$W26*SQRT(VolDays),IF($T26&lt;&gt;"",$T26,$AT26)))</f>
      </c>
      <c r="V26" s="70"/>
      <c r="W26" s="12">
        <f ca="1">IF($A26="","",IF($X26&lt;&gt;"",$X26*100/(SQRT(252)*$AS26),IF($V26&lt;&gt;"",$V26,IF($T26&lt;&gt;"",$T26,$AT26)/SQRT(VolDays))))</f>
      </c>
      <c r="X26" s="72"/>
      <c r="Y26" s="60">
        <f t="shared" ca="1" si="2"/>
      </c>
      <c r="Z26" s="62">
        <f t="shared" ca="1" si="3"/>
      </c>
      <c r="AA26" s="8">
        <f t="shared" ca="1" si="4"/>
      </c>
      <c r="AB26" s="9">
        <f t="shared" ca="1" si="5"/>
      </c>
      <c r="AD26" s="64">
        <f t="shared" ca="1" si="6"/>
      </c>
      <c r="AE26" s="66" cm="1">
        <f t="array" aca="1" ref="AE26" ca="1">IF($A26="","",_xlfn.XLOOKUP($A26,INDEX(BondList,0,1),INDEX(BondList,0,2)))</f>
      </c>
      <c r="AF26" s="3" cm="1">
        <f t="array" aca="1" ref="AF26" ca="1">IF($A26="","",_xlfn.XLOOKUP($A26,INDEX(BondList,0,1),INDEX(BondList,0,3)))</f>
      </c>
      <c r="AG26" s="9" cm="1">
        <f t="array" aca="1" ref="AG26" ca="1">IF($A26="","",_xlfn.XLOOKUP($A26,INDEX(BondList,0,1),INDEX(BondList,0,4)))</f>
      </c>
      <c r="AH26" s="3" cm="1">
        <f t="array" aca="1" ref="AH26" ca="1">IF($A26="","",_xlfn.XLOOKUP($A26,INDEX(BondList,0,1),INDEX(BondList,0,5)))</f>
      </c>
      <c r="AI26" s="20" cm="1">
        <f t="array" aca="1" ref="AI26" ca="1">IF($A26="","",_xlfn.XLOOKUP($B26,INDEX(SchemeTable,0,1),INDEX(SchemeTable,0,2),NA()))</f>
      </c>
      <c r="AJ26" s="3">
        <f ca="1">IF($A26="","",WORKDAY(TradeDate,1,Holidays))</f>
      </c>
      <c r="AK26" s="3">
        <f ca="1">IF($A26="","",WORKDAY($C26,$D26,Holidays))</f>
      </c>
      <c r="AL26" s="13">
        <f ca="1">IF($A26="","",NETWORKDAYS(TradeDate,$C26-1,Holidays)/252)</f>
      </c>
      <c r="AM26" s="13" cm="1">
        <f t="array" aca="1" ref="AM26" ca="1">IF($A26="","",JGB_AI($AE26,$AJ26,$AF26))</f>
      </c>
      <c r="AN26" s="13" cm="1">
        <f t="array" aca="1" ref="AN26" ca="1">IF($A26="","",JGB_AI($AE26,$AK26,$AF26))</f>
      </c>
      <c r="AO26" s="13" cm="1">
        <f t="array" aca="1" ref="AO26" ca="1">IF($A26="","",JGB_CARRY_COUPONS($AE26,$AF26,$AJ26,$AK26,$G26))</f>
      </c>
      <c r="AP26" s="13">
        <f t="shared" ca="1" si="7"/>
      </c>
      <c r="AQ26" s="9">
        <f t="shared" ca="1" si="8"/>
      </c>
      <c r="AR26" s="13">
        <f t="shared" ca="1" si="9"/>
      </c>
      <c r="AS26" s="12">
        <f t="shared" ca="1" si="10"/>
      </c>
      <c r="AT26" s="68">
        <f t="shared" ca="1" si="11"/>
      </c>
      <c r="AV26" s="66"/>
      <c r="AW26" s="13"/>
      <c r="AX26" s="12"/>
      <c r="AY26" s="1"/>
      <c r="BA26" s="9"/>
      <c r="BC26" s="12"/>
      <c r="BD26" s="64"/>
    </row>
    <row r="27" spans="1:56" x14ac:dyDescent="0.55000000000000004">
      <c r="A27" s="39" t="s">
        <v>77</v>
      </c>
      <c r="B27" s="22" t="s">
        <v>77</v>
      </c>
      <c r="C27" s="23"/>
      <c r="D27" s="24"/>
      <c r="E27" s="43"/>
      <c r="F27" s="45"/>
      <c r="G27" s="26" cm="1">
        <f t="array" aca="1" ref="G27" ca="1">IF($A27="","",IF($F27&lt;&gt;"",$F27,_xlfn.LET(_xlpm.s,_xlfn.XLOOKUP($B27,INDEX(SchemeTable,0,1),INDEX(SchemeTable,0,3),""),_xlpm.r,_xlfn.SWITCH(_xlpm.s,"Bid",IF(ISBLANK(RepoBid),"",RepoBid),"Offer",IF(ISBLANK(RepoOffer),"",RepoOffer),""),IF(_xlpm.s="","Error: set repo side for "&amp;$B27,IF(_xlpm.r="","Error: enter repo "&amp;LOWER(_xlpm.s),_xlpm.r)))))</f>
      </c>
      <c r="H27" s="27"/>
      <c r="I27" s="26">
        <f t="shared" ca="1" si="0"/>
      </c>
      <c r="J27" s="47" cm="1">
        <f t="array" aca="1" ref="J27" ca="1">IF($A27="","",JGB_PRICE($AE27,$I27,$AJ27,$AF27))</f>
      </c>
      <c r="K27" s="49"/>
      <c r="L27" s="27"/>
      <c r="M27" s="25"/>
      <c r="N27" s="27"/>
      <c r="O27" s="51"/>
      <c r="P27" s="55">
        <f t="shared" ca="1" si="1"/>
      </c>
      <c r="Q27" s="57" cm="1">
        <f t="array" aca="1" ref="Q27" ca="1">IF($A27="","",_xlfn.LET(_xlpm.n,COUNTA($K27:$O27),IF($B27="ITMBW",IF(_xlpm.n=0,"ITMBW","Error: ITMBW takes no strike input"),IF(_xlpm.n=1,_xlfn.XLOOKUP(TRUE,$K27:$O27&lt;&gt;"",{"Spot +sen","Fwd +sen","Fwd price","ATM +bp","Yield"}),IF(_xlpm.n=0,"Error: enter one strike input","Error: enter only one strike input")))))</f>
      </c>
      <c r="R27" s="26" cm="1">
        <f t="array" aca="1" ref="R27" ca="1">IF($A27="","",_xlfn.SWITCH($Q27,"Spot +sen",ROUNDDOWN(ROUND($J27+$K27/100,9),3),"Fwd +sen",ROUNDDOWN(ROUND($P27+$L27/100,9),3),"Fwd price",$M27,"ATM +bp",JGB_PRICE($AE27,$I27+$N27/100,$C27,$AF27),"Yield",JGB_PRICE($AE27,$O27,$C27,$AF27),"ITMBW",IF($BA27="",NA(),$BA27),NA()))</f>
      </c>
      <c r="S27" s="47" cm="1">
        <f t="array" aca="1" ref="S27" ca="1">IF($A27="","",JGB_YIELD($AE27,$R27,$AK27,$AF27))</f>
      </c>
      <c r="T27" s="59"/>
      <c r="U27" s="30">
        <f ca="1">IF($A27="","",IF(OR($X27&lt;&gt;"",$V27&lt;&gt;""),$W27*SQRT(VolDays),IF($T27&lt;&gt;"",$T27,$AT27)))</f>
      </c>
      <c r="V27" s="71"/>
      <c r="W27" s="31">
        <f ca="1">IF($A27="","",IF($X27&lt;&gt;"",$X27*100/(SQRT(252)*$AS27),IF($V27&lt;&gt;"",$V27,IF($T27&lt;&gt;"",$T27,$AT27)/SQRT(VolDays))))</f>
      </c>
      <c r="X27" s="73"/>
      <c r="Y27" s="61">
        <f t="shared" ca="1" si="2"/>
      </c>
      <c r="Z27" s="63">
        <f t="shared" ca="1" si="3"/>
      </c>
      <c r="AA27" s="32">
        <f t="shared" ca="1" si="4"/>
      </c>
      <c r="AB27" s="26">
        <f t="shared" ca="1" si="5"/>
      </c>
      <c r="AC27" s="16"/>
      <c r="AD27" s="65">
        <f t="shared" ca="1" si="6"/>
      </c>
      <c r="AE27" s="67" cm="1">
        <f t="array" aca="1" ref="AE27" ca="1">IF($A27="","",_xlfn.XLOOKUP($A27,INDEX(BondList,0,1),INDEX(BondList,0,2)))</f>
      </c>
      <c r="AF27" s="33" cm="1">
        <f t="array" aca="1" ref="AF27" ca="1">IF($A27="","",_xlfn.XLOOKUP($A27,INDEX(BondList,0,1),INDEX(BondList,0,3)))</f>
      </c>
      <c r="AG27" s="26" cm="1">
        <f t="array" aca="1" ref="AG27" ca="1">IF($A27="","",_xlfn.XLOOKUP($A27,INDEX(BondList,0,1),INDEX(BondList,0,4)))</f>
      </c>
      <c r="AH27" s="33" cm="1">
        <f t="array" aca="1" ref="AH27" ca="1">IF($A27="","",_xlfn.XLOOKUP($A27,INDEX(BondList,0,1),INDEX(BondList,0,5)))</f>
      </c>
      <c r="AI27" s="29" cm="1">
        <f t="array" aca="1" ref="AI27" ca="1">IF($A27="","",_xlfn.XLOOKUP($B27,INDEX(SchemeTable,0,1),INDEX(SchemeTable,0,2),NA()))</f>
      </c>
      <c r="AJ27" s="33">
        <f ca="1">IF($A27="","",WORKDAY(TradeDate,1,Holidays))</f>
      </c>
      <c r="AK27" s="33">
        <f ca="1">IF($A27="","",WORKDAY($C27,$D27,Holidays))</f>
      </c>
      <c r="AL27" s="28">
        <f ca="1">IF($A27="","",NETWORKDAYS(TradeDate,$C27-1,Holidays)/252)</f>
      </c>
      <c r="AM27" s="28" cm="1">
        <f t="array" aca="1" ref="AM27" ca="1">IF($A27="","",JGB_AI($AE27,$AJ27,$AF27))</f>
      </c>
      <c r="AN27" s="28" cm="1">
        <f t="array" aca="1" ref="AN27" ca="1">IF($A27="","",JGB_AI($AE27,$AK27,$AF27))</f>
      </c>
      <c r="AO27" s="28" cm="1">
        <f t="array" aca="1" ref="AO27" ca="1">IF($A27="","",JGB_CARRY_COUPONS($AE27,$AF27,$AJ27,$AK27,$G27))</f>
      </c>
      <c r="AP27" s="28">
        <f t="shared" ca="1" si="7"/>
      </c>
      <c r="AQ27" s="26">
        <f t="shared" ca="1" si="8"/>
      </c>
      <c r="AR27" s="28">
        <f t="shared" ca="1" si="9"/>
      </c>
      <c r="AS27" s="31">
        <f t="shared" ca="1" si="10"/>
      </c>
      <c r="AT27" s="69">
        <f t="shared" ca="1" si="11"/>
      </c>
      <c r="AV27" s="67"/>
      <c r="AW27" s="28"/>
      <c r="AX27" s="31"/>
      <c r="AY27" s="30"/>
      <c r="AZ27" s="16"/>
      <c r="BA27" s="26"/>
      <c r="BB27" s="16"/>
      <c r="BC27" s="31"/>
      <c r="BD27" s="65"/>
    </row>
    <row r="28" spans="1:56" x14ac:dyDescent="0.55000000000000004">
      <c r="A28" s="38"/>
      <c r="B28" s="4"/>
      <c r="C28" s="6"/>
      <c r="D28" s="7"/>
      <c r="E28" s="42"/>
      <c r="F28" s="44"/>
      <c r="G28" s="9" cm="1">
        <f t="array" aca="1" ref="G28" ca="1">IF($A28="","",IF($F28&lt;&gt;"",$F28,_xlfn.LET(_xlpm.s,_xlfn.XLOOKUP($B28,INDEX(SchemeTable,0,1),INDEX(SchemeTable,0,3),""),_xlpm.r,_xlfn.SWITCH(_xlpm.s,"Bid",IF(ISBLANK(RepoBid),"",RepoBid),"Offer",IF(ISBLANK(RepoOffer),"",RepoOffer),""),IF(_xlpm.s="","Error: set repo side for "&amp;$B28,IF(_xlpm.r="","Error: enter repo "&amp;LOWER(_xlpm.s),_xlpm.r)))))</f>
      </c>
      <c r="H28" s="11"/>
      <c r="I28" s="9">
        <f t="shared" ca="1" si="0"/>
      </c>
      <c r="J28" s="46" cm="1">
        <f t="array" aca="1" ref="J28" ca="1">IF($A28="","",JGB_PRICE($AE28,$I28,$AJ28,$AF28))</f>
      </c>
      <c r="K28" s="48"/>
      <c r="L28" s="11"/>
      <c r="M28" s="10"/>
      <c r="N28" s="11"/>
      <c r="O28" s="50"/>
      <c r="P28" s="54">
        <f t="shared" ca="1" si="1"/>
      </c>
      <c r="Q28" s="56" cm="1">
        <f t="array" aca="1" ref="Q28" ca="1">IF($A28="","",_xlfn.LET(_xlpm.n,COUNTA($K28:$O28),IF($B28="ITMBW",IF(_xlpm.n=0,"ITMBW","Error: ITMBW takes no strike input"),IF(_xlpm.n=1,_xlfn.XLOOKUP(TRUE,$K28:$O28&lt;&gt;"",{"Spot +sen","Fwd +sen","Fwd price","ATM +bp","Yield"}),IF(_xlpm.n=0,"Error: enter one strike input","Error: enter only one strike input")))))</f>
      </c>
      <c r="R28" s="9" cm="1">
        <f t="array" aca="1" ref="R28" ca="1">IF($A28="","",_xlfn.SWITCH($Q28,"Spot +sen",ROUNDDOWN(ROUND($J28+$K28/100,9),3),"Fwd +sen",ROUNDDOWN(ROUND($P28+$L28/100,9),3),"Fwd price",$M28,"ATM +bp",JGB_PRICE($AE28,$I28+$N28/100,$C28,$AF28),"Yield",JGB_PRICE($AE28,$O28,$C28,$AF28),"ITMBW",IF($BA28="",NA(),$BA28),NA()))</f>
      </c>
      <c r="S28" s="46" cm="1">
        <f t="array" aca="1" ref="S28" ca="1">IF($A28="","",JGB_YIELD($AE28,$R28,$AK28,$AF28))</f>
      </c>
      <c r="T28" s="58"/>
      <c r="U28" s="1">
        <f ca="1">IF($A28="","",IF(OR($X28&lt;&gt;"",$V28&lt;&gt;""),$W28*SQRT(VolDays),IF($T28&lt;&gt;"",$T28,$AT28)))</f>
      </c>
      <c r="V28" s="70"/>
      <c r="W28" s="12">
        <f ca="1">IF($A28="","",IF($X28&lt;&gt;"",$X28*100/(SQRT(252)*$AS28),IF($V28&lt;&gt;"",$V28,IF($T28&lt;&gt;"",$T28,$AT28)/SQRT(VolDays))))</f>
      </c>
      <c r="X28" s="72"/>
      <c r="Y28" s="60">
        <f t="shared" ca="1" si="2"/>
      </c>
      <c r="Z28" s="62">
        <f t="shared" ca="1" si="3"/>
      </c>
      <c r="AA28" s="8">
        <f t="shared" ca="1" si="4"/>
      </c>
      <c r="AB28" s="9">
        <f t="shared" ca="1" si="5"/>
      </c>
      <c r="AD28" s="64">
        <f t="shared" ca="1" si="6"/>
      </c>
      <c r="AE28" s="66" cm="1">
        <f t="array" aca="1" ref="AE28" ca="1">IF($A28="","",_xlfn.XLOOKUP($A28,INDEX(BondList,0,1),INDEX(BondList,0,2)))</f>
      </c>
      <c r="AF28" s="3" cm="1">
        <f t="array" aca="1" ref="AF28" ca="1">IF($A28="","",_xlfn.XLOOKUP($A28,INDEX(BondList,0,1),INDEX(BondList,0,3)))</f>
      </c>
      <c r="AG28" s="9" cm="1">
        <f t="array" aca="1" ref="AG28" ca="1">IF($A28="","",_xlfn.XLOOKUP($A28,INDEX(BondList,0,1),INDEX(BondList,0,4)))</f>
      </c>
      <c r="AH28" s="3" cm="1">
        <f t="array" aca="1" ref="AH28" ca="1">IF($A28="","",_xlfn.XLOOKUP($A28,INDEX(BondList,0,1),INDEX(BondList,0,5)))</f>
      </c>
      <c r="AI28" s="20" cm="1">
        <f t="array" aca="1" ref="AI28" ca="1">IF($A28="","",_xlfn.XLOOKUP($B28,INDEX(SchemeTable,0,1),INDEX(SchemeTable,0,2),NA()))</f>
      </c>
      <c r="AJ28" s="3">
        <f ca="1">IF($A28="","",WORKDAY(TradeDate,1,Holidays))</f>
      </c>
      <c r="AK28" s="3">
        <f ca="1">IF($A28="","",WORKDAY($C28,$D28,Holidays))</f>
      </c>
      <c r="AL28" s="13">
        <f ca="1">IF($A28="","",NETWORKDAYS(TradeDate,$C28-1,Holidays)/252)</f>
      </c>
      <c r="AM28" s="13" cm="1">
        <f t="array" aca="1" ref="AM28" ca="1">IF($A28="","",JGB_AI($AE28,$AJ28,$AF28))</f>
      </c>
      <c r="AN28" s="13" cm="1">
        <f t="array" aca="1" ref="AN28" ca="1">IF($A28="","",JGB_AI($AE28,$AK28,$AF28))</f>
      </c>
      <c r="AO28" s="13" cm="1">
        <f t="array" aca="1" ref="AO28" ca="1">IF($A28="","",JGB_CARRY_COUPONS($AE28,$AF28,$AJ28,$AK28,$G28))</f>
      </c>
      <c r="AP28" s="13">
        <f t="shared" ca="1" si="7"/>
      </c>
      <c r="AQ28" s="9">
        <f t="shared" ca="1" si="8"/>
      </c>
      <c r="AR28" s="13">
        <f t="shared" ca="1" si="9"/>
      </c>
      <c r="AS28" s="12">
        <f t="shared" ca="1" si="10"/>
      </c>
      <c r="AT28" s="68">
        <f t="shared" ca="1" si="11"/>
      </c>
      <c r="AV28" s="66"/>
      <c r="AW28" s="13"/>
      <c r="AX28" s="12"/>
      <c r="AY28" s="1"/>
      <c r="BA28" s="9"/>
      <c r="BC28" s="12"/>
      <c r="BD28" s="64"/>
    </row>
    <row r="29" spans="1:56" x14ac:dyDescent="0.55000000000000004">
      <c r="A29" s="38"/>
      <c r="B29" s="4"/>
      <c r="C29" s="6"/>
      <c r="D29" s="7"/>
      <c r="E29" s="42"/>
      <c r="F29" s="44"/>
      <c r="G29" s="9" cm="1">
        <f t="array" aca="1" ref="G29" ca="1">IF($A29="","",IF($F29&lt;&gt;"",$F29,_xlfn.LET(_xlpm.s,_xlfn.XLOOKUP($B29,INDEX(SchemeTable,0,1),INDEX(SchemeTable,0,3),""),_xlpm.r,_xlfn.SWITCH(_xlpm.s,"Bid",IF(ISBLANK(RepoBid),"",RepoBid),"Offer",IF(ISBLANK(RepoOffer),"",RepoOffer),""),IF(_xlpm.s="","Error: set repo side for "&amp;$B29,IF(_xlpm.r="","Error: enter repo "&amp;LOWER(_xlpm.s),_xlpm.r)))))</f>
      </c>
      <c r="H29" s="11"/>
      <c r="I29" s="9">
        <f t="shared" ca="1" si="0"/>
      </c>
      <c r="J29" s="46" cm="1">
        <f t="array" aca="1" ref="J29" ca="1">IF($A29="","",JGB_PRICE($AE29,$I29,$AJ29,$AF29))</f>
      </c>
      <c r="K29" s="48"/>
      <c r="L29" s="11"/>
      <c r="M29" s="10"/>
      <c r="N29" s="11"/>
      <c r="O29" s="50"/>
      <c r="P29" s="54">
        <f t="shared" ca="1" si="1"/>
      </c>
      <c r="Q29" s="56" cm="1">
        <f t="array" aca="1" ref="Q29" ca="1">IF($A29="","",_xlfn.LET(_xlpm.n,COUNTA($K29:$O29),IF($B29="ITMBW",IF(_xlpm.n=0,"ITMBW","Error: ITMBW takes no strike input"),IF(_xlpm.n=1,_xlfn.XLOOKUP(TRUE,$K29:$O29&lt;&gt;"",{"Spot +sen","Fwd +sen","Fwd price","ATM +bp","Yield"}),IF(_xlpm.n=0,"Error: enter one strike input","Error: enter only one strike input")))))</f>
      </c>
      <c r="R29" s="9" cm="1">
        <f t="array" aca="1" ref="R29" ca="1">IF($A29="","",_xlfn.SWITCH($Q29,"Spot +sen",ROUNDDOWN(ROUND($J29+$K29/100,9),3),"Fwd +sen",ROUNDDOWN(ROUND($P29+$L29/100,9),3),"Fwd price",$M29,"ATM +bp",JGB_PRICE($AE29,$I29+$N29/100,$C29,$AF29),"Yield",JGB_PRICE($AE29,$O29,$C29,$AF29),"ITMBW",IF($BA29="",NA(),$BA29),NA()))</f>
      </c>
      <c r="S29" s="46" cm="1">
        <f t="array" aca="1" ref="S29" ca="1">IF($A29="","",JGB_YIELD($AE29,$R29,$AK29,$AF29))</f>
      </c>
      <c r="T29" s="58"/>
      <c r="U29" s="1">
        <f ca="1">IF($A29="","",IF(OR($X29&lt;&gt;"",$V29&lt;&gt;""),$W29*SQRT(VolDays),IF($T29&lt;&gt;"",$T29,$AT29)))</f>
      </c>
      <c r="V29" s="70"/>
      <c r="W29" s="12">
        <f ca="1">IF($A29="","",IF($X29&lt;&gt;"",$X29*100/(SQRT(252)*$AS29),IF($V29&lt;&gt;"",$V29,IF($T29&lt;&gt;"",$T29,$AT29)/SQRT(VolDays))))</f>
      </c>
      <c r="X29" s="72"/>
      <c r="Y29" s="60">
        <f t="shared" ca="1" si="2"/>
      </c>
      <c r="Z29" s="62">
        <f t="shared" ca="1" si="3"/>
      </c>
      <c r="AA29" s="8">
        <f t="shared" ca="1" si="4"/>
      </c>
      <c r="AB29" s="9">
        <f t="shared" ca="1" si="5"/>
      </c>
      <c r="AD29" s="64">
        <f t="shared" ca="1" si="6"/>
      </c>
      <c r="AE29" s="66" cm="1">
        <f t="array" aca="1" ref="AE29" ca="1">IF($A29="","",_xlfn.XLOOKUP($A29,INDEX(BondList,0,1),INDEX(BondList,0,2)))</f>
      </c>
      <c r="AF29" s="3" cm="1">
        <f t="array" aca="1" ref="AF29" ca="1">IF($A29="","",_xlfn.XLOOKUP($A29,INDEX(BondList,0,1),INDEX(BondList,0,3)))</f>
      </c>
      <c r="AG29" s="9" cm="1">
        <f t="array" aca="1" ref="AG29" ca="1">IF($A29="","",_xlfn.XLOOKUP($A29,INDEX(BondList,0,1),INDEX(BondList,0,4)))</f>
      </c>
      <c r="AH29" s="3" cm="1">
        <f t="array" aca="1" ref="AH29" ca="1">IF($A29="","",_xlfn.XLOOKUP($A29,INDEX(BondList,0,1),INDEX(BondList,0,5)))</f>
      </c>
      <c r="AI29" s="20" cm="1">
        <f t="array" aca="1" ref="AI29" ca="1">IF($A29="","",_xlfn.XLOOKUP($B29,INDEX(SchemeTable,0,1),INDEX(SchemeTable,0,2),NA()))</f>
      </c>
      <c r="AJ29" s="3">
        <f ca="1">IF($A29="","",WORKDAY(TradeDate,1,Holidays))</f>
      </c>
      <c r="AK29" s="3">
        <f ca="1">IF($A29="","",WORKDAY($C29,$D29,Holidays))</f>
      </c>
      <c r="AL29" s="13">
        <f ca="1">IF($A29="","",NETWORKDAYS(TradeDate,$C29-1,Holidays)/252)</f>
      </c>
      <c r="AM29" s="13" cm="1">
        <f t="array" aca="1" ref="AM29" ca="1">IF($A29="","",JGB_AI($AE29,$AJ29,$AF29))</f>
      </c>
      <c r="AN29" s="13" cm="1">
        <f t="array" aca="1" ref="AN29" ca="1">IF($A29="","",JGB_AI($AE29,$AK29,$AF29))</f>
      </c>
      <c r="AO29" s="13" cm="1">
        <f t="array" aca="1" ref="AO29" ca="1">IF($A29="","",JGB_CARRY_COUPONS($AE29,$AF29,$AJ29,$AK29,$G29))</f>
      </c>
      <c r="AP29" s="13">
        <f t="shared" ca="1" si="7"/>
      </c>
      <c r="AQ29" s="9">
        <f t="shared" ca="1" si="8"/>
      </c>
      <c r="AR29" s="13">
        <f t="shared" ca="1" si="9"/>
      </c>
      <c r="AS29" s="12">
        <f t="shared" ca="1" si="10"/>
      </c>
      <c r="AT29" s="68">
        <f t="shared" ca="1" si="11"/>
      </c>
      <c r="AV29" s="66"/>
      <c r="AW29" s="13"/>
      <c r="AX29" s="12"/>
      <c r="AY29" s="1"/>
      <c r="BA29" s="9"/>
      <c r="BC29" s="12"/>
      <c r="BD29" s="64"/>
    </row>
    <row r="30" spans="1:56" x14ac:dyDescent="0.55000000000000004">
      <c r="A30" s="38"/>
      <c r="B30" s="4"/>
      <c r="C30" s="6"/>
      <c r="D30" s="7"/>
      <c r="E30" s="42"/>
      <c r="F30" s="44"/>
      <c r="G30" s="9" cm="1">
        <f t="array" aca="1" ref="G30" ca="1">IF($A30="","",IF($F30&lt;&gt;"",$F30,_xlfn.LET(_xlpm.s,_xlfn.XLOOKUP($B30,INDEX(SchemeTable,0,1),INDEX(SchemeTable,0,3),""),_xlpm.r,_xlfn.SWITCH(_xlpm.s,"Bid",IF(ISBLANK(RepoBid),"",RepoBid),"Offer",IF(ISBLANK(RepoOffer),"",RepoOffer),""),IF(_xlpm.s="","Error: set repo side for "&amp;$B30,IF(_xlpm.r="","Error: enter repo "&amp;LOWER(_xlpm.s),_xlpm.r)))))</f>
      </c>
      <c r="H30" s="11"/>
      <c r="I30" s="9">
        <f t="shared" ca="1" si="0"/>
      </c>
      <c r="J30" s="46" cm="1">
        <f t="array" aca="1" ref="J30" ca="1">IF($A30="","",JGB_PRICE($AE30,$I30,$AJ30,$AF30))</f>
      </c>
      <c r="K30" s="48"/>
      <c r="L30" s="11"/>
      <c r="M30" s="10"/>
      <c r="N30" s="11"/>
      <c r="O30" s="50"/>
      <c r="P30" s="54">
        <f t="shared" ca="1" si="1"/>
      </c>
      <c r="Q30" s="56" cm="1">
        <f t="array" aca="1" ref="Q30" ca="1">IF($A30="","",_xlfn.LET(_xlpm.n,COUNTA($K30:$O30),IF($B30="ITMBW",IF(_xlpm.n=0,"ITMBW","Error: ITMBW takes no strike input"),IF(_xlpm.n=1,_xlfn.XLOOKUP(TRUE,$K30:$O30&lt;&gt;"",{"Spot +sen","Fwd +sen","Fwd price","ATM +bp","Yield"}),IF(_xlpm.n=0,"Error: enter one strike input","Error: enter only one strike input")))))</f>
      </c>
      <c r="R30" s="9" cm="1">
        <f t="array" aca="1" ref="R30" ca="1">IF($A30="","",_xlfn.SWITCH($Q30,"Spot +sen",ROUNDDOWN(ROUND($J30+$K30/100,9),3),"Fwd +sen",ROUNDDOWN(ROUND($P30+$L30/100,9),3),"Fwd price",$M30,"ATM +bp",JGB_PRICE($AE30,$I30+$N30/100,$C30,$AF30),"Yield",JGB_PRICE($AE30,$O30,$C30,$AF30),"ITMBW",IF($BA30="",NA(),$BA30),NA()))</f>
      </c>
      <c r="S30" s="46" cm="1">
        <f t="array" aca="1" ref="S30" ca="1">IF($A30="","",JGB_YIELD($AE30,$R30,$AK30,$AF30))</f>
      </c>
      <c r="T30" s="58"/>
      <c r="U30" s="1">
        <f ca="1">IF($A30="","",IF(OR($X30&lt;&gt;"",$V30&lt;&gt;""),$W30*SQRT(VolDays),IF($T30&lt;&gt;"",$T30,$AT30)))</f>
      </c>
      <c r="V30" s="70"/>
      <c r="W30" s="12">
        <f ca="1">IF($A30="","",IF($X30&lt;&gt;"",$X30*100/(SQRT(252)*$AS30),IF($V30&lt;&gt;"",$V30,IF($T30&lt;&gt;"",$T30,$AT30)/SQRT(VolDays))))</f>
      </c>
      <c r="X30" s="72"/>
      <c r="Y30" s="60">
        <f t="shared" ca="1" si="2"/>
      </c>
      <c r="Z30" s="62">
        <f t="shared" ca="1" si="3"/>
      </c>
      <c r="AA30" s="8">
        <f t="shared" ca="1" si="4"/>
      </c>
      <c r="AB30" s="9">
        <f t="shared" ca="1" si="5"/>
      </c>
      <c r="AD30" s="64">
        <f t="shared" ca="1" si="6"/>
      </c>
      <c r="AE30" s="66" cm="1">
        <f t="array" aca="1" ref="AE30" ca="1">IF($A30="","",_xlfn.XLOOKUP($A30,INDEX(BondList,0,1),INDEX(BondList,0,2)))</f>
      </c>
      <c r="AF30" s="3" cm="1">
        <f t="array" aca="1" ref="AF30" ca="1">IF($A30="","",_xlfn.XLOOKUP($A30,INDEX(BondList,0,1),INDEX(BondList,0,3)))</f>
      </c>
      <c r="AG30" s="9" cm="1">
        <f t="array" aca="1" ref="AG30" ca="1">IF($A30="","",_xlfn.XLOOKUP($A30,INDEX(BondList,0,1),INDEX(BondList,0,4)))</f>
      </c>
      <c r="AH30" s="3" cm="1">
        <f t="array" aca="1" ref="AH30" ca="1">IF($A30="","",_xlfn.XLOOKUP($A30,INDEX(BondList,0,1),INDEX(BondList,0,5)))</f>
      </c>
      <c r="AI30" s="20" cm="1">
        <f t="array" aca="1" ref="AI30" ca="1">IF($A30="","",_xlfn.XLOOKUP($B30,INDEX(SchemeTable,0,1),INDEX(SchemeTable,0,2),NA()))</f>
      </c>
      <c r="AJ30" s="3">
        <f ca="1">IF($A30="","",WORKDAY(TradeDate,1,Holidays))</f>
      </c>
      <c r="AK30" s="3">
        <f ca="1">IF($A30="","",WORKDAY($C30,$D30,Holidays))</f>
      </c>
      <c r="AL30" s="13">
        <f ca="1">IF($A30="","",NETWORKDAYS(TradeDate,$C30-1,Holidays)/252)</f>
      </c>
      <c r="AM30" s="13" cm="1">
        <f t="array" aca="1" ref="AM30" ca="1">IF($A30="","",JGB_AI($AE30,$AJ30,$AF30))</f>
      </c>
      <c r="AN30" s="13" cm="1">
        <f t="array" aca="1" ref="AN30" ca="1">IF($A30="","",JGB_AI($AE30,$AK30,$AF30))</f>
      </c>
      <c r="AO30" s="13" cm="1">
        <f t="array" aca="1" ref="AO30" ca="1">IF($A30="","",JGB_CARRY_COUPONS($AE30,$AF30,$AJ30,$AK30,$G30))</f>
      </c>
      <c r="AP30" s="13">
        <f t="shared" ca="1" si="7"/>
      </c>
      <c r="AQ30" s="9">
        <f t="shared" ca="1" si="8"/>
      </c>
      <c r="AR30" s="13">
        <f t="shared" ca="1" si="9"/>
      </c>
      <c r="AS30" s="12">
        <f t="shared" ca="1" si="10"/>
      </c>
      <c r="AT30" s="68">
        <f t="shared" ca="1" si="11"/>
      </c>
      <c r="AV30" s="66"/>
      <c r="AW30" s="13"/>
      <c r="AX30" s="12"/>
      <c r="AY30" s="1"/>
      <c r="BA30" s="9"/>
      <c r="BC30" s="12"/>
      <c r="BD30" s="64"/>
    </row>
    <row r="31" spans="1:56" x14ac:dyDescent="0.55000000000000004">
      <c r="A31" s="38"/>
      <c r="B31" s="4"/>
      <c r="C31" s="6"/>
      <c r="D31" s="7"/>
      <c r="E31" s="42"/>
      <c r="F31" s="44"/>
      <c r="G31" s="9" cm="1">
        <f t="array" aca="1" ref="G31" ca="1">IF($A31="","",IF($F31&lt;&gt;"",$F31,_xlfn.LET(_xlpm.s,_xlfn.XLOOKUP($B31,INDEX(SchemeTable,0,1),INDEX(SchemeTable,0,3),""),_xlpm.r,_xlfn.SWITCH(_xlpm.s,"Bid",IF(ISBLANK(RepoBid),"",RepoBid),"Offer",IF(ISBLANK(RepoOffer),"",RepoOffer),""),IF(_xlpm.s="","Error: set repo side for "&amp;$B31,IF(_xlpm.r="","Error: enter repo "&amp;LOWER(_xlpm.s),_xlpm.r)))))</f>
      </c>
      <c r="H31" s="11"/>
      <c r="I31" s="9">
        <f t="shared" ca="1" si="0"/>
      </c>
      <c r="J31" s="46" cm="1">
        <f t="array" aca="1" ref="J31" ca="1">IF($A31="","",JGB_PRICE($AE31,$I31,$AJ31,$AF31))</f>
      </c>
      <c r="K31" s="48"/>
      <c r="L31" s="11"/>
      <c r="M31" s="10"/>
      <c r="N31" s="11"/>
      <c r="O31" s="50"/>
      <c r="P31" s="54">
        <f t="shared" ca="1" si="1"/>
      </c>
      <c r="Q31" s="56" cm="1">
        <f t="array" aca="1" ref="Q31" ca="1">IF($A31="","",_xlfn.LET(_xlpm.n,COUNTA($K31:$O31),IF($B31="ITMBW",IF(_xlpm.n=0,"ITMBW","Error: ITMBW takes no strike input"),IF(_xlpm.n=1,_xlfn.XLOOKUP(TRUE,$K31:$O31&lt;&gt;"",{"Spot +sen","Fwd +sen","Fwd price","ATM +bp","Yield"}),IF(_xlpm.n=0,"Error: enter one strike input","Error: enter only one strike input")))))</f>
      </c>
      <c r="R31" s="9" cm="1">
        <f t="array" aca="1" ref="R31" ca="1">IF($A31="","",_xlfn.SWITCH($Q31,"Spot +sen",ROUNDDOWN(ROUND($J31+$K31/100,9),3),"Fwd +sen",ROUNDDOWN(ROUND($P31+$L31/100,9),3),"Fwd price",$M31,"ATM +bp",JGB_PRICE($AE31,$I31+$N31/100,$C31,$AF31),"Yield",JGB_PRICE($AE31,$O31,$C31,$AF31),"ITMBW",IF($BA31="",NA(),$BA31),NA()))</f>
      </c>
      <c r="S31" s="46" cm="1">
        <f t="array" aca="1" ref="S31" ca="1">IF($A31="","",JGB_YIELD($AE31,$R31,$AK31,$AF31))</f>
      </c>
      <c r="T31" s="58"/>
      <c r="U31" s="1">
        <f ca="1">IF($A31="","",IF(OR($X31&lt;&gt;"",$V31&lt;&gt;""),$W31*SQRT(VolDays),IF($T31&lt;&gt;"",$T31,$AT31)))</f>
      </c>
      <c r="V31" s="70"/>
      <c r="W31" s="12">
        <f ca="1">IF($A31="","",IF($X31&lt;&gt;"",$X31*100/(SQRT(252)*$AS31),IF($V31&lt;&gt;"",$V31,IF($T31&lt;&gt;"",$T31,$AT31)/SQRT(VolDays))))</f>
      </c>
      <c r="X31" s="72"/>
      <c r="Y31" s="60">
        <f t="shared" ca="1" si="2"/>
      </c>
      <c r="Z31" s="62">
        <f t="shared" ca="1" si="3"/>
      </c>
      <c r="AA31" s="8">
        <f t="shared" ca="1" si="4"/>
      </c>
      <c r="AB31" s="9">
        <f t="shared" ca="1" si="5"/>
      </c>
      <c r="AD31" s="64">
        <f t="shared" ca="1" si="6"/>
      </c>
      <c r="AE31" s="66" cm="1">
        <f t="array" aca="1" ref="AE31" ca="1">IF($A31="","",_xlfn.XLOOKUP($A31,INDEX(BondList,0,1),INDEX(BondList,0,2)))</f>
      </c>
      <c r="AF31" s="3" cm="1">
        <f t="array" aca="1" ref="AF31" ca="1">IF($A31="","",_xlfn.XLOOKUP($A31,INDEX(BondList,0,1),INDEX(BondList,0,3)))</f>
      </c>
      <c r="AG31" s="9" cm="1">
        <f t="array" aca="1" ref="AG31" ca="1">IF($A31="","",_xlfn.XLOOKUP($A31,INDEX(BondList,0,1),INDEX(BondList,0,4)))</f>
      </c>
      <c r="AH31" s="3" cm="1">
        <f t="array" aca="1" ref="AH31" ca="1">IF($A31="","",_xlfn.XLOOKUP($A31,INDEX(BondList,0,1),INDEX(BondList,0,5)))</f>
      </c>
      <c r="AI31" s="20" cm="1">
        <f t="array" aca="1" ref="AI31" ca="1">IF($A31="","",_xlfn.XLOOKUP($B31,INDEX(SchemeTable,0,1),INDEX(SchemeTable,0,2),NA()))</f>
      </c>
      <c r="AJ31" s="3">
        <f ca="1">IF($A31="","",WORKDAY(TradeDate,1,Holidays))</f>
      </c>
      <c r="AK31" s="3">
        <f ca="1">IF($A31="","",WORKDAY($C31,$D31,Holidays))</f>
      </c>
      <c r="AL31" s="13">
        <f ca="1">IF($A31="","",NETWORKDAYS(TradeDate,$C31-1,Holidays)/252)</f>
      </c>
      <c r="AM31" s="13" cm="1">
        <f t="array" aca="1" ref="AM31" ca="1">IF($A31="","",JGB_AI($AE31,$AJ31,$AF31))</f>
      </c>
      <c r="AN31" s="13" cm="1">
        <f t="array" aca="1" ref="AN31" ca="1">IF($A31="","",JGB_AI($AE31,$AK31,$AF31))</f>
      </c>
      <c r="AO31" s="13" cm="1">
        <f t="array" aca="1" ref="AO31" ca="1">IF($A31="","",JGB_CARRY_COUPONS($AE31,$AF31,$AJ31,$AK31,$G31))</f>
      </c>
      <c r="AP31" s="13">
        <f t="shared" ca="1" si="7"/>
      </c>
      <c r="AQ31" s="9">
        <f t="shared" ca="1" si="8"/>
      </c>
      <c r="AR31" s="13">
        <f t="shared" ca="1" si="9"/>
      </c>
      <c r="AS31" s="12">
        <f t="shared" ca="1" si="10"/>
      </c>
      <c r="AT31" s="68">
        <f t="shared" ca="1" si="11"/>
      </c>
      <c r="AV31" s="66"/>
      <c r="AW31" s="13"/>
      <c r="AX31" s="12"/>
      <c r="AY31" s="1"/>
      <c r="BA31" s="9"/>
      <c r="BC31" s="12"/>
      <c r="BD31" s="64"/>
    </row>
    <row r="32" spans="1:56" x14ac:dyDescent="0.55000000000000004">
      <c r="A32" s="39"/>
      <c r="B32" s="22"/>
      <c r="C32" s="23"/>
      <c r="D32" s="24"/>
      <c r="E32" s="43"/>
      <c r="F32" s="45"/>
      <c r="G32" s="26" cm="1">
        <f t="array" aca="1" ref="G32" ca="1">IF($A32="","",IF($F32&lt;&gt;"",$F32,_xlfn.LET(_xlpm.s,_xlfn.XLOOKUP($B32,INDEX(SchemeTable,0,1),INDEX(SchemeTable,0,3),""),_xlpm.r,_xlfn.SWITCH(_xlpm.s,"Bid",IF(ISBLANK(RepoBid),"",RepoBid),"Offer",IF(ISBLANK(RepoOffer),"",RepoOffer),""),IF(_xlpm.s="","Error: set repo side for "&amp;$B32,IF(_xlpm.r="","Error: enter repo "&amp;LOWER(_xlpm.s),_xlpm.r)))))</f>
      </c>
      <c r="H32" s="27"/>
      <c r="I32" s="26">
        <f t="shared" ca="1" si="0"/>
      </c>
      <c r="J32" s="47" cm="1">
        <f t="array" aca="1" ref="J32" ca="1">IF($A32="","",JGB_PRICE($AE32,$I32,$AJ32,$AF32))</f>
      </c>
      <c r="K32" s="49"/>
      <c r="L32" s="27"/>
      <c r="M32" s="25"/>
      <c r="N32" s="27"/>
      <c r="O32" s="51"/>
      <c r="P32" s="55">
        <f t="shared" ca="1" si="1"/>
      </c>
      <c r="Q32" s="57" cm="1">
        <f t="array" aca="1" ref="Q32" ca="1">IF($A32="","",_xlfn.LET(_xlpm.n,COUNTA($K32:$O32),IF($B32="ITMBW",IF(_xlpm.n=0,"ITMBW","Error: ITMBW takes no strike input"),IF(_xlpm.n=1,_xlfn.XLOOKUP(TRUE,$K32:$O32&lt;&gt;"",{"Spot +sen","Fwd +sen","Fwd price","ATM +bp","Yield"}),IF(_xlpm.n=0,"Error: enter one strike input","Error: enter only one strike input")))))</f>
      </c>
      <c r="R32" s="26" cm="1">
        <f t="array" aca="1" ref="R32" ca="1">IF($A32="","",_xlfn.SWITCH($Q32,"Spot +sen",ROUNDDOWN(ROUND($J32+$K32/100,9),3),"Fwd +sen",ROUNDDOWN(ROUND($P32+$L32/100,9),3),"Fwd price",$M32,"ATM +bp",JGB_PRICE($AE32,$I32+$N32/100,$C32,$AF32),"Yield",JGB_PRICE($AE32,$O32,$C32,$AF32),"ITMBW",IF($BA32="",NA(),$BA32),NA()))</f>
      </c>
      <c r="S32" s="47" cm="1">
        <f t="array" aca="1" ref="S32" ca="1">IF($A32="","",JGB_YIELD($AE32,$R32,$AK32,$AF32))</f>
      </c>
      <c r="T32" s="59"/>
      <c r="U32" s="30">
        <f ca="1">IF($A32="","",IF(OR($X32&lt;&gt;"",$V32&lt;&gt;""),$W32*SQRT(VolDays),IF($T32&lt;&gt;"",$T32,$AT32)))</f>
      </c>
      <c r="V32" s="71"/>
      <c r="W32" s="31">
        <f ca="1">IF($A32="","",IF($X32&lt;&gt;"",$X32*100/(SQRT(252)*$AS32),IF($V32&lt;&gt;"",$V32,IF($T32&lt;&gt;"",$T32,$AT32)/SQRT(VolDays))))</f>
      </c>
      <c r="X32" s="73"/>
      <c r="Y32" s="61">
        <f t="shared" ca="1" si="2"/>
      </c>
      <c r="Z32" s="63">
        <f t="shared" ca="1" si="3"/>
      </c>
      <c r="AA32" s="32">
        <f t="shared" ca="1" si="4"/>
      </c>
      <c r="AB32" s="26">
        <f t="shared" ca="1" si="5"/>
      </c>
      <c r="AC32" s="16"/>
      <c r="AD32" s="65">
        <f t="shared" ca="1" si="6"/>
      </c>
      <c r="AE32" s="67" cm="1">
        <f t="array" aca="1" ref="AE32" ca="1">IF($A32="","",_xlfn.XLOOKUP($A32,INDEX(BondList,0,1),INDEX(BondList,0,2)))</f>
      </c>
      <c r="AF32" s="33" cm="1">
        <f t="array" aca="1" ref="AF32" ca="1">IF($A32="","",_xlfn.XLOOKUP($A32,INDEX(BondList,0,1),INDEX(BondList,0,3)))</f>
      </c>
      <c r="AG32" s="26" cm="1">
        <f t="array" aca="1" ref="AG32" ca="1">IF($A32="","",_xlfn.XLOOKUP($A32,INDEX(BondList,0,1),INDEX(BondList,0,4)))</f>
      </c>
      <c r="AH32" s="33" cm="1">
        <f t="array" aca="1" ref="AH32" ca="1">IF($A32="","",_xlfn.XLOOKUP($A32,INDEX(BondList,0,1),INDEX(BondList,0,5)))</f>
      </c>
      <c r="AI32" s="29" cm="1">
        <f t="array" aca="1" ref="AI32" ca="1">IF($A32="","",_xlfn.XLOOKUP($B32,INDEX(SchemeTable,0,1),INDEX(SchemeTable,0,2),NA()))</f>
      </c>
      <c r="AJ32" s="33">
        <f ca="1">IF($A32="","",WORKDAY(TradeDate,1,Holidays))</f>
      </c>
      <c r="AK32" s="33">
        <f ca="1">IF($A32="","",WORKDAY($C32,$D32,Holidays))</f>
      </c>
      <c r="AL32" s="28">
        <f ca="1">IF($A32="","",NETWORKDAYS(TradeDate,$C32-1,Holidays)/252)</f>
      </c>
      <c r="AM32" s="28" cm="1">
        <f t="array" aca="1" ref="AM32" ca="1">IF($A32="","",JGB_AI($AE32,$AJ32,$AF32))</f>
      </c>
      <c r="AN32" s="28" cm="1">
        <f t="array" aca="1" ref="AN32" ca="1">IF($A32="","",JGB_AI($AE32,$AK32,$AF32))</f>
      </c>
      <c r="AO32" s="28" cm="1">
        <f t="array" aca="1" ref="AO32" ca="1">IF($A32="","",JGB_CARRY_COUPONS($AE32,$AF32,$AJ32,$AK32,$G32))</f>
      </c>
      <c r="AP32" s="28">
        <f t="shared" ca="1" si="7"/>
      </c>
      <c r="AQ32" s="26">
        <f t="shared" ca="1" si="8"/>
      </c>
      <c r="AR32" s="28">
        <f t="shared" ca="1" si="9"/>
      </c>
      <c r="AS32" s="31">
        <f t="shared" ca="1" si="10"/>
      </c>
      <c r="AT32" s="69">
        <f t="shared" ca="1" si="11"/>
      </c>
      <c r="AV32" s="67"/>
      <c r="AW32" s="28"/>
      <c r="AX32" s="31"/>
      <c r="AY32" s="30"/>
      <c r="AZ32" s="16"/>
      <c r="BA32" s="26"/>
      <c r="BB32" s="16"/>
      <c r="BC32" s="31"/>
      <c r="BD32" s="65"/>
    </row>
    <row r="33" spans="1:56" x14ac:dyDescent="0.55000000000000004">
      <c r="A33" s="38"/>
      <c r="B33" s="4"/>
      <c r="C33" s="6"/>
      <c r="D33" s="7"/>
      <c r="E33" s="42"/>
      <c r="F33" s="44"/>
      <c r="G33" s="9" cm="1">
        <f t="array" aca="1" ref="G33" ca="1">IF($A33="","",IF($F33&lt;&gt;"",$F33,_xlfn.LET(_xlpm.s,_xlfn.XLOOKUP($B33,INDEX(SchemeTable,0,1),INDEX(SchemeTable,0,3),""),_xlpm.r,_xlfn.SWITCH(_xlpm.s,"Bid",IF(ISBLANK(RepoBid),"",RepoBid),"Offer",IF(ISBLANK(RepoOffer),"",RepoOffer),""),IF(_xlpm.s="","Error: set repo side for "&amp;$B33,IF(_xlpm.r="","Error: enter repo "&amp;LOWER(_xlpm.s),_xlpm.r)))))</f>
      </c>
      <c r="H33" s="11"/>
      <c r="I33" s="9">
        <f t="shared" ca="1" si="0"/>
      </c>
      <c r="J33" s="46" cm="1">
        <f t="array" aca="1" ref="J33" ca="1">IF($A33="","",JGB_PRICE($AE33,$I33,$AJ33,$AF33))</f>
      </c>
      <c r="K33" s="48"/>
      <c r="L33" s="11"/>
      <c r="M33" s="10"/>
      <c r="N33" s="11"/>
      <c r="O33" s="50"/>
      <c r="P33" s="54">
        <f t="shared" ca="1" si="1"/>
      </c>
      <c r="Q33" s="56" cm="1">
        <f t="array" aca="1" ref="Q33" ca="1">IF($A33="","",_xlfn.LET(_xlpm.n,COUNTA($K33:$O33),IF($B33="ITMBW",IF(_xlpm.n=0,"ITMBW","Error: ITMBW takes no strike input"),IF(_xlpm.n=1,_xlfn.XLOOKUP(TRUE,$K33:$O33&lt;&gt;"",{"Spot +sen","Fwd +sen","Fwd price","ATM +bp","Yield"}),IF(_xlpm.n=0,"Error: enter one strike input","Error: enter only one strike input")))))</f>
      </c>
      <c r="R33" s="9" cm="1">
        <f t="array" aca="1" ref="R33" ca="1">IF($A33="","",_xlfn.SWITCH($Q33,"Spot +sen",ROUNDDOWN(ROUND($J33+$K33/100,9),3),"Fwd +sen",ROUNDDOWN(ROUND($P33+$L33/100,9),3),"Fwd price",$M33,"ATM +bp",JGB_PRICE($AE33,$I33+$N33/100,$C33,$AF33),"Yield",JGB_PRICE($AE33,$O33,$C33,$AF33),"ITMBW",IF($BA33="",NA(),$BA33),NA()))</f>
      </c>
      <c r="S33" s="46" cm="1">
        <f t="array" aca="1" ref="S33" ca="1">IF($A33="","",JGB_YIELD($AE33,$R33,$AK33,$AF33))</f>
      </c>
      <c r="T33" s="58"/>
      <c r="U33" s="1">
        <f ca="1">IF($A33="","",IF(OR($X33&lt;&gt;"",$V33&lt;&gt;""),$W33*SQRT(VolDays),IF($T33&lt;&gt;"",$T33,$AT33)))</f>
      </c>
      <c r="V33" s="70"/>
      <c r="W33" s="12">
        <f ca="1">IF($A33="","",IF($X33&lt;&gt;"",$X33*100/(SQRT(252)*$AS33),IF($V33&lt;&gt;"",$V33,IF($T33&lt;&gt;"",$T33,$AT33)/SQRT(VolDays))))</f>
      </c>
      <c r="X33" s="72"/>
      <c r="Y33" s="60">
        <f t="shared" ca="1" si="2"/>
      </c>
      <c r="Z33" s="62">
        <f t="shared" ca="1" si="3"/>
      </c>
      <c r="AA33" s="8">
        <f t="shared" ca="1" si="4"/>
      </c>
      <c r="AB33" s="9">
        <f t="shared" ca="1" si="5"/>
      </c>
      <c r="AD33" s="64">
        <f t="shared" ca="1" si="6"/>
      </c>
      <c r="AE33" s="66" cm="1">
        <f t="array" aca="1" ref="AE33" ca="1">IF($A33="","",_xlfn.XLOOKUP($A33,INDEX(BondList,0,1),INDEX(BondList,0,2)))</f>
      </c>
      <c r="AF33" s="3" cm="1">
        <f t="array" aca="1" ref="AF33" ca="1">IF($A33="","",_xlfn.XLOOKUP($A33,INDEX(BondList,0,1),INDEX(BondList,0,3)))</f>
      </c>
      <c r="AG33" s="9" cm="1">
        <f t="array" aca="1" ref="AG33" ca="1">IF($A33="","",_xlfn.XLOOKUP($A33,INDEX(BondList,0,1),INDEX(BondList,0,4)))</f>
      </c>
      <c r="AH33" s="3" cm="1">
        <f t="array" aca="1" ref="AH33" ca="1">IF($A33="","",_xlfn.XLOOKUP($A33,INDEX(BondList,0,1),INDEX(BondList,0,5)))</f>
      </c>
      <c r="AI33" s="20" cm="1">
        <f t="array" aca="1" ref="AI33" ca="1">IF($A33="","",_xlfn.XLOOKUP($B33,INDEX(SchemeTable,0,1),INDEX(SchemeTable,0,2),NA()))</f>
      </c>
      <c r="AJ33" s="3">
        <f ca="1">IF($A33="","",WORKDAY(TradeDate,1,Holidays))</f>
      </c>
      <c r="AK33" s="3">
        <f ca="1">IF($A33="","",WORKDAY($C33,$D33,Holidays))</f>
      </c>
      <c r="AL33" s="13">
        <f ca="1">IF($A33="","",NETWORKDAYS(TradeDate,$C33-1,Holidays)/252)</f>
      </c>
      <c r="AM33" s="13" cm="1">
        <f t="array" aca="1" ref="AM33" ca="1">IF($A33="","",JGB_AI($AE33,$AJ33,$AF33))</f>
      </c>
      <c r="AN33" s="13" cm="1">
        <f t="array" aca="1" ref="AN33" ca="1">IF($A33="","",JGB_AI($AE33,$AK33,$AF33))</f>
      </c>
      <c r="AO33" s="13" cm="1">
        <f t="array" aca="1" ref="AO33" ca="1">IF($A33="","",JGB_CARRY_COUPONS($AE33,$AF33,$AJ33,$AK33,$G33))</f>
      </c>
      <c r="AP33" s="13">
        <f t="shared" ca="1" si="7"/>
      </c>
      <c r="AQ33" s="9">
        <f t="shared" ca="1" si="8"/>
      </c>
      <c r="AR33" s="13">
        <f t="shared" ca="1" si="9"/>
      </c>
      <c r="AS33" s="12">
        <f t="shared" ca="1" si="10"/>
      </c>
      <c r="AT33" s="68">
        <f t="shared" ca="1" si="11"/>
      </c>
      <c r="AV33" s="66"/>
      <c r="AW33" s="13"/>
      <c r="AX33" s="12"/>
      <c r="AY33" s="1"/>
      <c r="BA33" s="9"/>
      <c r="BC33" s="12"/>
      <c r="BD33" s="64"/>
    </row>
    <row r="34" spans="1:56" x14ac:dyDescent="0.55000000000000004">
      <c r="A34" s="38"/>
      <c r="B34" s="4"/>
      <c r="C34" s="6"/>
      <c r="D34" s="7"/>
      <c r="E34" s="42"/>
      <c r="F34" s="44"/>
      <c r="G34" s="9" cm="1">
        <f t="array" aca="1" ref="G34" ca="1">IF($A34="","",IF($F34&lt;&gt;"",$F34,_xlfn.LET(_xlpm.s,_xlfn.XLOOKUP($B34,INDEX(SchemeTable,0,1),INDEX(SchemeTable,0,3),""),_xlpm.r,_xlfn.SWITCH(_xlpm.s,"Bid",IF(ISBLANK(RepoBid),"",RepoBid),"Offer",IF(ISBLANK(RepoOffer),"",RepoOffer),""),IF(_xlpm.s="","Error: set repo side for "&amp;$B34,IF(_xlpm.r="","Error: enter repo "&amp;LOWER(_xlpm.s),_xlpm.r)))))</f>
      </c>
      <c r="H34" s="11"/>
      <c r="I34" s="9">
        <f t="shared" ca="1" si="0"/>
      </c>
      <c r="J34" s="46" cm="1">
        <f t="array" aca="1" ref="J34" ca="1">IF($A34="","",JGB_PRICE($AE34,$I34,$AJ34,$AF34))</f>
      </c>
      <c r="K34" s="48"/>
      <c r="L34" s="11"/>
      <c r="M34" s="10"/>
      <c r="N34" s="11"/>
      <c r="O34" s="50"/>
      <c r="P34" s="54">
        <f t="shared" ca="1" si="1"/>
      </c>
      <c r="Q34" s="56" cm="1">
        <f t="array" aca="1" ref="Q34" ca="1">IF($A34="","",_xlfn.LET(_xlpm.n,COUNTA($K34:$O34),IF($B34="ITMBW",IF(_xlpm.n=0,"ITMBW","Error: ITMBW takes no strike input"),IF(_xlpm.n=1,_xlfn.XLOOKUP(TRUE,$K34:$O34&lt;&gt;"",{"Spot +sen","Fwd +sen","Fwd price","ATM +bp","Yield"}),IF(_xlpm.n=0,"Error: enter one strike input","Error: enter only one strike input")))))</f>
      </c>
      <c r="R34" s="9" cm="1">
        <f t="array" aca="1" ref="R34" ca="1">IF($A34="","",_xlfn.SWITCH($Q34,"Spot +sen",ROUNDDOWN(ROUND($J34+$K34/100,9),3),"Fwd +sen",ROUNDDOWN(ROUND($P34+$L34/100,9),3),"Fwd price",$M34,"ATM +bp",JGB_PRICE($AE34,$I34+$N34/100,$C34,$AF34),"Yield",JGB_PRICE($AE34,$O34,$C34,$AF34),"ITMBW",IF($BA34="",NA(),$BA34),NA()))</f>
      </c>
      <c r="S34" s="46" cm="1">
        <f t="array" aca="1" ref="S34" ca="1">IF($A34="","",JGB_YIELD($AE34,$R34,$AK34,$AF34))</f>
      </c>
      <c r="T34" s="58"/>
      <c r="U34" s="1">
        <f ca="1">IF($A34="","",IF(OR($X34&lt;&gt;"",$V34&lt;&gt;""),$W34*SQRT(VolDays),IF($T34&lt;&gt;"",$T34,$AT34)))</f>
      </c>
      <c r="V34" s="70"/>
      <c r="W34" s="12">
        <f ca="1">IF($A34="","",IF($X34&lt;&gt;"",$X34*100/(SQRT(252)*$AS34),IF($V34&lt;&gt;"",$V34,IF($T34&lt;&gt;"",$T34,$AT34)/SQRT(VolDays))))</f>
      </c>
      <c r="X34" s="72"/>
      <c r="Y34" s="60">
        <f t="shared" ca="1" si="2"/>
      </c>
      <c r="Z34" s="62">
        <f t="shared" ca="1" si="3"/>
      </c>
      <c r="AA34" s="8">
        <f t="shared" ca="1" si="4"/>
      </c>
      <c r="AB34" s="9">
        <f t="shared" ca="1" si="5"/>
      </c>
      <c r="AD34" s="64">
        <f t="shared" ca="1" si="6"/>
      </c>
      <c r="AE34" s="66" cm="1">
        <f t="array" aca="1" ref="AE34" ca="1">IF($A34="","",_xlfn.XLOOKUP($A34,INDEX(BondList,0,1),INDEX(BondList,0,2)))</f>
      </c>
      <c r="AF34" s="3" cm="1">
        <f t="array" aca="1" ref="AF34" ca="1">IF($A34="","",_xlfn.XLOOKUP($A34,INDEX(BondList,0,1),INDEX(BondList,0,3)))</f>
      </c>
      <c r="AG34" s="9" cm="1">
        <f t="array" aca="1" ref="AG34" ca="1">IF($A34="","",_xlfn.XLOOKUP($A34,INDEX(BondList,0,1),INDEX(BondList,0,4)))</f>
      </c>
      <c r="AH34" s="3" cm="1">
        <f t="array" aca="1" ref="AH34" ca="1">IF($A34="","",_xlfn.XLOOKUP($A34,INDEX(BondList,0,1),INDEX(BondList,0,5)))</f>
      </c>
      <c r="AI34" s="20" cm="1">
        <f t="array" aca="1" ref="AI34" ca="1">IF($A34="","",_xlfn.XLOOKUP($B34,INDEX(SchemeTable,0,1),INDEX(SchemeTable,0,2),NA()))</f>
      </c>
      <c r="AJ34" s="3">
        <f ca="1">IF($A34="","",WORKDAY(TradeDate,1,Holidays))</f>
      </c>
      <c r="AK34" s="3">
        <f ca="1">IF($A34="","",WORKDAY($C34,$D34,Holidays))</f>
      </c>
      <c r="AL34" s="13">
        <f ca="1">IF($A34="","",NETWORKDAYS(TradeDate,$C34-1,Holidays)/252)</f>
      </c>
      <c r="AM34" s="13" cm="1">
        <f t="array" aca="1" ref="AM34" ca="1">IF($A34="","",JGB_AI($AE34,$AJ34,$AF34))</f>
      </c>
      <c r="AN34" s="13" cm="1">
        <f t="array" aca="1" ref="AN34" ca="1">IF($A34="","",JGB_AI($AE34,$AK34,$AF34))</f>
      </c>
      <c r="AO34" s="13" cm="1">
        <f t="array" aca="1" ref="AO34" ca="1">IF($A34="","",JGB_CARRY_COUPONS($AE34,$AF34,$AJ34,$AK34,$G34))</f>
      </c>
      <c r="AP34" s="13">
        <f t="shared" ca="1" si="7"/>
      </c>
      <c r="AQ34" s="9">
        <f t="shared" ca="1" si="8"/>
      </c>
      <c r="AR34" s="13">
        <f t="shared" ca="1" si="9"/>
      </c>
      <c r="AS34" s="12">
        <f t="shared" ca="1" si="10"/>
      </c>
      <c r="AT34" s="68">
        <f t="shared" ca="1" si="11"/>
      </c>
      <c r="AV34" s="66"/>
      <c r="AW34" s="13"/>
      <c r="AX34" s="12"/>
      <c r="AY34" s="1"/>
      <c r="BA34" s="9"/>
      <c r="BC34" s="12"/>
      <c r="BD34" s="64"/>
    </row>
    <row r="35" spans="1:56" x14ac:dyDescent="0.55000000000000004">
      <c r="A35" s="38"/>
      <c r="B35" s="4"/>
      <c r="C35" s="6"/>
      <c r="D35" s="7"/>
      <c r="E35" s="42"/>
      <c r="F35" s="44"/>
      <c r="G35" s="9" cm="1">
        <f t="array" aca="1" ref="G35" ca="1">IF($A35="","",IF($F35&lt;&gt;"",$F35,_xlfn.LET(_xlpm.s,_xlfn.XLOOKUP($B35,INDEX(SchemeTable,0,1),INDEX(SchemeTable,0,3),""),_xlpm.r,_xlfn.SWITCH(_xlpm.s,"Bid",IF(ISBLANK(RepoBid),"",RepoBid),"Offer",IF(ISBLANK(RepoOffer),"",RepoOffer),""),IF(_xlpm.s="","Error: set repo side for "&amp;$B35,IF(_xlpm.r="","Error: enter repo "&amp;LOWER(_xlpm.s),_xlpm.r)))))</f>
      </c>
      <c r="H35" s="11"/>
      <c r="I35" s="9">
        <f t="shared" ca="1" si="0"/>
      </c>
      <c r="J35" s="46" cm="1">
        <f t="array" aca="1" ref="J35" ca="1">IF($A35="","",JGB_PRICE($AE35,$I35,$AJ35,$AF35))</f>
      </c>
      <c r="K35" s="48"/>
      <c r="L35" s="11"/>
      <c r="M35" s="10"/>
      <c r="N35" s="11"/>
      <c r="O35" s="50"/>
      <c r="P35" s="54">
        <f t="shared" ca="1" si="1"/>
      </c>
      <c r="Q35" s="56" cm="1">
        <f t="array" aca="1" ref="Q35" ca="1">IF($A35="","",_xlfn.LET(_xlpm.n,COUNTA($K35:$O35),IF($B35="ITMBW",IF(_xlpm.n=0,"ITMBW","Error: ITMBW takes no strike input"),IF(_xlpm.n=1,_xlfn.XLOOKUP(TRUE,$K35:$O35&lt;&gt;"",{"Spot +sen","Fwd +sen","Fwd price","ATM +bp","Yield"}),IF(_xlpm.n=0,"Error: enter one strike input","Error: enter only one strike input")))))</f>
      </c>
      <c r="R35" s="9" cm="1">
        <f t="array" aca="1" ref="R35" ca="1">IF($A35="","",_xlfn.SWITCH($Q35,"Spot +sen",ROUNDDOWN(ROUND($J35+$K35/100,9),3),"Fwd +sen",ROUNDDOWN(ROUND($P35+$L35/100,9),3),"Fwd price",$M35,"ATM +bp",JGB_PRICE($AE35,$I35+$N35/100,$C35,$AF35),"Yield",JGB_PRICE($AE35,$O35,$C35,$AF35),"ITMBW",IF($BA35="",NA(),$BA35),NA()))</f>
      </c>
      <c r="S35" s="46" cm="1">
        <f t="array" aca="1" ref="S35" ca="1">IF($A35="","",JGB_YIELD($AE35,$R35,$AK35,$AF35))</f>
      </c>
      <c r="T35" s="58"/>
      <c r="U35" s="1">
        <f ca="1">IF($A35="","",IF(OR($X35&lt;&gt;"",$V35&lt;&gt;""),$W35*SQRT(VolDays),IF($T35&lt;&gt;"",$T35,$AT35)))</f>
      </c>
      <c r="V35" s="70"/>
      <c r="W35" s="12">
        <f ca="1">IF($A35="","",IF($X35&lt;&gt;"",$X35*100/(SQRT(252)*$AS35),IF($V35&lt;&gt;"",$V35,IF($T35&lt;&gt;"",$T35,$AT35)/SQRT(VolDays))))</f>
      </c>
      <c r="X35" s="72"/>
      <c r="Y35" s="60">
        <f t="shared" ca="1" si="2"/>
      </c>
      <c r="Z35" s="62">
        <f t="shared" ca="1" si="3"/>
      </c>
      <c r="AA35" s="8">
        <f t="shared" ca="1" si="4"/>
      </c>
      <c r="AB35" s="9">
        <f t="shared" ca="1" si="5"/>
      </c>
      <c r="AD35" s="64">
        <f t="shared" ca="1" si="6"/>
      </c>
      <c r="AE35" s="66" cm="1">
        <f t="array" aca="1" ref="AE35" ca="1">IF($A35="","",_xlfn.XLOOKUP($A35,INDEX(BondList,0,1),INDEX(BondList,0,2)))</f>
      </c>
      <c r="AF35" s="3" cm="1">
        <f t="array" aca="1" ref="AF35" ca="1">IF($A35="","",_xlfn.XLOOKUP($A35,INDEX(BondList,0,1),INDEX(BondList,0,3)))</f>
      </c>
      <c r="AG35" s="9" cm="1">
        <f t="array" aca="1" ref="AG35" ca="1">IF($A35="","",_xlfn.XLOOKUP($A35,INDEX(BondList,0,1),INDEX(BondList,0,4)))</f>
      </c>
      <c r="AH35" s="3" cm="1">
        <f t="array" aca="1" ref="AH35" ca="1">IF($A35="","",_xlfn.XLOOKUP($A35,INDEX(BondList,0,1),INDEX(BondList,0,5)))</f>
      </c>
      <c r="AI35" s="20" cm="1">
        <f t="array" aca="1" ref="AI35" ca="1">IF($A35="","",_xlfn.XLOOKUP($B35,INDEX(SchemeTable,0,1),INDEX(SchemeTable,0,2),NA()))</f>
      </c>
      <c r="AJ35" s="3">
        <f ca="1">IF($A35="","",WORKDAY(TradeDate,1,Holidays))</f>
      </c>
      <c r="AK35" s="3">
        <f ca="1">IF($A35="","",WORKDAY($C35,$D35,Holidays))</f>
      </c>
      <c r="AL35" s="13">
        <f ca="1">IF($A35="","",NETWORKDAYS(TradeDate,$C35-1,Holidays)/252)</f>
      </c>
      <c r="AM35" s="13" cm="1">
        <f t="array" aca="1" ref="AM35" ca="1">IF($A35="","",JGB_AI($AE35,$AJ35,$AF35))</f>
      </c>
      <c r="AN35" s="13" cm="1">
        <f t="array" aca="1" ref="AN35" ca="1">IF($A35="","",JGB_AI($AE35,$AK35,$AF35))</f>
      </c>
      <c r="AO35" s="13" cm="1">
        <f t="array" aca="1" ref="AO35" ca="1">IF($A35="","",JGB_CARRY_COUPONS($AE35,$AF35,$AJ35,$AK35,$G35))</f>
      </c>
      <c r="AP35" s="13">
        <f t="shared" ca="1" si="7"/>
      </c>
      <c r="AQ35" s="9">
        <f t="shared" ca="1" si="8"/>
      </c>
      <c r="AR35" s="13">
        <f t="shared" ca="1" si="9"/>
      </c>
      <c r="AS35" s="12">
        <f t="shared" ca="1" si="10"/>
      </c>
      <c r="AT35" s="68">
        <f t="shared" ca="1" si="11"/>
      </c>
      <c r="AV35" s="66"/>
      <c r="AW35" s="13"/>
      <c r="AX35" s="12"/>
      <c r="AY35" s="1"/>
      <c r="BA35" s="9"/>
      <c r="BC35" s="12"/>
      <c r="BD35" s="64"/>
    </row>
    <row r="36" spans="1:56" x14ac:dyDescent="0.55000000000000004">
      <c r="A36" s="38"/>
      <c r="B36" s="4"/>
      <c r="C36" s="6"/>
      <c r="D36" s="7"/>
      <c r="E36" s="42"/>
      <c r="F36" s="44"/>
      <c r="G36" s="9" cm="1">
        <f t="array" aca="1" ref="G36" ca="1">IF($A36="","",IF($F36&lt;&gt;"",$F36,_xlfn.LET(_xlpm.s,_xlfn.XLOOKUP($B36,INDEX(SchemeTable,0,1),INDEX(SchemeTable,0,3),""),_xlpm.r,_xlfn.SWITCH(_xlpm.s,"Bid",IF(ISBLANK(RepoBid),"",RepoBid),"Offer",IF(ISBLANK(RepoOffer),"",RepoOffer),""),IF(_xlpm.s="","Error: set repo side for "&amp;$B36,IF(_xlpm.r="","Error: enter repo "&amp;LOWER(_xlpm.s),_xlpm.r)))))</f>
      </c>
      <c r="H36" s="11"/>
      <c r="I36" s="9">
        <f t="shared" ca="1" si="0"/>
      </c>
      <c r="J36" s="46" cm="1">
        <f t="array" aca="1" ref="J36" ca="1">IF($A36="","",JGB_PRICE($AE36,$I36,$AJ36,$AF36))</f>
      </c>
      <c r="K36" s="48"/>
      <c r="L36" s="11"/>
      <c r="M36" s="10"/>
      <c r="N36" s="11"/>
      <c r="O36" s="50"/>
      <c r="P36" s="54">
        <f t="shared" ca="1" si="1"/>
      </c>
      <c r="Q36" s="56" cm="1">
        <f t="array" aca="1" ref="Q36" ca="1">IF($A36="","",_xlfn.LET(_xlpm.n,COUNTA($K36:$O36),IF($B36="ITMBW",IF(_xlpm.n=0,"ITMBW","Error: ITMBW takes no strike input"),IF(_xlpm.n=1,_xlfn.XLOOKUP(TRUE,$K36:$O36&lt;&gt;"",{"Spot +sen","Fwd +sen","Fwd price","ATM +bp","Yield"}),IF(_xlpm.n=0,"Error: enter one strike input","Error: enter only one strike input")))))</f>
      </c>
      <c r="R36" s="9" cm="1">
        <f t="array" aca="1" ref="R36" ca="1">IF($A36="","",_xlfn.SWITCH($Q36,"Spot +sen",ROUNDDOWN(ROUND($J36+$K36/100,9),3),"Fwd +sen",ROUNDDOWN(ROUND($P36+$L36/100,9),3),"Fwd price",$M36,"ATM +bp",JGB_PRICE($AE36,$I36+$N36/100,$C36,$AF36),"Yield",JGB_PRICE($AE36,$O36,$C36,$AF36),"ITMBW",IF($BA36="",NA(),$BA36),NA()))</f>
      </c>
      <c r="S36" s="46" cm="1">
        <f t="array" aca="1" ref="S36" ca="1">IF($A36="","",JGB_YIELD($AE36,$R36,$AK36,$AF36))</f>
      </c>
      <c r="T36" s="58"/>
      <c r="U36" s="1">
        <f ca="1">IF($A36="","",IF(OR($X36&lt;&gt;"",$V36&lt;&gt;""),$W36*SQRT(VolDays),IF($T36&lt;&gt;"",$T36,$AT36)))</f>
      </c>
      <c r="V36" s="70"/>
      <c r="W36" s="12">
        <f ca="1">IF($A36="","",IF($X36&lt;&gt;"",$X36*100/(SQRT(252)*$AS36),IF($V36&lt;&gt;"",$V36,IF($T36&lt;&gt;"",$T36,$AT36)/SQRT(VolDays))))</f>
      </c>
      <c r="X36" s="72"/>
      <c r="Y36" s="60">
        <f t="shared" ca="1" si="2"/>
      </c>
      <c r="Z36" s="62">
        <f t="shared" ca="1" si="3"/>
      </c>
      <c r="AA36" s="8">
        <f t="shared" ca="1" si="4"/>
      </c>
      <c r="AB36" s="9">
        <f t="shared" ca="1" si="5"/>
      </c>
      <c r="AD36" s="64">
        <f t="shared" ca="1" si="6"/>
      </c>
      <c r="AE36" s="66" cm="1">
        <f t="array" aca="1" ref="AE36" ca="1">IF($A36="","",_xlfn.XLOOKUP($A36,INDEX(BondList,0,1),INDEX(BondList,0,2)))</f>
      </c>
      <c r="AF36" s="3" cm="1">
        <f t="array" aca="1" ref="AF36" ca="1">IF($A36="","",_xlfn.XLOOKUP($A36,INDEX(BondList,0,1),INDEX(BondList,0,3)))</f>
      </c>
      <c r="AG36" s="9" cm="1">
        <f t="array" aca="1" ref="AG36" ca="1">IF($A36="","",_xlfn.XLOOKUP($A36,INDEX(BondList,0,1),INDEX(BondList,0,4)))</f>
      </c>
      <c r="AH36" s="3" cm="1">
        <f t="array" aca="1" ref="AH36" ca="1">IF($A36="","",_xlfn.XLOOKUP($A36,INDEX(BondList,0,1),INDEX(BondList,0,5)))</f>
      </c>
      <c r="AI36" s="20" cm="1">
        <f t="array" aca="1" ref="AI36" ca="1">IF($A36="","",_xlfn.XLOOKUP($B36,INDEX(SchemeTable,0,1),INDEX(SchemeTable,0,2),NA()))</f>
      </c>
      <c r="AJ36" s="3">
        <f ca="1">IF($A36="","",WORKDAY(TradeDate,1,Holidays))</f>
      </c>
      <c r="AK36" s="3">
        <f ca="1">IF($A36="","",WORKDAY($C36,$D36,Holidays))</f>
      </c>
      <c r="AL36" s="13">
        <f ca="1">IF($A36="","",NETWORKDAYS(TradeDate,$C36-1,Holidays)/252)</f>
      </c>
      <c r="AM36" s="13" cm="1">
        <f t="array" aca="1" ref="AM36" ca="1">IF($A36="","",JGB_AI($AE36,$AJ36,$AF36))</f>
      </c>
      <c r="AN36" s="13" cm="1">
        <f t="array" aca="1" ref="AN36" ca="1">IF($A36="","",JGB_AI($AE36,$AK36,$AF36))</f>
      </c>
      <c r="AO36" s="13" cm="1">
        <f t="array" aca="1" ref="AO36" ca="1">IF($A36="","",JGB_CARRY_COUPONS($AE36,$AF36,$AJ36,$AK36,$G36))</f>
      </c>
      <c r="AP36" s="13">
        <f t="shared" ca="1" si="7"/>
      </c>
      <c r="AQ36" s="9">
        <f t="shared" ca="1" si="8"/>
      </c>
      <c r="AR36" s="13">
        <f t="shared" ca="1" si="9"/>
      </c>
      <c r="AS36" s="12">
        <f t="shared" ca="1" si="10"/>
      </c>
      <c r="AT36" s="68">
        <f t="shared" ca="1" si="11"/>
      </c>
      <c r="AV36" s="66"/>
      <c r="AW36" s="13"/>
      <c r="AX36" s="12"/>
      <c r="AY36" s="1"/>
      <c r="BA36" s="9"/>
      <c r="BC36" s="12"/>
      <c r="BD36" s="64"/>
    </row>
    <row r="37" spans="1:56" x14ac:dyDescent="0.55000000000000004">
      <c r="A37" s="39"/>
      <c r="B37" s="22"/>
      <c r="C37" s="23"/>
      <c r="D37" s="24"/>
      <c r="E37" s="43"/>
      <c r="F37" s="45"/>
      <c r="G37" s="26" cm="1">
        <f t="array" aca="1" ref="G37" ca="1">IF($A37="","",IF($F37&lt;&gt;"",$F37,_xlfn.LET(_xlpm.s,_xlfn.XLOOKUP($B37,INDEX(SchemeTable,0,1),INDEX(SchemeTable,0,3),""),_xlpm.r,_xlfn.SWITCH(_xlpm.s,"Bid",IF(ISBLANK(RepoBid),"",RepoBid),"Offer",IF(ISBLANK(RepoOffer),"",RepoOffer),""),IF(_xlpm.s="","Error: set repo side for "&amp;$B37,IF(_xlpm.r="","Error: enter repo "&amp;LOWER(_xlpm.s),_xlpm.r)))))</f>
      </c>
      <c r="H37" s="27"/>
      <c r="I37" s="26">
        <f t="shared" ca="1" si="0"/>
      </c>
      <c r="J37" s="47" cm="1">
        <f t="array" aca="1" ref="J37" ca="1">IF($A37="","",JGB_PRICE($AE37,$I37,$AJ37,$AF37))</f>
      </c>
      <c r="K37" s="49"/>
      <c r="L37" s="27"/>
      <c r="M37" s="25"/>
      <c r="N37" s="27"/>
      <c r="O37" s="51"/>
      <c r="P37" s="55">
        <f t="shared" ca="1" si="1"/>
      </c>
      <c r="Q37" s="57" cm="1">
        <f t="array" aca="1" ref="Q37" ca="1">IF($A37="","",_xlfn.LET(_xlpm.n,COUNTA($K37:$O37),IF($B37="ITMBW",IF(_xlpm.n=0,"ITMBW","Error: ITMBW takes no strike input"),IF(_xlpm.n=1,_xlfn.XLOOKUP(TRUE,$K37:$O37&lt;&gt;"",{"Spot +sen","Fwd +sen","Fwd price","ATM +bp","Yield"}),IF(_xlpm.n=0,"Error: enter one strike input","Error: enter only one strike input")))))</f>
      </c>
      <c r="R37" s="26" cm="1">
        <f t="array" aca="1" ref="R37" ca="1">IF($A37="","",_xlfn.SWITCH($Q37,"Spot +sen",ROUNDDOWN(ROUND($J37+$K37/100,9),3),"Fwd +sen",ROUNDDOWN(ROUND($P37+$L37/100,9),3),"Fwd price",$M37,"ATM +bp",JGB_PRICE($AE37,$I37+$N37/100,$C37,$AF37),"Yield",JGB_PRICE($AE37,$O37,$C37,$AF37),"ITMBW",IF($BA37="",NA(),$BA37),NA()))</f>
      </c>
      <c r="S37" s="47" cm="1">
        <f t="array" aca="1" ref="S37" ca="1">IF($A37="","",JGB_YIELD($AE37,$R37,$AK37,$AF37))</f>
      </c>
      <c r="T37" s="59"/>
      <c r="U37" s="30">
        <f ca="1">IF($A37="","",IF(OR($X37&lt;&gt;"",$V37&lt;&gt;""),$W37*SQRT(VolDays),IF($T37&lt;&gt;"",$T37,$AT37)))</f>
      </c>
      <c r="V37" s="71"/>
      <c r="W37" s="31">
        <f ca="1">IF($A37="","",IF($X37&lt;&gt;"",$X37*100/(SQRT(252)*$AS37),IF($V37&lt;&gt;"",$V37,IF($T37&lt;&gt;"",$T37,$AT37)/SQRT(VolDays))))</f>
      </c>
      <c r="X37" s="73"/>
      <c r="Y37" s="61">
        <f t="shared" ca="1" si="2"/>
      </c>
      <c r="Z37" s="63">
        <f t="shared" ca="1" si="3"/>
      </c>
      <c r="AA37" s="32">
        <f t="shared" ca="1" si="4"/>
      </c>
      <c r="AB37" s="26">
        <f t="shared" ca="1" si="5"/>
      </c>
      <c r="AC37" s="16"/>
      <c r="AD37" s="65">
        <f t="shared" ca="1" si="6"/>
      </c>
      <c r="AE37" s="67" cm="1">
        <f t="array" aca="1" ref="AE37" ca="1">IF($A37="","",_xlfn.XLOOKUP($A37,INDEX(BondList,0,1),INDEX(BondList,0,2)))</f>
      </c>
      <c r="AF37" s="33" cm="1">
        <f t="array" aca="1" ref="AF37" ca="1">IF($A37="","",_xlfn.XLOOKUP($A37,INDEX(BondList,0,1),INDEX(BondList,0,3)))</f>
      </c>
      <c r="AG37" s="26" cm="1">
        <f t="array" aca="1" ref="AG37" ca="1">IF($A37="","",_xlfn.XLOOKUP($A37,INDEX(BondList,0,1),INDEX(BondList,0,4)))</f>
      </c>
      <c r="AH37" s="33" cm="1">
        <f t="array" aca="1" ref="AH37" ca="1">IF($A37="","",_xlfn.XLOOKUP($A37,INDEX(BondList,0,1),INDEX(BondList,0,5)))</f>
      </c>
      <c r="AI37" s="29" cm="1">
        <f t="array" aca="1" ref="AI37" ca="1">IF($A37="","",_xlfn.XLOOKUP($B37,INDEX(SchemeTable,0,1),INDEX(SchemeTable,0,2),NA()))</f>
      </c>
      <c r="AJ37" s="33">
        <f ca="1">IF($A37="","",WORKDAY(TradeDate,1,Holidays))</f>
      </c>
      <c r="AK37" s="33">
        <f ca="1">IF($A37="","",WORKDAY($C37,$D37,Holidays))</f>
      </c>
      <c r="AL37" s="28">
        <f ca="1">IF($A37="","",NETWORKDAYS(TradeDate,$C37-1,Holidays)/252)</f>
      </c>
      <c r="AM37" s="28" cm="1">
        <f t="array" aca="1" ref="AM37" ca="1">IF($A37="","",JGB_AI($AE37,$AJ37,$AF37))</f>
      </c>
      <c r="AN37" s="28" cm="1">
        <f t="array" aca="1" ref="AN37" ca="1">IF($A37="","",JGB_AI($AE37,$AK37,$AF37))</f>
      </c>
      <c r="AO37" s="28" cm="1">
        <f t="array" aca="1" ref="AO37" ca="1">IF($A37="","",JGB_CARRY_COUPONS($AE37,$AF37,$AJ37,$AK37,$G37))</f>
      </c>
      <c r="AP37" s="28">
        <f t="shared" ca="1" si="7"/>
      </c>
      <c r="AQ37" s="26">
        <f t="shared" ca="1" si="8"/>
      </c>
      <c r="AR37" s="28">
        <f t="shared" ca="1" si="9"/>
      </c>
      <c r="AS37" s="31">
        <f t="shared" ca="1" si="10"/>
      </c>
      <c r="AT37" s="69">
        <f t="shared" ca="1" si="11"/>
      </c>
      <c r="AV37" s="67"/>
      <c r="AW37" s="28"/>
      <c r="AX37" s="31"/>
      <c r="AY37" s="30"/>
      <c r="AZ37" s="16"/>
      <c r="BA37" s="26"/>
      <c r="BB37" s="16"/>
      <c r="BC37" s="31"/>
      <c r="BD37" s="65"/>
    </row>
    <row r="38" spans="1:56" x14ac:dyDescent="0.55000000000000004">
      <c r="A38" s="38"/>
      <c r="B38" s="4"/>
      <c r="C38" s="6"/>
      <c r="D38" s="7"/>
      <c r="E38" s="42"/>
      <c r="F38" s="44"/>
      <c r="G38" s="9" cm="1">
        <f t="array" aca="1" ref="G38" ca="1">IF($A38="","",IF($F38&lt;&gt;"",$F38,_xlfn.LET(_xlpm.s,_xlfn.XLOOKUP($B38,INDEX(SchemeTable,0,1),INDEX(SchemeTable,0,3),""),_xlpm.r,_xlfn.SWITCH(_xlpm.s,"Bid",IF(ISBLANK(RepoBid),"",RepoBid),"Offer",IF(ISBLANK(RepoOffer),"",RepoOffer),""),IF(_xlpm.s="","Error: set repo side for "&amp;$B38,IF(_xlpm.r="","Error: enter repo "&amp;LOWER(_xlpm.s),_xlpm.r)))))</f>
      </c>
      <c r="H38" s="11"/>
      <c r="I38" s="9">
        <f t="shared" ca="1" si="0"/>
      </c>
      <c r="J38" s="46" cm="1">
        <f t="array" aca="1" ref="J38" ca="1">IF($A38="","",JGB_PRICE($AE38,$I38,$AJ38,$AF38))</f>
      </c>
      <c r="K38" s="48"/>
      <c r="L38" s="11"/>
      <c r="M38" s="10"/>
      <c r="N38" s="11"/>
      <c r="O38" s="50"/>
      <c r="P38" s="54">
        <f t="shared" ca="1" si="1"/>
      </c>
      <c r="Q38" s="56" cm="1">
        <f t="array" aca="1" ref="Q38" ca="1">IF($A38="","",_xlfn.LET(_xlpm.n,COUNTA($K38:$O38),IF($B38="ITMBW",IF(_xlpm.n=0,"ITMBW","Error: ITMBW takes no strike input"),IF(_xlpm.n=1,_xlfn.XLOOKUP(TRUE,$K38:$O38&lt;&gt;"",{"Spot +sen","Fwd +sen","Fwd price","ATM +bp","Yield"}),IF(_xlpm.n=0,"Error: enter one strike input","Error: enter only one strike input")))))</f>
      </c>
      <c r="R38" s="9" cm="1">
        <f t="array" aca="1" ref="R38" ca="1">IF($A38="","",_xlfn.SWITCH($Q38,"Spot +sen",ROUNDDOWN(ROUND($J38+$K38/100,9),3),"Fwd +sen",ROUNDDOWN(ROUND($P38+$L38/100,9),3),"Fwd price",$M38,"ATM +bp",JGB_PRICE($AE38,$I38+$N38/100,$C38,$AF38),"Yield",JGB_PRICE($AE38,$O38,$C38,$AF38),"ITMBW",IF($BA38="",NA(),$BA38),NA()))</f>
      </c>
      <c r="S38" s="46" cm="1">
        <f t="array" aca="1" ref="S38" ca="1">IF($A38="","",JGB_YIELD($AE38,$R38,$AK38,$AF38))</f>
      </c>
      <c r="T38" s="58"/>
      <c r="U38" s="1">
        <f ca="1">IF($A38="","",IF(OR($X38&lt;&gt;"",$V38&lt;&gt;""),$W38*SQRT(VolDays),IF($T38&lt;&gt;"",$T38,$AT38)))</f>
      </c>
      <c r="V38" s="70"/>
      <c r="W38" s="12">
        <f ca="1">IF($A38="","",IF($X38&lt;&gt;"",$X38*100/(SQRT(252)*$AS38),IF($V38&lt;&gt;"",$V38,IF($T38&lt;&gt;"",$T38,$AT38)/SQRT(VolDays))))</f>
      </c>
      <c r="X38" s="72"/>
      <c r="Y38" s="60">
        <f t="shared" ca="1" si="2"/>
      </c>
      <c r="Z38" s="62">
        <f t="shared" ca="1" si="3"/>
      </c>
      <c r="AA38" s="8">
        <f t="shared" ca="1" si="4"/>
      </c>
      <c r="AB38" s="9">
        <f t="shared" ca="1" si="5"/>
      </c>
      <c r="AD38" s="64">
        <f t="shared" ca="1" si="6"/>
      </c>
      <c r="AE38" s="66" cm="1">
        <f t="array" aca="1" ref="AE38" ca="1">IF($A38="","",_xlfn.XLOOKUP($A38,INDEX(BondList,0,1),INDEX(BondList,0,2)))</f>
      </c>
      <c r="AF38" s="3" cm="1">
        <f t="array" aca="1" ref="AF38" ca="1">IF($A38="","",_xlfn.XLOOKUP($A38,INDEX(BondList,0,1),INDEX(BondList,0,3)))</f>
      </c>
      <c r="AG38" s="9" cm="1">
        <f t="array" aca="1" ref="AG38" ca="1">IF($A38="","",_xlfn.XLOOKUP($A38,INDEX(BondList,0,1),INDEX(BondList,0,4)))</f>
      </c>
      <c r="AH38" s="3" cm="1">
        <f t="array" aca="1" ref="AH38" ca="1">IF($A38="","",_xlfn.XLOOKUP($A38,INDEX(BondList,0,1),INDEX(BondList,0,5)))</f>
      </c>
      <c r="AI38" s="20" cm="1">
        <f t="array" aca="1" ref="AI38" ca="1">IF($A38="","",_xlfn.XLOOKUP($B38,INDEX(SchemeTable,0,1),INDEX(SchemeTable,0,2),NA()))</f>
      </c>
      <c r="AJ38" s="3">
        <f ca="1">IF($A38="","",WORKDAY(TradeDate,1,Holidays))</f>
      </c>
      <c r="AK38" s="3">
        <f ca="1">IF($A38="","",WORKDAY($C38,$D38,Holidays))</f>
      </c>
      <c r="AL38" s="13">
        <f ca="1">IF($A38="","",NETWORKDAYS(TradeDate,$C38-1,Holidays)/252)</f>
      </c>
      <c r="AM38" s="13" cm="1">
        <f t="array" aca="1" ref="AM38" ca="1">IF($A38="","",JGB_AI($AE38,$AJ38,$AF38))</f>
      </c>
      <c r="AN38" s="13" cm="1">
        <f t="array" aca="1" ref="AN38" ca="1">IF($A38="","",JGB_AI($AE38,$AK38,$AF38))</f>
      </c>
      <c r="AO38" s="13" cm="1">
        <f t="array" aca="1" ref="AO38" ca="1">IF($A38="","",JGB_CARRY_COUPONS($AE38,$AF38,$AJ38,$AK38,$G38))</f>
      </c>
      <c r="AP38" s="13">
        <f t="shared" ca="1" si="7"/>
      </c>
      <c r="AQ38" s="9">
        <f t="shared" ca="1" si="8"/>
      </c>
      <c r="AR38" s="13">
        <f t="shared" ca="1" si="9"/>
      </c>
      <c r="AS38" s="12">
        <f t="shared" ca="1" si="10"/>
      </c>
      <c r="AT38" s="68">
        <f t="shared" ca="1" si="11"/>
      </c>
      <c r="AV38" s="66"/>
      <c r="AW38" s="13"/>
      <c r="AX38" s="12"/>
      <c r="AY38" s="1"/>
      <c r="BA38" s="9"/>
      <c r="BC38" s="12"/>
      <c r="BD38" s="64"/>
    </row>
    <row r="39" spans="1:56" x14ac:dyDescent="0.55000000000000004">
      <c r="A39" s="38"/>
      <c r="B39" s="4"/>
      <c r="C39" s="6"/>
      <c r="D39" s="7"/>
      <c r="E39" s="42"/>
      <c r="F39" s="44"/>
      <c r="G39" s="9" cm="1">
        <f t="array" aca="1" ref="G39" ca="1">IF($A39="","",IF($F39&lt;&gt;"",$F39,_xlfn.LET(_xlpm.s,_xlfn.XLOOKUP($B39,INDEX(SchemeTable,0,1),INDEX(SchemeTable,0,3),""),_xlpm.r,_xlfn.SWITCH(_xlpm.s,"Bid",IF(ISBLANK(RepoBid),"",RepoBid),"Offer",IF(ISBLANK(RepoOffer),"",RepoOffer),""),IF(_xlpm.s="","Error: set repo side for "&amp;$B39,IF(_xlpm.r="","Error: enter repo "&amp;LOWER(_xlpm.s),_xlpm.r)))))</f>
      </c>
      <c r="H39" s="11"/>
      <c r="I39" s="9">
        <f t="shared" ca="1" si="0"/>
      </c>
      <c r="J39" s="46" cm="1">
        <f t="array" aca="1" ref="J39" ca="1">IF($A39="","",JGB_PRICE($AE39,$I39,$AJ39,$AF39))</f>
      </c>
      <c r="K39" s="48"/>
      <c r="L39" s="11"/>
      <c r="M39" s="10"/>
      <c r="N39" s="11"/>
      <c r="O39" s="50"/>
      <c r="P39" s="54">
        <f t="shared" ca="1" si="1"/>
      </c>
      <c r="Q39" s="56" cm="1">
        <f t="array" aca="1" ref="Q39" ca="1">IF($A39="","",_xlfn.LET(_xlpm.n,COUNTA($K39:$O39),IF($B39="ITMBW",IF(_xlpm.n=0,"ITMBW","Error: ITMBW takes no strike input"),IF(_xlpm.n=1,_xlfn.XLOOKUP(TRUE,$K39:$O39&lt;&gt;"",{"Spot +sen","Fwd +sen","Fwd price","ATM +bp","Yield"}),IF(_xlpm.n=0,"Error: enter one strike input","Error: enter only one strike input")))))</f>
      </c>
      <c r="R39" s="9" cm="1">
        <f t="array" aca="1" ref="R39" ca="1">IF($A39="","",_xlfn.SWITCH($Q39,"Spot +sen",ROUNDDOWN(ROUND($J39+$K39/100,9),3),"Fwd +sen",ROUNDDOWN(ROUND($P39+$L39/100,9),3),"Fwd price",$M39,"ATM +bp",JGB_PRICE($AE39,$I39+$N39/100,$C39,$AF39),"Yield",JGB_PRICE($AE39,$O39,$C39,$AF39),"ITMBW",IF($BA39="",NA(),$BA39),NA()))</f>
      </c>
      <c r="S39" s="46" cm="1">
        <f t="array" aca="1" ref="S39" ca="1">IF($A39="","",JGB_YIELD($AE39,$R39,$AK39,$AF39))</f>
      </c>
      <c r="T39" s="58"/>
      <c r="U39" s="1">
        <f ca="1">IF($A39="","",IF(OR($X39&lt;&gt;"",$V39&lt;&gt;""),$W39*SQRT(VolDays),IF($T39&lt;&gt;"",$T39,$AT39)))</f>
      </c>
      <c r="V39" s="70"/>
      <c r="W39" s="12">
        <f ca="1">IF($A39="","",IF($X39&lt;&gt;"",$X39*100/(SQRT(252)*$AS39),IF($V39&lt;&gt;"",$V39,IF($T39&lt;&gt;"",$T39,$AT39)/SQRT(VolDays))))</f>
      </c>
      <c r="X39" s="72"/>
      <c r="Y39" s="60">
        <f t="shared" ca="1" si="2"/>
      </c>
      <c r="Z39" s="62">
        <f t="shared" ca="1" si="3"/>
      </c>
      <c r="AA39" s="8">
        <f t="shared" ca="1" si="4"/>
      </c>
      <c r="AB39" s="9">
        <f t="shared" ca="1" si="5"/>
      </c>
      <c r="AD39" s="64">
        <f t="shared" ca="1" si="6"/>
      </c>
      <c r="AE39" s="66" cm="1">
        <f t="array" aca="1" ref="AE39" ca="1">IF($A39="","",_xlfn.XLOOKUP($A39,INDEX(BondList,0,1),INDEX(BondList,0,2)))</f>
      </c>
      <c r="AF39" s="3" cm="1">
        <f t="array" aca="1" ref="AF39" ca="1">IF($A39="","",_xlfn.XLOOKUP($A39,INDEX(BondList,0,1),INDEX(BondList,0,3)))</f>
      </c>
      <c r="AG39" s="9" cm="1">
        <f t="array" aca="1" ref="AG39" ca="1">IF($A39="","",_xlfn.XLOOKUP($A39,INDEX(BondList,0,1),INDEX(BondList,0,4)))</f>
      </c>
      <c r="AH39" s="3" cm="1">
        <f t="array" aca="1" ref="AH39" ca="1">IF($A39="","",_xlfn.XLOOKUP($A39,INDEX(BondList,0,1),INDEX(BondList,0,5)))</f>
      </c>
      <c r="AI39" s="20" cm="1">
        <f t="array" aca="1" ref="AI39" ca="1">IF($A39="","",_xlfn.XLOOKUP($B39,INDEX(SchemeTable,0,1),INDEX(SchemeTable,0,2),NA()))</f>
      </c>
      <c r="AJ39" s="3">
        <f ca="1">IF($A39="","",WORKDAY(TradeDate,1,Holidays))</f>
      </c>
      <c r="AK39" s="3">
        <f ca="1">IF($A39="","",WORKDAY($C39,$D39,Holidays))</f>
      </c>
      <c r="AL39" s="13">
        <f ca="1">IF($A39="","",NETWORKDAYS(TradeDate,$C39-1,Holidays)/252)</f>
      </c>
      <c r="AM39" s="13" cm="1">
        <f t="array" aca="1" ref="AM39" ca="1">IF($A39="","",JGB_AI($AE39,$AJ39,$AF39))</f>
      </c>
      <c r="AN39" s="13" cm="1">
        <f t="array" aca="1" ref="AN39" ca="1">IF($A39="","",JGB_AI($AE39,$AK39,$AF39))</f>
      </c>
      <c r="AO39" s="13" cm="1">
        <f t="array" aca="1" ref="AO39" ca="1">IF($A39="","",JGB_CARRY_COUPONS($AE39,$AF39,$AJ39,$AK39,$G39))</f>
      </c>
      <c r="AP39" s="13">
        <f t="shared" ca="1" si="7"/>
      </c>
      <c r="AQ39" s="9">
        <f t="shared" ca="1" si="8"/>
      </c>
      <c r="AR39" s="13">
        <f t="shared" ca="1" si="9"/>
      </c>
      <c r="AS39" s="12">
        <f t="shared" ca="1" si="10"/>
      </c>
      <c r="AT39" s="68">
        <f t="shared" ca="1" si="11"/>
      </c>
      <c r="AV39" s="66"/>
      <c r="AW39" s="13"/>
      <c r="AX39" s="12"/>
      <c r="AY39" s="1"/>
      <c r="BA39" s="9"/>
      <c r="BC39" s="12"/>
      <c r="BD39" s="64"/>
    </row>
    <row r="40" spans="1:56" x14ac:dyDescent="0.55000000000000004">
      <c r="A40" s="38"/>
      <c r="B40" s="4"/>
      <c r="C40" s="6"/>
      <c r="D40" s="7"/>
      <c r="E40" s="42"/>
      <c r="F40" s="44"/>
      <c r="G40" s="9" cm="1">
        <f t="array" aca="1" ref="G40" ca="1">IF($A40="","",IF($F40&lt;&gt;"",$F40,_xlfn.LET(_xlpm.s,_xlfn.XLOOKUP($B40,INDEX(SchemeTable,0,1),INDEX(SchemeTable,0,3),""),_xlpm.r,_xlfn.SWITCH(_xlpm.s,"Bid",IF(ISBLANK(RepoBid),"",RepoBid),"Offer",IF(ISBLANK(RepoOffer),"",RepoOffer),""),IF(_xlpm.s="","Error: set repo side for "&amp;$B40,IF(_xlpm.r="","Error: enter repo "&amp;LOWER(_xlpm.s),_xlpm.r)))))</f>
      </c>
      <c r="H40" s="11"/>
      <c r="I40" s="9">
        <f t="shared" ref="I40:I71" ca="1" si="12">IF($A40="","",$AG40+N($H40)/100)</f>
      </c>
      <c r="J40" s="46" cm="1">
        <f t="array" aca="1" ref="J40" ca="1">IF($A40="","",JGB_PRICE($AE40,$I40,$AJ40,$AF40))</f>
      </c>
      <c r="K40" s="48"/>
      <c r="L40" s="11"/>
      <c r="M40" s="10"/>
      <c r="N40" s="11"/>
      <c r="O40" s="50"/>
      <c r="P40" s="54">
        <f t="shared" ref="P40:P71" ca="1" si="13">IF($A40="","",$AP40-$AN40)</f>
      </c>
      <c r="Q40" s="56" cm="1">
        <f t="array" aca="1" ref="Q40" ca="1">IF($A40="","",_xlfn.LET(_xlpm.n,COUNTA($K40:$O40),IF($B40="ITMBW",IF(_xlpm.n=0,"ITMBW","Error: ITMBW takes no strike input"),IF(_xlpm.n=1,_xlfn.XLOOKUP(TRUE,$K40:$O40&lt;&gt;"",{"Spot +sen","Fwd +sen","Fwd price","ATM +bp","Yield"}),IF(_xlpm.n=0,"Error: enter one strike input","Error: enter only one strike input")))))</f>
      </c>
      <c r="R40" s="9" cm="1">
        <f t="array" aca="1" ref="R40" ca="1">IF($A40="","",_xlfn.SWITCH($Q40,"Spot +sen",ROUNDDOWN(ROUND($J40+$K40/100,9),3),"Fwd +sen",ROUNDDOWN(ROUND($P40+$L40/100,9),3),"Fwd price",$M40,"ATM +bp",JGB_PRICE($AE40,$I40+$N40/100,$C40,$AF40),"Yield",JGB_PRICE($AE40,$O40,$C40,$AF40),"ITMBW",IF($BA40="",NA(),$BA40),NA()))</f>
      </c>
      <c r="S40" s="46" cm="1">
        <f t="array" aca="1" ref="S40" ca="1">IF($A40="","",JGB_YIELD($AE40,$R40,$AK40,$AF40))</f>
      </c>
      <c r="T40" s="58"/>
      <c r="U40" s="1">
        <f ca="1">IF($A40="","",IF(OR($X40&lt;&gt;"",$V40&lt;&gt;""),$W40*SQRT(VolDays),IF($T40&lt;&gt;"",$T40,$AT40)))</f>
      </c>
      <c r="V40" s="70"/>
      <c r="W40" s="12">
        <f ca="1">IF($A40="","",IF($X40&lt;&gt;"",$X40*100/(SQRT(252)*$AS40),IF($V40&lt;&gt;"",$V40,IF($T40&lt;&gt;"",$T40,$AT40)/SQRT(VolDays))))</f>
      </c>
      <c r="X40" s="72"/>
      <c r="Y40" s="60">
        <f t="shared" ref="Y40:Y71" ca="1" si="14">IF($A40="","",IF($X40&lt;&gt;"",$X40,$W40*SQRT(252)*$AS40/100))</f>
      </c>
      <c r="Z40" s="62">
        <f t="shared" ref="Z40:Z71" ca="1" si="15">IF($A40="","",IF($BC40="",NA(),$BC40*100))</f>
      </c>
      <c r="AA40" s="8">
        <f t="shared" ref="AA40:AA71" ca="1" si="16">IF(OR($A40="",$E40=""),"",$Z40*$E40*10000)</f>
      </c>
      <c r="AB40" s="9">
        <f t="shared" ref="AB40:AB71" ca="1" si="17">IF($A40="","",$R40+$Z40/100)</f>
      </c>
      <c r="AD40" s="64">
        <f t="shared" ref="AD40:AD71" ca="1" si="18">IF($A40="","",_xlfn.TEXTJOIN(" / ",TRUE,IF(ISTEXT($G40),$G40,""),IF(LEFT($Q40,5)="Error",$Q40,""),$AZ40,$BB40,$BD40))</f>
      </c>
      <c r="AE40" s="66" cm="1">
        <f t="array" aca="1" ref="AE40" ca="1">IF($A40="","",_xlfn.XLOOKUP($A40,INDEX(BondList,0,1),INDEX(BondList,0,2)))</f>
      </c>
      <c r="AF40" s="3" cm="1">
        <f t="array" aca="1" ref="AF40" ca="1">IF($A40="","",_xlfn.XLOOKUP($A40,INDEX(BondList,0,1),INDEX(BondList,0,3)))</f>
      </c>
      <c r="AG40" s="9" cm="1">
        <f t="array" aca="1" ref="AG40" ca="1">IF($A40="","",_xlfn.XLOOKUP($A40,INDEX(BondList,0,1),INDEX(BondList,0,4)))</f>
      </c>
      <c r="AH40" s="3" cm="1">
        <f t="array" aca="1" ref="AH40" ca="1">IF($A40="","",_xlfn.XLOOKUP($A40,INDEX(BondList,0,1),INDEX(BondList,0,5)))</f>
      </c>
      <c r="AI40" s="20" cm="1">
        <f t="array" aca="1" ref="AI40" ca="1">IF($A40="","",_xlfn.XLOOKUP($B40,INDEX(SchemeTable,0,1),INDEX(SchemeTable,0,2),NA()))</f>
      </c>
      <c r="AJ40" s="3">
        <f ca="1">IF($A40="","",WORKDAY(TradeDate,1,Holidays))</f>
      </c>
      <c r="AK40" s="3">
        <f ca="1">IF($A40="","",WORKDAY($C40,$D40,Holidays))</f>
      </c>
      <c r="AL40" s="13">
        <f ca="1">IF($A40="","",NETWORKDAYS(TradeDate,$C40-1,Holidays)/252)</f>
      </c>
      <c r="AM40" s="13" cm="1">
        <f t="array" aca="1" ref="AM40" ca="1">IF($A40="","",JGB_AI($AE40,$AJ40,$AF40))</f>
      </c>
      <c r="AN40" s="13" cm="1">
        <f t="array" aca="1" ref="AN40" ca="1">IF($A40="","",JGB_AI($AE40,$AK40,$AF40))</f>
      </c>
      <c r="AO40" s="13" cm="1">
        <f t="array" aca="1" ref="AO40" ca="1">IF($A40="","",JGB_CARRY_COUPONS($AE40,$AF40,$AJ40,$AK40,$G40))</f>
      </c>
      <c r="AP40" s="13">
        <f t="shared" ref="AP40:AP71" ca="1" si="19">IF($A40="","",($J40+$AM40)*(1+$G40/100*($AK40-$AJ40)/365)-$AO40)</f>
      </c>
      <c r="AQ40" s="9">
        <f t="shared" ref="AQ40:AQ71" ca="1" si="20">IF($A40="","",IF($AV40="",NA(),$AV40))</f>
      </c>
      <c r="AR40" s="13">
        <f t="shared" ref="AR40:AR71" ca="1" si="21">IF($A40="","",IF($AW40="",NA(),$AW40))</f>
      </c>
      <c r="AS40" s="12">
        <f t="shared" ref="AS40:AS71" ca="1" si="22">IF($A40="","",IF($AX40="",NA(),$AX40))</f>
      </c>
      <c r="AT40" s="68">
        <f t="shared" ref="AT40:AT71" ca="1" si="23">IF($A40="","",IF($AY40="",NA(),$AY40))</f>
      </c>
      <c r="AV40" s="66"/>
      <c r="AW40" s="13"/>
      <c r="AX40" s="12"/>
      <c r="AY40" s="1"/>
      <c r="BA40" s="9"/>
      <c r="BC40" s="12"/>
      <c r="BD40" s="64"/>
    </row>
    <row r="41" spans="1:56" x14ac:dyDescent="0.55000000000000004">
      <c r="A41" s="38"/>
      <c r="B41" s="4"/>
      <c r="C41" s="6"/>
      <c r="D41" s="7"/>
      <c r="E41" s="42"/>
      <c r="F41" s="44"/>
      <c r="G41" s="9" cm="1">
        <f t="array" aca="1" ref="G41" ca="1">IF($A41="","",IF($F41&lt;&gt;"",$F41,_xlfn.LET(_xlpm.s,_xlfn.XLOOKUP($B41,INDEX(SchemeTable,0,1),INDEX(SchemeTable,0,3),""),_xlpm.r,_xlfn.SWITCH(_xlpm.s,"Bid",IF(ISBLANK(RepoBid),"",RepoBid),"Offer",IF(ISBLANK(RepoOffer),"",RepoOffer),""),IF(_xlpm.s="","Error: set repo side for "&amp;$B41,IF(_xlpm.r="","Error: enter repo "&amp;LOWER(_xlpm.s),_xlpm.r)))))</f>
      </c>
      <c r="H41" s="11"/>
      <c r="I41" s="9">
        <f t="shared" ca="1" si="12"/>
      </c>
      <c r="J41" s="46" cm="1">
        <f t="array" aca="1" ref="J41" ca="1">IF($A41="","",JGB_PRICE($AE41,$I41,$AJ41,$AF41))</f>
      </c>
      <c r="K41" s="48"/>
      <c r="L41" s="11"/>
      <c r="M41" s="10"/>
      <c r="N41" s="11"/>
      <c r="O41" s="50"/>
      <c r="P41" s="54">
        <f t="shared" ca="1" si="13"/>
      </c>
      <c r="Q41" s="56" cm="1">
        <f t="array" aca="1" ref="Q41" ca="1">IF($A41="","",_xlfn.LET(_xlpm.n,COUNTA($K41:$O41),IF($B41="ITMBW",IF(_xlpm.n=0,"ITMBW","Error: ITMBW takes no strike input"),IF(_xlpm.n=1,_xlfn.XLOOKUP(TRUE,$K41:$O41&lt;&gt;"",{"Spot +sen","Fwd +sen","Fwd price","ATM +bp","Yield"}),IF(_xlpm.n=0,"Error: enter one strike input","Error: enter only one strike input")))))</f>
      </c>
      <c r="R41" s="9" cm="1">
        <f t="array" aca="1" ref="R41" ca="1">IF($A41="","",_xlfn.SWITCH($Q41,"Spot +sen",ROUNDDOWN(ROUND($J41+$K41/100,9),3),"Fwd +sen",ROUNDDOWN(ROUND($P41+$L41/100,9),3),"Fwd price",$M41,"ATM +bp",JGB_PRICE($AE41,$I41+$N41/100,$C41,$AF41),"Yield",JGB_PRICE($AE41,$O41,$C41,$AF41),"ITMBW",IF($BA41="",NA(),$BA41),NA()))</f>
      </c>
      <c r="S41" s="46" cm="1">
        <f t="array" aca="1" ref="S41" ca="1">IF($A41="","",JGB_YIELD($AE41,$R41,$AK41,$AF41))</f>
      </c>
      <c r="T41" s="58"/>
      <c r="U41" s="1">
        <f ca="1">IF($A41="","",IF(OR($X41&lt;&gt;"",$V41&lt;&gt;""),$W41*SQRT(VolDays),IF($T41&lt;&gt;"",$T41,$AT41)))</f>
      </c>
      <c r="V41" s="70"/>
      <c r="W41" s="12">
        <f ca="1">IF($A41="","",IF($X41&lt;&gt;"",$X41*100/(SQRT(252)*$AS41),IF($V41&lt;&gt;"",$V41,IF($T41&lt;&gt;"",$T41,$AT41)/SQRT(VolDays))))</f>
      </c>
      <c r="X41" s="72"/>
      <c r="Y41" s="60">
        <f t="shared" ca="1" si="14"/>
      </c>
      <c r="Z41" s="62">
        <f t="shared" ca="1" si="15"/>
      </c>
      <c r="AA41" s="8">
        <f t="shared" ca="1" si="16"/>
      </c>
      <c r="AB41" s="9">
        <f t="shared" ca="1" si="17"/>
      </c>
      <c r="AD41" s="64">
        <f t="shared" ca="1" si="18"/>
      </c>
      <c r="AE41" s="66" cm="1">
        <f t="array" aca="1" ref="AE41" ca="1">IF($A41="","",_xlfn.XLOOKUP($A41,INDEX(BondList,0,1),INDEX(BondList,0,2)))</f>
      </c>
      <c r="AF41" s="3" cm="1">
        <f t="array" aca="1" ref="AF41" ca="1">IF($A41="","",_xlfn.XLOOKUP($A41,INDEX(BondList,0,1),INDEX(BondList,0,3)))</f>
      </c>
      <c r="AG41" s="9" cm="1">
        <f t="array" aca="1" ref="AG41" ca="1">IF($A41="","",_xlfn.XLOOKUP($A41,INDEX(BondList,0,1),INDEX(BondList,0,4)))</f>
      </c>
      <c r="AH41" s="3" cm="1">
        <f t="array" aca="1" ref="AH41" ca="1">IF($A41="","",_xlfn.XLOOKUP($A41,INDEX(BondList,0,1),INDEX(BondList,0,5)))</f>
      </c>
      <c r="AI41" s="20" cm="1">
        <f t="array" aca="1" ref="AI41" ca="1">IF($A41="","",_xlfn.XLOOKUP($B41,INDEX(SchemeTable,0,1),INDEX(SchemeTable,0,2),NA()))</f>
      </c>
      <c r="AJ41" s="3">
        <f ca="1">IF($A41="","",WORKDAY(TradeDate,1,Holidays))</f>
      </c>
      <c r="AK41" s="3">
        <f ca="1">IF($A41="","",WORKDAY($C41,$D41,Holidays))</f>
      </c>
      <c r="AL41" s="13">
        <f ca="1">IF($A41="","",NETWORKDAYS(TradeDate,$C41-1,Holidays)/252)</f>
      </c>
      <c r="AM41" s="13" cm="1">
        <f t="array" aca="1" ref="AM41" ca="1">IF($A41="","",JGB_AI($AE41,$AJ41,$AF41))</f>
      </c>
      <c r="AN41" s="13" cm="1">
        <f t="array" aca="1" ref="AN41" ca="1">IF($A41="","",JGB_AI($AE41,$AK41,$AF41))</f>
      </c>
      <c r="AO41" s="13" cm="1">
        <f t="array" aca="1" ref="AO41" ca="1">IF($A41="","",JGB_CARRY_COUPONS($AE41,$AF41,$AJ41,$AK41,$G41))</f>
      </c>
      <c r="AP41" s="13">
        <f t="shared" ca="1" si="19"/>
      </c>
      <c r="AQ41" s="9">
        <f t="shared" ca="1" si="20"/>
      </c>
      <c r="AR41" s="13">
        <f t="shared" ca="1" si="21"/>
      </c>
      <c r="AS41" s="12">
        <f t="shared" ca="1" si="22"/>
      </c>
      <c r="AT41" s="68">
        <f t="shared" ca="1" si="23"/>
      </c>
      <c r="AV41" s="66"/>
      <c r="AW41" s="13"/>
      <c r="AX41" s="12"/>
      <c r="AY41" s="1"/>
      <c r="BA41" s="9"/>
      <c r="BC41" s="12"/>
      <c r="BD41" s="64"/>
    </row>
    <row r="42" spans="1:56" x14ac:dyDescent="0.55000000000000004">
      <c r="A42" s="39"/>
      <c r="B42" s="22"/>
      <c r="C42" s="23"/>
      <c r="D42" s="24"/>
      <c r="E42" s="43"/>
      <c r="F42" s="45"/>
      <c r="G42" s="26" cm="1">
        <f t="array" aca="1" ref="G42" ca="1">IF($A42="","",IF($F42&lt;&gt;"",$F42,_xlfn.LET(_xlpm.s,_xlfn.XLOOKUP($B42,INDEX(SchemeTable,0,1),INDEX(SchemeTable,0,3),""),_xlpm.r,_xlfn.SWITCH(_xlpm.s,"Bid",IF(ISBLANK(RepoBid),"",RepoBid),"Offer",IF(ISBLANK(RepoOffer),"",RepoOffer),""),IF(_xlpm.s="","Error: set repo side for "&amp;$B42,IF(_xlpm.r="","Error: enter repo "&amp;LOWER(_xlpm.s),_xlpm.r)))))</f>
      </c>
      <c r="H42" s="27"/>
      <c r="I42" s="26">
        <f t="shared" ca="1" si="12"/>
      </c>
      <c r="J42" s="47" cm="1">
        <f t="array" aca="1" ref="J42" ca="1">IF($A42="","",JGB_PRICE($AE42,$I42,$AJ42,$AF42))</f>
      </c>
      <c r="K42" s="49"/>
      <c r="L42" s="27"/>
      <c r="M42" s="25"/>
      <c r="N42" s="27"/>
      <c r="O42" s="51"/>
      <c r="P42" s="55">
        <f t="shared" ca="1" si="13"/>
      </c>
      <c r="Q42" s="57" cm="1">
        <f t="array" aca="1" ref="Q42" ca="1">IF($A42="","",_xlfn.LET(_xlpm.n,COUNTA($K42:$O42),IF($B42="ITMBW",IF(_xlpm.n=0,"ITMBW","Error: ITMBW takes no strike input"),IF(_xlpm.n=1,_xlfn.XLOOKUP(TRUE,$K42:$O42&lt;&gt;"",{"Spot +sen","Fwd +sen","Fwd price","ATM +bp","Yield"}),IF(_xlpm.n=0,"Error: enter one strike input","Error: enter only one strike input")))))</f>
      </c>
      <c r="R42" s="26" cm="1">
        <f t="array" aca="1" ref="R42" ca="1">IF($A42="","",_xlfn.SWITCH($Q42,"Spot +sen",ROUNDDOWN(ROUND($J42+$K42/100,9),3),"Fwd +sen",ROUNDDOWN(ROUND($P42+$L42/100,9),3),"Fwd price",$M42,"ATM +bp",JGB_PRICE($AE42,$I42+$N42/100,$C42,$AF42),"Yield",JGB_PRICE($AE42,$O42,$C42,$AF42),"ITMBW",IF($BA42="",NA(),$BA42),NA()))</f>
      </c>
      <c r="S42" s="47" cm="1">
        <f t="array" aca="1" ref="S42" ca="1">IF($A42="","",JGB_YIELD($AE42,$R42,$AK42,$AF42))</f>
      </c>
      <c r="T42" s="59"/>
      <c r="U42" s="30">
        <f ca="1">IF($A42="","",IF(OR($X42&lt;&gt;"",$V42&lt;&gt;""),$W42*SQRT(VolDays),IF($T42&lt;&gt;"",$T42,$AT42)))</f>
      </c>
      <c r="V42" s="71"/>
      <c r="W42" s="31">
        <f ca="1">IF($A42="","",IF($X42&lt;&gt;"",$X42*100/(SQRT(252)*$AS42),IF($V42&lt;&gt;"",$V42,IF($T42&lt;&gt;"",$T42,$AT42)/SQRT(VolDays))))</f>
      </c>
      <c r="X42" s="73"/>
      <c r="Y42" s="61">
        <f t="shared" ca="1" si="14"/>
      </c>
      <c r="Z42" s="63">
        <f t="shared" ca="1" si="15"/>
      </c>
      <c r="AA42" s="32">
        <f t="shared" ca="1" si="16"/>
      </c>
      <c r="AB42" s="26">
        <f t="shared" ca="1" si="17"/>
      </c>
      <c r="AC42" s="16"/>
      <c r="AD42" s="65">
        <f t="shared" ca="1" si="18"/>
      </c>
      <c r="AE42" s="67" cm="1">
        <f t="array" aca="1" ref="AE42" ca="1">IF($A42="","",_xlfn.XLOOKUP($A42,INDEX(BondList,0,1),INDEX(BondList,0,2)))</f>
      </c>
      <c r="AF42" s="33" cm="1">
        <f t="array" aca="1" ref="AF42" ca="1">IF($A42="","",_xlfn.XLOOKUP($A42,INDEX(BondList,0,1),INDEX(BondList,0,3)))</f>
      </c>
      <c r="AG42" s="26" cm="1">
        <f t="array" aca="1" ref="AG42" ca="1">IF($A42="","",_xlfn.XLOOKUP($A42,INDEX(BondList,0,1),INDEX(BondList,0,4)))</f>
      </c>
      <c r="AH42" s="33" cm="1">
        <f t="array" aca="1" ref="AH42" ca="1">IF($A42="","",_xlfn.XLOOKUP($A42,INDEX(BondList,0,1),INDEX(BondList,0,5)))</f>
      </c>
      <c r="AI42" s="29" cm="1">
        <f t="array" aca="1" ref="AI42" ca="1">IF($A42="","",_xlfn.XLOOKUP($B42,INDEX(SchemeTable,0,1),INDEX(SchemeTable,0,2),NA()))</f>
      </c>
      <c r="AJ42" s="33">
        <f ca="1">IF($A42="","",WORKDAY(TradeDate,1,Holidays))</f>
      </c>
      <c r="AK42" s="33">
        <f ca="1">IF($A42="","",WORKDAY($C42,$D42,Holidays))</f>
      </c>
      <c r="AL42" s="28">
        <f ca="1">IF($A42="","",NETWORKDAYS(TradeDate,$C42-1,Holidays)/252)</f>
      </c>
      <c r="AM42" s="28" cm="1">
        <f t="array" aca="1" ref="AM42" ca="1">IF($A42="","",JGB_AI($AE42,$AJ42,$AF42))</f>
      </c>
      <c r="AN42" s="28" cm="1">
        <f t="array" aca="1" ref="AN42" ca="1">IF($A42="","",JGB_AI($AE42,$AK42,$AF42))</f>
      </c>
      <c r="AO42" s="28" cm="1">
        <f t="array" aca="1" ref="AO42" ca="1">IF($A42="","",JGB_CARRY_COUPONS($AE42,$AF42,$AJ42,$AK42,$G42))</f>
      </c>
      <c r="AP42" s="28">
        <f t="shared" ca="1" si="19"/>
      </c>
      <c r="AQ42" s="26">
        <f t="shared" ca="1" si="20"/>
      </c>
      <c r="AR42" s="28">
        <f t="shared" ca="1" si="21"/>
      </c>
      <c r="AS42" s="31">
        <f t="shared" ca="1" si="22"/>
      </c>
      <c r="AT42" s="69">
        <f t="shared" ca="1" si="23"/>
      </c>
      <c r="AV42" s="67"/>
      <c r="AW42" s="28"/>
      <c r="AX42" s="31"/>
      <c r="AY42" s="30"/>
      <c r="AZ42" s="16"/>
      <c r="BA42" s="26"/>
      <c r="BB42" s="16"/>
      <c r="BC42" s="31"/>
      <c r="BD42" s="65"/>
    </row>
    <row r="43" spans="1:56" x14ac:dyDescent="0.55000000000000004">
      <c r="A43" s="38"/>
      <c r="B43" s="4"/>
      <c r="C43" s="6"/>
      <c r="D43" s="7"/>
      <c r="E43" s="42"/>
      <c r="F43" s="44"/>
      <c r="G43" s="9" cm="1">
        <f t="array" aca="1" ref="G43" ca="1">IF($A43="","",IF($F43&lt;&gt;"",$F43,_xlfn.LET(_xlpm.s,_xlfn.XLOOKUP($B43,INDEX(SchemeTable,0,1),INDEX(SchemeTable,0,3),""),_xlpm.r,_xlfn.SWITCH(_xlpm.s,"Bid",IF(ISBLANK(RepoBid),"",RepoBid),"Offer",IF(ISBLANK(RepoOffer),"",RepoOffer),""),IF(_xlpm.s="","Error: set repo side for "&amp;$B43,IF(_xlpm.r="","Error: enter repo "&amp;LOWER(_xlpm.s),_xlpm.r)))))</f>
      </c>
      <c r="H43" s="11"/>
      <c r="I43" s="9">
        <f t="shared" ca="1" si="12"/>
      </c>
      <c r="J43" s="46" cm="1">
        <f t="array" aca="1" ref="J43" ca="1">IF($A43="","",JGB_PRICE($AE43,$I43,$AJ43,$AF43))</f>
      </c>
      <c r="K43" s="48"/>
      <c r="L43" s="11"/>
      <c r="M43" s="10"/>
      <c r="N43" s="11"/>
      <c r="O43" s="50"/>
      <c r="P43" s="54">
        <f t="shared" ca="1" si="13"/>
      </c>
      <c r="Q43" s="56" cm="1">
        <f t="array" aca="1" ref="Q43" ca="1">IF($A43="","",_xlfn.LET(_xlpm.n,COUNTA($K43:$O43),IF($B43="ITMBW",IF(_xlpm.n=0,"ITMBW","Error: ITMBW takes no strike input"),IF(_xlpm.n=1,_xlfn.XLOOKUP(TRUE,$K43:$O43&lt;&gt;"",{"Spot +sen","Fwd +sen","Fwd price","ATM +bp","Yield"}),IF(_xlpm.n=0,"Error: enter one strike input","Error: enter only one strike input")))))</f>
      </c>
      <c r="R43" s="9" cm="1">
        <f t="array" aca="1" ref="R43" ca="1">IF($A43="","",_xlfn.SWITCH($Q43,"Spot +sen",ROUNDDOWN(ROUND($J43+$K43/100,9),3),"Fwd +sen",ROUNDDOWN(ROUND($P43+$L43/100,9),3),"Fwd price",$M43,"ATM +bp",JGB_PRICE($AE43,$I43+$N43/100,$C43,$AF43),"Yield",JGB_PRICE($AE43,$O43,$C43,$AF43),"ITMBW",IF($BA43="",NA(),$BA43),NA()))</f>
      </c>
      <c r="S43" s="46" cm="1">
        <f t="array" aca="1" ref="S43" ca="1">IF($A43="","",JGB_YIELD($AE43,$R43,$AK43,$AF43))</f>
      </c>
      <c r="T43" s="58"/>
      <c r="U43" s="1">
        <f ca="1">IF($A43="","",IF(OR($X43&lt;&gt;"",$V43&lt;&gt;""),$W43*SQRT(VolDays),IF($T43&lt;&gt;"",$T43,$AT43)))</f>
      </c>
      <c r="V43" s="70"/>
      <c r="W43" s="12">
        <f ca="1">IF($A43="","",IF($X43&lt;&gt;"",$X43*100/(SQRT(252)*$AS43),IF($V43&lt;&gt;"",$V43,IF($T43&lt;&gt;"",$T43,$AT43)/SQRT(VolDays))))</f>
      </c>
      <c r="X43" s="72"/>
      <c r="Y43" s="60">
        <f t="shared" ca="1" si="14"/>
      </c>
      <c r="Z43" s="62">
        <f t="shared" ca="1" si="15"/>
      </c>
      <c r="AA43" s="8">
        <f t="shared" ca="1" si="16"/>
      </c>
      <c r="AB43" s="9">
        <f t="shared" ca="1" si="17"/>
      </c>
      <c r="AD43" s="64">
        <f t="shared" ca="1" si="18"/>
      </c>
      <c r="AE43" s="66" cm="1">
        <f t="array" aca="1" ref="AE43" ca="1">IF($A43="","",_xlfn.XLOOKUP($A43,INDEX(BondList,0,1),INDEX(BondList,0,2)))</f>
      </c>
      <c r="AF43" s="3" cm="1">
        <f t="array" aca="1" ref="AF43" ca="1">IF($A43="","",_xlfn.XLOOKUP($A43,INDEX(BondList,0,1),INDEX(BondList,0,3)))</f>
      </c>
      <c r="AG43" s="9" cm="1">
        <f t="array" aca="1" ref="AG43" ca="1">IF($A43="","",_xlfn.XLOOKUP($A43,INDEX(BondList,0,1),INDEX(BondList,0,4)))</f>
      </c>
      <c r="AH43" s="3" cm="1">
        <f t="array" aca="1" ref="AH43" ca="1">IF($A43="","",_xlfn.XLOOKUP($A43,INDEX(BondList,0,1),INDEX(BondList,0,5)))</f>
      </c>
      <c r="AI43" s="20" cm="1">
        <f t="array" aca="1" ref="AI43" ca="1">IF($A43="","",_xlfn.XLOOKUP($B43,INDEX(SchemeTable,0,1),INDEX(SchemeTable,0,2),NA()))</f>
      </c>
      <c r="AJ43" s="3">
        <f ca="1">IF($A43="","",WORKDAY(TradeDate,1,Holidays))</f>
      </c>
      <c r="AK43" s="3">
        <f ca="1">IF($A43="","",WORKDAY($C43,$D43,Holidays))</f>
      </c>
      <c r="AL43" s="13">
        <f ca="1">IF($A43="","",NETWORKDAYS(TradeDate,$C43-1,Holidays)/252)</f>
      </c>
      <c r="AM43" s="13" cm="1">
        <f t="array" aca="1" ref="AM43" ca="1">IF($A43="","",JGB_AI($AE43,$AJ43,$AF43))</f>
      </c>
      <c r="AN43" s="13" cm="1">
        <f t="array" aca="1" ref="AN43" ca="1">IF($A43="","",JGB_AI($AE43,$AK43,$AF43))</f>
      </c>
      <c r="AO43" s="13" cm="1">
        <f t="array" aca="1" ref="AO43" ca="1">IF($A43="","",JGB_CARRY_COUPONS($AE43,$AF43,$AJ43,$AK43,$G43))</f>
      </c>
      <c r="AP43" s="13">
        <f t="shared" ca="1" si="19"/>
      </c>
      <c r="AQ43" s="9">
        <f t="shared" ca="1" si="20"/>
      </c>
      <c r="AR43" s="13">
        <f t="shared" ca="1" si="21"/>
      </c>
      <c r="AS43" s="12">
        <f t="shared" ca="1" si="22"/>
      </c>
      <c r="AT43" s="68">
        <f t="shared" ca="1" si="23"/>
      </c>
      <c r="AV43" s="66"/>
      <c r="AW43" s="13"/>
      <c r="AX43" s="12"/>
      <c r="AY43" s="1"/>
      <c r="BA43" s="9"/>
      <c r="BC43" s="12"/>
      <c r="BD43" s="64"/>
    </row>
    <row r="44" spans="1:56" x14ac:dyDescent="0.55000000000000004">
      <c r="A44" s="38"/>
      <c r="B44" s="4"/>
      <c r="C44" s="6"/>
      <c r="D44" s="7"/>
      <c r="E44" s="42"/>
      <c r="F44" s="44"/>
      <c r="G44" s="9" cm="1">
        <f t="array" aca="1" ref="G44" ca="1">IF($A44="","",IF($F44&lt;&gt;"",$F44,_xlfn.LET(_xlpm.s,_xlfn.XLOOKUP($B44,INDEX(SchemeTable,0,1),INDEX(SchemeTable,0,3),""),_xlpm.r,_xlfn.SWITCH(_xlpm.s,"Bid",IF(ISBLANK(RepoBid),"",RepoBid),"Offer",IF(ISBLANK(RepoOffer),"",RepoOffer),""),IF(_xlpm.s="","Error: set repo side for "&amp;$B44,IF(_xlpm.r="","Error: enter repo "&amp;LOWER(_xlpm.s),_xlpm.r)))))</f>
      </c>
      <c r="H44" s="11"/>
      <c r="I44" s="9">
        <f t="shared" ca="1" si="12"/>
      </c>
      <c r="J44" s="46" cm="1">
        <f t="array" aca="1" ref="J44" ca="1">IF($A44="","",JGB_PRICE($AE44,$I44,$AJ44,$AF44))</f>
      </c>
      <c r="K44" s="48"/>
      <c r="L44" s="11"/>
      <c r="M44" s="10"/>
      <c r="N44" s="11"/>
      <c r="O44" s="50"/>
      <c r="P44" s="54">
        <f t="shared" ca="1" si="13"/>
      </c>
      <c r="Q44" s="56" cm="1">
        <f t="array" aca="1" ref="Q44" ca="1">IF($A44="","",_xlfn.LET(_xlpm.n,COUNTA($K44:$O44),IF($B44="ITMBW",IF(_xlpm.n=0,"ITMBW","Error: ITMBW takes no strike input"),IF(_xlpm.n=1,_xlfn.XLOOKUP(TRUE,$K44:$O44&lt;&gt;"",{"Spot +sen","Fwd +sen","Fwd price","ATM +bp","Yield"}),IF(_xlpm.n=0,"Error: enter one strike input","Error: enter only one strike input")))))</f>
      </c>
      <c r="R44" s="9" cm="1">
        <f t="array" aca="1" ref="R44" ca="1">IF($A44="","",_xlfn.SWITCH($Q44,"Spot +sen",ROUNDDOWN(ROUND($J44+$K44/100,9),3),"Fwd +sen",ROUNDDOWN(ROUND($P44+$L44/100,9),3),"Fwd price",$M44,"ATM +bp",JGB_PRICE($AE44,$I44+$N44/100,$C44,$AF44),"Yield",JGB_PRICE($AE44,$O44,$C44,$AF44),"ITMBW",IF($BA44="",NA(),$BA44),NA()))</f>
      </c>
      <c r="S44" s="46" cm="1">
        <f t="array" aca="1" ref="S44" ca="1">IF($A44="","",JGB_YIELD($AE44,$R44,$AK44,$AF44))</f>
      </c>
      <c r="T44" s="58"/>
      <c r="U44" s="1">
        <f ca="1">IF($A44="","",IF(OR($X44&lt;&gt;"",$V44&lt;&gt;""),$W44*SQRT(VolDays),IF($T44&lt;&gt;"",$T44,$AT44)))</f>
      </c>
      <c r="V44" s="70"/>
      <c r="W44" s="12">
        <f ca="1">IF($A44="","",IF($X44&lt;&gt;"",$X44*100/(SQRT(252)*$AS44),IF($V44&lt;&gt;"",$V44,IF($T44&lt;&gt;"",$T44,$AT44)/SQRT(VolDays))))</f>
      </c>
      <c r="X44" s="72"/>
      <c r="Y44" s="60">
        <f t="shared" ca="1" si="14"/>
      </c>
      <c r="Z44" s="62">
        <f t="shared" ca="1" si="15"/>
      </c>
      <c r="AA44" s="8">
        <f t="shared" ca="1" si="16"/>
      </c>
      <c r="AB44" s="9">
        <f t="shared" ca="1" si="17"/>
      </c>
      <c r="AD44" s="64">
        <f t="shared" ca="1" si="18"/>
      </c>
      <c r="AE44" s="66" cm="1">
        <f t="array" aca="1" ref="AE44" ca="1">IF($A44="","",_xlfn.XLOOKUP($A44,INDEX(BondList,0,1),INDEX(BondList,0,2)))</f>
      </c>
      <c r="AF44" s="3" cm="1">
        <f t="array" aca="1" ref="AF44" ca="1">IF($A44="","",_xlfn.XLOOKUP($A44,INDEX(BondList,0,1),INDEX(BondList,0,3)))</f>
      </c>
      <c r="AG44" s="9" cm="1">
        <f t="array" aca="1" ref="AG44" ca="1">IF($A44="","",_xlfn.XLOOKUP($A44,INDEX(BondList,0,1),INDEX(BondList,0,4)))</f>
      </c>
      <c r="AH44" s="3" cm="1">
        <f t="array" aca="1" ref="AH44" ca="1">IF($A44="","",_xlfn.XLOOKUP($A44,INDEX(BondList,0,1),INDEX(BondList,0,5)))</f>
      </c>
      <c r="AI44" s="20" cm="1">
        <f t="array" aca="1" ref="AI44" ca="1">IF($A44="","",_xlfn.XLOOKUP($B44,INDEX(SchemeTable,0,1),INDEX(SchemeTable,0,2),NA()))</f>
      </c>
      <c r="AJ44" s="3">
        <f ca="1">IF($A44="","",WORKDAY(TradeDate,1,Holidays))</f>
      </c>
      <c r="AK44" s="3">
        <f ca="1">IF($A44="","",WORKDAY($C44,$D44,Holidays))</f>
      </c>
      <c r="AL44" s="13">
        <f ca="1">IF($A44="","",NETWORKDAYS(TradeDate,$C44-1,Holidays)/252)</f>
      </c>
      <c r="AM44" s="13" cm="1">
        <f t="array" aca="1" ref="AM44" ca="1">IF($A44="","",JGB_AI($AE44,$AJ44,$AF44))</f>
      </c>
      <c r="AN44" s="13" cm="1">
        <f t="array" aca="1" ref="AN44" ca="1">IF($A44="","",JGB_AI($AE44,$AK44,$AF44))</f>
      </c>
      <c r="AO44" s="13" cm="1">
        <f t="array" aca="1" ref="AO44" ca="1">IF($A44="","",JGB_CARRY_COUPONS($AE44,$AF44,$AJ44,$AK44,$G44))</f>
      </c>
      <c r="AP44" s="13">
        <f t="shared" ca="1" si="19"/>
      </c>
      <c r="AQ44" s="9">
        <f t="shared" ca="1" si="20"/>
      </c>
      <c r="AR44" s="13">
        <f t="shared" ca="1" si="21"/>
      </c>
      <c r="AS44" s="12">
        <f t="shared" ca="1" si="22"/>
      </c>
      <c r="AT44" s="68">
        <f t="shared" ca="1" si="23"/>
      </c>
      <c r="AV44" s="66"/>
      <c r="AW44" s="13"/>
      <c r="AX44" s="12"/>
      <c r="AY44" s="1"/>
      <c r="BA44" s="9"/>
      <c r="BC44" s="12"/>
      <c r="BD44" s="64"/>
    </row>
    <row r="45" spans="1:56" x14ac:dyDescent="0.55000000000000004">
      <c r="A45" s="38"/>
      <c r="B45" s="4"/>
      <c r="C45" s="6"/>
      <c r="D45" s="7"/>
      <c r="E45" s="42"/>
      <c r="F45" s="44"/>
      <c r="G45" s="9" cm="1">
        <f t="array" aca="1" ref="G45" ca="1">IF($A45="","",IF($F45&lt;&gt;"",$F45,_xlfn.LET(_xlpm.s,_xlfn.XLOOKUP($B45,INDEX(SchemeTable,0,1),INDEX(SchemeTable,0,3),""),_xlpm.r,_xlfn.SWITCH(_xlpm.s,"Bid",IF(ISBLANK(RepoBid),"",RepoBid),"Offer",IF(ISBLANK(RepoOffer),"",RepoOffer),""),IF(_xlpm.s="","Error: set repo side for "&amp;$B45,IF(_xlpm.r="","Error: enter repo "&amp;LOWER(_xlpm.s),_xlpm.r)))))</f>
      </c>
      <c r="H45" s="11"/>
      <c r="I45" s="9">
        <f t="shared" ca="1" si="12"/>
      </c>
      <c r="J45" s="46" cm="1">
        <f t="array" aca="1" ref="J45" ca="1">IF($A45="","",JGB_PRICE($AE45,$I45,$AJ45,$AF45))</f>
      </c>
      <c r="K45" s="48"/>
      <c r="L45" s="11"/>
      <c r="M45" s="10"/>
      <c r="N45" s="11"/>
      <c r="O45" s="50"/>
      <c r="P45" s="54">
        <f t="shared" ca="1" si="13"/>
      </c>
      <c r="Q45" s="56" cm="1">
        <f t="array" aca="1" ref="Q45" ca="1">IF($A45="","",_xlfn.LET(_xlpm.n,COUNTA($K45:$O45),IF($B45="ITMBW",IF(_xlpm.n=0,"ITMBW","Error: ITMBW takes no strike input"),IF(_xlpm.n=1,_xlfn.XLOOKUP(TRUE,$K45:$O45&lt;&gt;"",{"Spot +sen","Fwd +sen","Fwd price","ATM +bp","Yield"}),IF(_xlpm.n=0,"Error: enter one strike input","Error: enter only one strike input")))))</f>
      </c>
      <c r="R45" s="9" cm="1">
        <f t="array" aca="1" ref="R45" ca="1">IF($A45="","",_xlfn.SWITCH($Q45,"Spot +sen",ROUNDDOWN(ROUND($J45+$K45/100,9),3),"Fwd +sen",ROUNDDOWN(ROUND($P45+$L45/100,9),3),"Fwd price",$M45,"ATM +bp",JGB_PRICE($AE45,$I45+$N45/100,$C45,$AF45),"Yield",JGB_PRICE($AE45,$O45,$C45,$AF45),"ITMBW",IF($BA45="",NA(),$BA45),NA()))</f>
      </c>
      <c r="S45" s="46" cm="1">
        <f t="array" aca="1" ref="S45" ca="1">IF($A45="","",JGB_YIELD($AE45,$R45,$AK45,$AF45))</f>
      </c>
      <c r="T45" s="58"/>
      <c r="U45" s="1">
        <f ca="1">IF($A45="","",IF(OR($X45&lt;&gt;"",$V45&lt;&gt;""),$W45*SQRT(VolDays),IF($T45&lt;&gt;"",$T45,$AT45)))</f>
      </c>
      <c r="V45" s="70"/>
      <c r="W45" s="12">
        <f ca="1">IF($A45="","",IF($X45&lt;&gt;"",$X45*100/(SQRT(252)*$AS45),IF($V45&lt;&gt;"",$V45,IF($T45&lt;&gt;"",$T45,$AT45)/SQRT(VolDays))))</f>
      </c>
      <c r="X45" s="72"/>
      <c r="Y45" s="60">
        <f t="shared" ca="1" si="14"/>
      </c>
      <c r="Z45" s="62">
        <f t="shared" ca="1" si="15"/>
      </c>
      <c r="AA45" s="8">
        <f t="shared" ca="1" si="16"/>
      </c>
      <c r="AB45" s="9">
        <f t="shared" ca="1" si="17"/>
      </c>
      <c r="AD45" s="64">
        <f t="shared" ca="1" si="18"/>
      </c>
      <c r="AE45" s="66" cm="1">
        <f t="array" aca="1" ref="AE45" ca="1">IF($A45="","",_xlfn.XLOOKUP($A45,INDEX(BondList,0,1),INDEX(BondList,0,2)))</f>
      </c>
      <c r="AF45" s="3" cm="1">
        <f t="array" aca="1" ref="AF45" ca="1">IF($A45="","",_xlfn.XLOOKUP($A45,INDEX(BondList,0,1),INDEX(BondList,0,3)))</f>
      </c>
      <c r="AG45" s="9" cm="1">
        <f t="array" aca="1" ref="AG45" ca="1">IF($A45="","",_xlfn.XLOOKUP($A45,INDEX(BondList,0,1),INDEX(BondList,0,4)))</f>
      </c>
      <c r="AH45" s="3" cm="1">
        <f t="array" aca="1" ref="AH45" ca="1">IF($A45="","",_xlfn.XLOOKUP($A45,INDEX(BondList,0,1),INDEX(BondList,0,5)))</f>
      </c>
      <c r="AI45" s="20" cm="1">
        <f t="array" aca="1" ref="AI45" ca="1">IF($A45="","",_xlfn.XLOOKUP($B45,INDEX(SchemeTable,0,1),INDEX(SchemeTable,0,2),NA()))</f>
      </c>
      <c r="AJ45" s="3">
        <f ca="1">IF($A45="","",WORKDAY(TradeDate,1,Holidays))</f>
      </c>
      <c r="AK45" s="3">
        <f ca="1">IF($A45="","",WORKDAY($C45,$D45,Holidays))</f>
      </c>
      <c r="AL45" s="13">
        <f ca="1">IF($A45="","",NETWORKDAYS(TradeDate,$C45-1,Holidays)/252)</f>
      </c>
      <c r="AM45" s="13" cm="1">
        <f t="array" aca="1" ref="AM45" ca="1">IF($A45="","",JGB_AI($AE45,$AJ45,$AF45))</f>
      </c>
      <c r="AN45" s="13" cm="1">
        <f t="array" aca="1" ref="AN45" ca="1">IF($A45="","",JGB_AI($AE45,$AK45,$AF45))</f>
      </c>
      <c r="AO45" s="13" cm="1">
        <f t="array" aca="1" ref="AO45" ca="1">IF($A45="","",JGB_CARRY_COUPONS($AE45,$AF45,$AJ45,$AK45,$G45))</f>
      </c>
      <c r="AP45" s="13">
        <f t="shared" ca="1" si="19"/>
      </c>
      <c r="AQ45" s="9">
        <f t="shared" ca="1" si="20"/>
      </c>
      <c r="AR45" s="13">
        <f t="shared" ca="1" si="21"/>
      </c>
      <c r="AS45" s="12">
        <f t="shared" ca="1" si="22"/>
      </c>
      <c r="AT45" s="68">
        <f t="shared" ca="1" si="23"/>
      </c>
      <c r="AV45" s="66"/>
      <c r="AW45" s="13"/>
      <c r="AX45" s="12"/>
      <c r="AY45" s="1"/>
      <c r="BA45" s="9"/>
      <c r="BC45" s="12"/>
      <c r="BD45" s="64"/>
    </row>
    <row r="46" spans="1:56" x14ac:dyDescent="0.55000000000000004">
      <c r="A46" s="38"/>
      <c r="B46" s="4"/>
      <c r="C46" s="6"/>
      <c r="D46" s="7"/>
      <c r="E46" s="42"/>
      <c r="F46" s="44"/>
      <c r="G46" s="9" cm="1">
        <f t="array" aca="1" ref="G46" ca="1">IF($A46="","",IF($F46&lt;&gt;"",$F46,_xlfn.LET(_xlpm.s,_xlfn.XLOOKUP($B46,INDEX(SchemeTable,0,1),INDEX(SchemeTable,0,3),""),_xlpm.r,_xlfn.SWITCH(_xlpm.s,"Bid",IF(ISBLANK(RepoBid),"",RepoBid),"Offer",IF(ISBLANK(RepoOffer),"",RepoOffer),""),IF(_xlpm.s="","Error: set repo side for "&amp;$B46,IF(_xlpm.r="","Error: enter repo "&amp;LOWER(_xlpm.s),_xlpm.r)))))</f>
      </c>
      <c r="H46" s="11"/>
      <c r="I46" s="9">
        <f t="shared" ca="1" si="12"/>
      </c>
      <c r="J46" s="46" cm="1">
        <f t="array" aca="1" ref="J46" ca="1">IF($A46="","",JGB_PRICE($AE46,$I46,$AJ46,$AF46))</f>
      </c>
      <c r="K46" s="48"/>
      <c r="L46" s="11"/>
      <c r="M46" s="10"/>
      <c r="N46" s="11"/>
      <c r="O46" s="50"/>
      <c r="P46" s="54">
        <f t="shared" ca="1" si="13"/>
      </c>
      <c r="Q46" s="56" cm="1">
        <f t="array" aca="1" ref="Q46" ca="1">IF($A46="","",_xlfn.LET(_xlpm.n,COUNTA($K46:$O46),IF($B46="ITMBW",IF(_xlpm.n=0,"ITMBW","Error: ITMBW takes no strike input"),IF(_xlpm.n=1,_xlfn.XLOOKUP(TRUE,$K46:$O46&lt;&gt;"",{"Spot +sen","Fwd +sen","Fwd price","ATM +bp","Yield"}),IF(_xlpm.n=0,"Error: enter one strike input","Error: enter only one strike input")))))</f>
      </c>
      <c r="R46" s="9" cm="1">
        <f t="array" aca="1" ref="R46" ca="1">IF($A46="","",_xlfn.SWITCH($Q46,"Spot +sen",ROUNDDOWN(ROUND($J46+$K46/100,9),3),"Fwd +sen",ROUNDDOWN(ROUND($P46+$L46/100,9),3),"Fwd price",$M46,"ATM +bp",JGB_PRICE($AE46,$I46+$N46/100,$C46,$AF46),"Yield",JGB_PRICE($AE46,$O46,$C46,$AF46),"ITMBW",IF($BA46="",NA(),$BA46),NA()))</f>
      </c>
      <c r="S46" s="46" cm="1">
        <f t="array" aca="1" ref="S46" ca="1">IF($A46="","",JGB_YIELD($AE46,$R46,$AK46,$AF46))</f>
      </c>
      <c r="T46" s="58"/>
      <c r="U46" s="1">
        <f ca="1">IF($A46="","",IF(OR($X46&lt;&gt;"",$V46&lt;&gt;""),$W46*SQRT(VolDays),IF($T46&lt;&gt;"",$T46,$AT46)))</f>
      </c>
      <c r="V46" s="70"/>
      <c r="W46" s="12">
        <f ca="1">IF($A46="","",IF($X46&lt;&gt;"",$X46*100/(SQRT(252)*$AS46),IF($V46&lt;&gt;"",$V46,IF($T46&lt;&gt;"",$T46,$AT46)/SQRT(VolDays))))</f>
      </c>
      <c r="X46" s="72"/>
      <c r="Y46" s="60">
        <f t="shared" ca="1" si="14"/>
      </c>
      <c r="Z46" s="62">
        <f t="shared" ca="1" si="15"/>
      </c>
      <c r="AA46" s="8">
        <f t="shared" ca="1" si="16"/>
      </c>
      <c r="AB46" s="9">
        <f t="shared" ca="1" si="17"/>
      </c>
      <c r="AD46" s="64">
        <f t="shared" ca="1" si="18"/>
      </c>
      <c r="AE46" s="66" cm="1">
        <f t="array" aca="1" ref="AE46" ca="1">IF($A46="","",_xlfn.XLOOKUP($A46,INDEX(BondList,0,1),INDEX(BondList,0,2)))</f>
      </c>
      <c r="AF46" s="3" cm="1">
        <f t="array" aca="1" ref="AF46" ca="1">IF($A46="","",_xlfn.XLOOKUP($A46,INDEX(BondList,0,1),INDEX(BondList,0,3)))</f>
      </c>
      <c r="AG46" s="9" cm="1">
        <f t="array" aca="1" ref="AG46" ca="1">IF($A46="","",_xlfn.XLOOKUP($A46,INDEX(BondList,0,1),INDEX(BondList,0,4)))</f>
      </c>
      <c r="AH46" s="3" cm="1">
        <f t="array" aca="1" ref="AH46" ca="1">IF($A46="","",_xlfn.XLOOKUP($A46,INDEX(BondList,0,1),INDEX(BondList,0,5)))</f>
      </c>
      <c r="AI46" s="20" cm="1">
        <f t="array" aca="1" ref="AI46" ca="1">IF($A46="","",_xlfn.XLOOKUP($B46,INDEX(SchemeTable,0,1),INDEX(SchemeTable,0,2),NA()))</f>
      </c>
      <c r="AJ46" s="3">
        <f ca="1">IF($A46="","",WORKDAY(TradeDate,1,Holidays))</f>
      </c>
      <c r="AK46" s="3">
        <f ca="1">IF($A46="","",WORKDAY($C46,$D46,Holidays))</f>
      </c>
      <c r="AL46" s="13">
        <f ca="1">IF($A46="","",NETWORKDAYS(TradeDate,$C46-1,Holidays)/252)</f>
      </c>
      <c r="AM46" s="13" cm="1">
        <f t="array" aca="1" ref="AM46" ca="1">IF($A46="","",JGB_AI($AE46,$AJ46,$AF46))</f>
      </c>
      <c r="AN46" s="13" cm="1">
        <f t="array" aca="1" ref="AN46" ca="1">IF($A46="","",JGB_AI($AE46,$AK46,$AF46))</f>
      </c>
      <c r="AO46" s="13" cm="1">
        <f t="array" aca="1" ref="AO46" ca="1">IF($A46="","",JGB_CARRY_COUPONS($AE46,$AF46,$AJ46,$AK46,$G46))</f>
      </c>
      <c r="AP46" s="13">
        <f t="shared" ca="1" si="19"/>
      </c>
      <c r="AQ46" s="9">
        <f t="shared" ca="1" si="20"/>
      </c>
      <c r="AR46" s="13">
        <f t="shared" ca="1" si="21"/>
      </c>
      <c r="AS46" s="12">
        <f t="shared" ca="1" si="22"/>
      </c>
      <c r="AT46" s="68">
        <f t="shared" ca="1" si="23"/>
      </c>
      <c r="AV46" s="66"/>
      <c r="AW46" s="13"/>
      <c r="AX46" s="12"/>
      <c r="AY46" s="1"/>
      <c r="BA46" s="9"/>
      <c r="BC46" s="12"/>
      <c r="BD46" s="64"/>
    </row>
    <row r="47" spans="1:56" x14ac:dyDescent="0.55000000000000004">
      <c r="A47" s="39"/>
      <c r="B47" s="22"/>
      <c r="C47" s="23"/>
      <c r="D47" s="24"/>
      <c r="E47" s="43"/>
      <c r="F47" s="45"/>
      <c r="G47" s="26" cm="1">
        <f t="array" aca="1" ref="G47" ca="1">IF($A47="","",IF($F47&lt;&gt;"",$F47,_xlfn.LET(_xlpm.s,_xlfn.XLOOKUP($B47,INDEX(SchemeTable,0,1),INDEX(SchemeTable,0,3),""),_xlpm.r,_xlfn.SWITCH(_xlpm.s,"Bid",IF(ISBLANK(RepoBid),"",RepoBid),"Offer",IF(ISBLANK(RepoOffer),"",RepoOffer),""),IF(_xlpm.s="","Error: set repo side for "&amp;$B47,IF(_xlpm.r="","Error: enter repo "&amp;LOWER(_xlpm.s),_xlpm.r)))))</f>
      </c>
      <c r="H47" s="27"/>
      <c r="I47" s="26">
        <f t="shared" ca="1" si="12"/>
      </c>
      <c r="J47" s="47" cm="1">
        <f t="array" aca="1" ref="J47" ca="1">IF($A47="","",JGB_PRICE($AE47,$I47,$AJ47,$AF47))</f>
      </c>
      <c r="K47" s="49"/>
      <c r="L47" s="27"/>
      <c r="M47" s="25"/>
      <c r="N47" s="27"/>
      <c r="O47" s="51"/>
      <c r="P47" s="55">
        <f t="shared" ca="1" si="13"/>
      </c>
      <c r="Q47" s="57" cm="1">
        <f t="array" aca="1" ref="Q47" ca="1">IF($A47="","",_xlfn.LET(_xlpm.n,COUNTA($K47:$O47),IF($B47="ITMBW",IF(_xlpm.n=0,"ITMBW","Error: ITMBW takes no strike input"),IF(_xlpm.n=1,_xlfn.XLOOKUP(TRUE,$K47:$O47&lt;&gt;"",{"Spot +sen","Fwd +sen","Fwd price","ATM +bp","Yield"}),IF(_xlpm.n=0,"Error: enter one strike input","Error: enter only one strike input")))))</f>
      </c>
      <c r="R47" s="26" cm="1">
        <f t="array" aca="1" ref="R47" ca="1">IF($A47="","",_xlfn.SWITCH($Q47,"Spot +sen",ROUNDDOWN(ROUND($J47+$K47/100,9),3),"Fwd +sen",ROUNDDOWN(ROUND($P47+$L47/100,9),3),"Fwd price",$M47,"ATM +bp",JGB_PRICE($AE47,$I47+$N47/100,$C47,$AF47),"Yield",JGB_PRICE($AE47,$O47,$C47,$AF47),"ITMBW",IF($BA47="",NA(),$BA47),NA()))</f>
      </c>
      <c r="S47" s="47" cm="1">
        <f t="array" aca="1" ref="S47" ca="1">IF($A47="","",JGB_YIELD($AE47,$R47,$AK47,$AF47))</f>
      </c>
      <c r="T47" s="59"/>
      <c r="U47" s="30">
        <f ca="1">IF($A47="","",IF(OR($X47&lt;&gt;"",$V47&lt;&gt;""),$W47*SQRT(VolDays),IF($T47&lt;&gt;"",$T47,$AT47)))</f>
      </c>
      <c r="V47" s="71"/>
      <c r="W47" s="31">
        <f ca="1">IF($A47="","",IF($X47&lt;&gt;"",$X47*100/(SQRT(252)*$AS47),IF($V47&lt;&gt;"",$V47,IF($T47&lt;&gt;"",$T47,$AT47)/SQRT(VolDays))))</f>
      </c>
      <c r="X47" s="73"/>
      <c r="Y47" s="61">
        <f t="shared" ca="1" si="14"/>
      </c>
      <c r="Z47" s="63">
        <f t="shared" ca="1" si="15"/>
      </c>
      <c r="AA47" s="32">
        <f t="shared" ca="1" si="16"/>
      </c>
      <c r="AB47" s="26">
        <f t="shared" ca="1" si="17"/>
      </c>
      <c r="AC47" s="16"/>
      <c r="AD47" s="65">
        <f t="shared" ca="1" si="18"/>
      </c>
      <c r="AE47" s="67" cm="1">
        <f t="array" aca="1" ref="AE47" ca="1">IF($A47="","",_xlfn.XLOOKUP($A47,INDEX(BondList,0,1),INDEX(BondList,0,2)))</f>
      </c>
      <c r="AF47" s="33" cm="1">
        <f t="array" aca="1" ref="AF47" ca="1">IF($A47="","",_xlfn.XLOOKUP($A47,INDEX(BondList,0,1),INDEX(BondList,0,3)))</f>
      </c>
      <c r="AG47" s="26" cm="1">
        <f t="array" aca="1" ref="AG47" ca="1">IF($A47="","",_xlfn.XLOOKUP($A47,INDEX(BondList,0,1),INDEX(BondList,0,4)))</f>
      </c>
      <c r="AH47" s="33" cm="1">
        <f t="array" aca="1" ref="AH47" ca="1">IF($A47="","",_xlfn.XLOOKUP($A47,INDEX(BondList,0,1),INDEX(BondList,0,5)))</f>
      </c>
      <c r="AI47" s="29" cm="1">
        <f t="array" aca="1" ref="AI47" ca="1">IF($A47="","",_xlfn.XLOOKUP($B47,INDEX(SchemeTable,0,1),INDEX(SchemeTable,0,2),NA()))</f>
      </c>
      <c r="AJ47" s="33">
        <f ca="1">IF($A47="","",WORKDAY(TradeDate,1,Holidays))</f>
      </c>
      <c r="AK47" s="33">
        <f ca="1">IF($A47="","",WORKDAY($C47,$D47,Holidays))</f>
      </c>
      <c r="AL47" s="28">
        <f ca="1">IF($A47="","",NETWORKDAYS(TradeDate,$C47-1,Holidays)/252)</f>
      </c>
      <c r="AM47" s="28" cm="1">
        <f t="array" aca="1" ref="AM47" ca="1">IF($A47="","",JGB_AI($AE47,$AJ47,$AF47))</f>
      </c>
      <c r="AN47" s="28" cm="1">
        <f t="array" aca="1" ref="AN47" ca="1">IF($A47="","",JGB_AI($AE47,$AK47,$AF47))</f>
      </c>
      <c r="AO47" s="28" cm="1">
        <f t="array" aca="1" ref="AO47" ca="1">IF($A47="","",JGB_CARRY_COUPONS($AE47,$AF47,$AJ47,$AK47,$G47))</f>
      </c>
      <c r="AP47" s="28">
        <f t="shared" ca="1" si="19"/>
      </c>
      <c r="AQ47" s="26">
        <f t="shared" ca="1" si="20"/>
      </c>
      <c r="AR47" s="28">
        <f t="shared" ca="1" si="21"/>
      </c>
      <c r="AS47" s="31">
        <f t="shared" ca="1" si="22"/>
      </c>
      <c r="AT47" s="69">
        <f t="shared" ca="1" si="23"/>
      </c>
      <c r="AV47" s="67"/>
      <c r="AW47" s="28"/>
      <c r="AX47" s="31"/>
      <c r="AY47" s="30"/>
      <c r="AZ47" s="16"/>
      <c r="BA47" s="26"/>
      <c r="BB47" s="16"/>
      <c r="BC47" s="31"/>
      <c r="BD47" s="65"/>
    </row>
    <row r="48" spans="1:56" x14ac:dyDescent="0.55000000000000004">
      <c r="A48" s="38"/>
      <c r="B48" s="4"/>
      <c r="C48" s="6"/>
      <c r="D48" s="7"/>
      <c r="E48" s="42"/>
      <c r="F48" s="44"/>
      <c r="G48" s="9" cm="1">
        <f t="array" aca="1" ref="G48" ca="1">IF($A48="","",IF($F48&lt;&gt;"",$F48,_xlfn.LET(_xlpm.s,_xlfn.XLOOKUP($B48,INDEX(SchemeTable,0,1),INDEX(SchemeTable,0,3),""),_xlpm.r,_xlfn.SWITCH(_xlpm.s,"Bid",IF(ISBLANK(RepoBid),"",RepoBid),"Offer",IF(ISBLANK(RepoOffer),"",RepoOffer),""),IF(_xlpm.s="","Error: set repo side for "&amp;$B48,IF(_xlpm.r="","Error: enter repo "&amp;LOWER(_xlpm.s),_xlpm.r)))))</f>
      </c>
      <c r="H48" s="11"/>
      <c r="I48" s="9">
        <f t="shared" ca="1" si="12"/>
      </c>
      <c r="J48" s="46" cm="1">
        <f t="array" aca="1" ref="J48" ca="1">IF($A48="","",JGB_PRICE($AE48,$I48,$AJ48,$AF48))</f>
      </c>
      <c r="K48" s="48"/>
      <c r="L48" s="11"/>
      <c r="M48" s="10"/>
      <c r="N48" s="11"/>
      <c r="O48" s="50"/>
      <c r="P48" s="54">
        <f t="shared" ca="1" si="13"/>
      </c>
      <c r="Q48" s="56" cm="1">
        <f t="array" aca="1" ref="Q48" ca="1">IF($A48="","",_xlfn.LET(_xlpm.n,COUNTA($K48:$O48),IF($B48="ITMBW",IF(_xlpm.n=0,"ITMBW","Error: ITMBW takes no strike input"),IF(_xlpm.n=1,_xlfn.XLOOKUP(TRUE,$K48:$O48&lt;&gt;"",{"Spot +sen","Fwd +sen","Fwd price","ATM +bp","Yield"}),IF(_xlpm.n=0,"Error: enter one strike input","Error: enter only one strike input")))))</f>
      </c>
      <c r="R48" s="9" cm="1">
        <f t="array" aca="1" ref="R48" ca="1">IF($A48="","",_xlfn.SWITCH($Q48,"Spot +sen",ROUNDDOWN(ROUND($J48+$K48/100,9),3),"Fwd +sen",ROUNDDOWN(ROUND($P48+$L48/100,9),3),"Fwd price",$M48,"ATM +bp",JGB_PRICE($AE48,$I48+$N48/100,$C48,$AF48),"Yield",JGB_PRICE($AE48,$O48,$C48,$AF48),"ITMBW",IF($BA48="",NA(),$BA48),NA()))</f>
      </c>
      <c r="S48" s="46" cm="1">
        <f t="array" aca="1" ref="S48" ca="1">IF($A48="","",JGB_YIELD($AE48,$R48,$AK48,$AF48))</f>
      </c>
      <c r="T48" s="58"/>
      <c r="U48" s="1">
        <f ca="1">IF($A48="","",IF(OR($X48&lt;&gt;"",$V48&lt;&gt;""),$W48*SQRT(VolDays),IF($T48&lt;&gt;"",$T48,$AT48)))</f>
      </c>
      <c r="V48" s="70"/>
      <c r="W48" s="12">
        <f ca="1">IF($A48="","",IF($X48&lt;&gt;"",$X48*100/(SQRT(252)*$AS48),IF($V48&lt;&gt;"",$V48,IF($T48&lt;&gt;"",$T48,$AT48)/SQRT(VolDays))))</f>
      </c>
      <c r="X48" s="72"/>
      <c r="Y48" s="60">
        <f t="shared" ca="1" si="14"/>
      </c>
      <c r="Z48" s="62">
        <f t="shared" ca="1" si="15"/>
      </c>
      <c r="AA48" s="8">
        <f t="shared" ca="1" si="16"/>
      </c>
      <c r="AB48" s="9">
        <f t="shared" ca="1" si="17"/>
      </c>
      <c r="AD48" s="64">
        <f t="shared" ca="1" si="18"/>
      </c>
      <c r="AE48" s="66" cm="1">
        <f t="array" aca="1" ref="AE48" ca="1">IF($A48="","",_xlfn.XLOOKUP($A48,INDEX(BondList,0,1),INDEX(BondList,0,2)))</f>
      </c>
      <c r="AF48" s="3" cm="1">
        <f t="array" aca="1" ref="AF48" ca="1">IF($A48="","",_xlfn.XLOOKUP($A48,INDEX(BondList,0,1),INDEX(BondList,0,3)))</f>
      </c>
      <c r="AG48" s="9" cm="1">
        <f t="array" aca="1" ref="AG48" ca="1">IF($A48="","",_xlfn.XLOOKUP($A48,INDEX(BondList,0,1),INDEX(BondList,0,4)))</f>
      </c>
      <c r="AH48" s="3" cm="1">
        <f t="array" aca="1" ref="AH48" ca="1">IF($A48="","",_xlfn.XLOOKUP($A48,INDEX(BondList,0,1),INDEX(BondList,0,5)))</f>
      </c>
      <c r="AI48" s="20" cm="1">
        <f t="array" aca="1" ref="AI48" ca="1">IF($A48="","",_xlfn.XLOOKUP($B48,INDEX(SchemeTable,0,1),INDEX(SchemeTable,0,2),NA()))</f>
      </c>
      <c r="AJ48" s="3">
        <f ca="1">IF($A48="","",WORKDAY(TradeDate,1,Holidays))</f>
      </c>
      <c r="AK48" s="3">
        <f ca="1">IF($A48="","",WORKDAY($C48,$D48,Holidays))</f>
      </c>
      <c r="AL48" s="13">
        <f ca="1">IF($A48="","",NETWORKDAYS(TradeDate,$C48-1,Holidays)/252)</f>
      </c>
      <c r="AM48" s="13" cm="1">
        <f t="array" aca="1" ref="AM48" ca="1">IF($A48="","",JGB_AI($AE48,$AJ48,$AF48))</f>
      </c>
      <c r="AN48" s="13" cm="1">
        <f t="array" aca="1" ref="AN48" ca="1">IF($A48="","",JGB_AI($AE48,$AK48,$AF48))</f>
      </c>
      <c r="AO48" s="13" cm="1">
        <f t="array" aca="1" ref="AO48" ca="1">IF($A48="","",JGB_CARRY_COUPONS($AE48,$AF48,$AJ48,$AK48,$G48))</f>
      </c>
      <c r="AP48" s="13">
        <f t="shared" ca="1" si="19"/>
      </c>
      <c r="AQ48" s="9">
        <f t="shared" ca="1" si="20"/>
      </c>
      <c r="AR48" s="13">
        <f t="shared" ca="1" si="21"/>
      </c>
      <c r="AS48" s="12">
        <f t="shared" ca="1" si="22"/>
      </c>
      <c r="AT48" s="68">
        <f t="shared" ca="1" si="23"/>
      </c>
      <c r="AV48" s="66"/>
      <c r="AW48" s="13"/>
      <c r="AX48" s="12"/>
      <c r="AY48" s="1"/>
      <c r="BA48" s="9"/>
      <c r="BC48" s="12"/>
      <c r="BD48" s="64"/>
    </row>
    <row r="49" spans="1:56" x14ac:dyDescent="0.55000000000000004">
      <c r="A49" s="38"/>
      <c r="B49" s="4"/>
      <c r="C49" s="6"/>
      <c r="D49" s="7"/>
      <c r="E49" s="42"/>
      <c r="F49" s="44"/>
      <c r="G49" s="9" cm="1">
        <f t="array" aca="1" ref="G49" ca="1">IF($A49="","",IF($F49&lt;&gt;"",$F49,_xlfn.LET(_xlpm.s,_xlfn.XLOOKUP($B49,INDEX(SchemeTable,0,1),INDEX(SchemeTable,0,3),""),_xlpm.r,_xlfn.SWITCH(_xlpm.s,"Bid",IF(ISBLANK(RepoBid),"",RepoBid),"Offer",IF(ISBLANK(RepoOffer),"",RepoOffer),""),IF(_xlpm.s="","Error: set repo side for "&amp;$B49,IF(_xlpm.r="","Error: enter repo "&amp;LOWER(_xlpm.s),_xlpm.r)))))</f>
      </c>
      <c r="H49" s="11"/>
      <c r="I49" s="9">
        <f t="shared" ca="1" si="12"/>
      </c>
      <c r="J49" s="46" cm="1">
        <f t="array" aca="1" ref="J49" ca="1">IF($A49="","",JGB_PRICE($AE49,$I49,$AJ49,$AF49))</f>
      </c>
      <c r="K49" s="48"/>
      <c r="L49" s="11"/>
      <c r="M49" s="10"/>
      <c r="N49" s="11"/>
      <c r="O49" s="50"/>
      <c r="P49" s="54">
        <f t="shared" ca="1" si="13"/>
      </c>
      <c r="Q49" s="56" cm="1">
        <f t="array" aca="1" ref="Q49" ca="1">IF($A49="","",_xlfn.LET(_xlpm.n,COUNTA($K49:$O49),IF($B49="ITMBW",IF(_xlpm.n=0,"ITMBW","Error: ITMBW takes no strike input"),IF(_xlpm.n=1,_xlfn.XLOOKUP(TRUE,$K49:$O49&lt;&gt;"",{"Spot +sen","Fwd +sen","Fwd price","ATM +bp","Yield"}),IF(_xlpm.n=0,"Error: enter one strike input","Error: enter only one strike input")))))</f>
      </c>
      <c r="R49" s="9" cm="1">
        <f t="array" aca="1" ref="R49" ca="1">IF($A49="","",_xlfn.SWITCH($Q49,"Spot +sen",ROUNDDOWN(ROUND($J49+$K49/100,9),3),"Fwd +sen",ROUNDDOWN(ROUND($P49+$L49/100,9),3),"Fwd price",$M49,"ATM +bp",JGB_PRICE($AE49,$I49+$N49/100,$C49,$AF49),"Yield",JGB_PRICE($AE49,$O49,$C49,$AF49),"ITMBW",IF($BA49="",NA(),$BA49),NA()))</f>
      </c>
      <c r="S49" s="46" cm="1">
        <f t="array" aca="1" ref="S49" ca="1">IF($A49="","",JGB_YIELD($AE49,$R49,$AK49,$AF49))</f>
      </c>
      <c r="T49" s="58"/>
      <c r="U49" s="1">
        <f ca="1">IF($A49="","",IF(OR($X49&lt;&gt;"",$V49&lt;&gt;""),$W49*SQRT(VolDays),IF($T49&lt;&gt;"",$T49,$AT49)))</f>
      </c>
      <c r="V49" s="70"/>
      <c r="W49" s="12">
        <f ca="1">IF($A49="","",IF($X49&lt;&gt;"",$X49*100/(SQRT(252)*$AS49),IF($V49&lt;&gt;"",$V49,IF($T49&lt;&gt;"",$T49,$AT49)/SQRT(VolDays))))</f>
      </c>
      <c r="X49" s="72"/>
      <c r="Y49" s="60">
        <f t="shared" ca="1" si="14"/>
      </c>
      <c r="Z49" s="62">
        <f t="shared" ca="1" si="15"/>
      </c>
      <c r="AA49" s="8">
        <f t="shared" ca="1" si="16"/>
      </c>
      <c r="AB49" s="9">
        <f t="shared" ca="1" si="17"/>
      </c>
      <c r="AD49" s="64">
        <f t="shared" ca="1" si="18"/>
      </c>
      <c r="AE49" s="66" cm="1">
        <f t="array" aca="1" ref="AE49" ca="1">IF($A49="","",_xlfn.XLOOKUP($A49,INDEX(BondList,0,1),INDEX(BondList,0,2)))</f>
      </c>
      <c r="AF49" s="3" cm="1">
        <f t="array" aca="1" ref="AF49" ca="1">IF($A49="","",_xlfn.XLOOKUP($A49,INDEX(BondList,0,1),INDEX(BondList,0,3)))</f>
      </c>
      <c r="AG49" s="9" cm="1">
        <f t="array" aca="1" ref="AG49" ca="1">IF($A49="","",_xlfn.XLOOKUP($A49,INDEX(BondList,0,1),INDEX(BondList,0,4)))</f>
      </c>
      <c r="AH49" s="3" cm="1">
        <f t="array" aca="1" ref="AH49" ca="1">IF($A49="","",_xlfn.XLOOKUP($A49,INDEX(BondList,0,1),INDEX(BondList,0,5)))</f>
      </c>
      <c r="AI49" s="20" cm="1">
        <f t="array" aca="1" ref="AI49" ca="1">IF($A49="","",_xlfn.XLOOKUP($B49,INDEX(SchemeTable,0,1),INDEX(SchemeTable,0,2),NA()))</f>
      </c>
      <c r="AJ49" s="3">
        <f ca="1">IF($A49="","",WORKDAY(TradeDate,1,Holidays))</f>
      </c>
      <c r="AK49" s="3">
        <f ca="1">IF($A49="","",WORKDAY($C49,$D49,Holidays))</f>
      </c>
      <c r="AL49" s="13">
        <f ca="1">IF($A49="","",NETWORKDAYS(TradeDate,$C49-1,Holidays)/252)</f>
      </c>
      <c r="AM49" s="13" cm="1">
        <f t="array" aca="1" ref="AM49" ca="1">IF($A49="","",JGB_AI($AE49,$AJ49,$AF49))</f>
      </c>
      <c r="AN49" s="13" cm="1">
        <f t="array" aca="1" ref="AN49" ca="1">IF($A49="","",JGB_AI($AE49,$AK49,$AF49))</f>
      </c>
      <c r="AO49" s="13" cm="1">
        <f t="array" aca="1" ref="AO49" ca="1">IF($A49="","",JGB_CARRY_COUPONS($AE49,$AF49,$AJ49,$AK49,$G49))</f>
      </c>
      <c r="AP49" s="13">
        <f t="shared" ca="1" si="19"/>
      </c>
      <c r="AQ49" s="9">
        <f t="shared" ca="1" si="20"/>
      </c>
      <c r="AR49" s="13">
        <f t="shared" ca="1" si="21"/>
      </c>
      <c r="AS49" s="12">
        <f t="shared" ca="1" si="22"/>
      </c>
      <c r="AT49" s="68">
        <f t="shared" ca="1" si="23"/>
      </c>
      <c r="AV49" s="66"/>
      <c r="AW49" s="13"/>
      <c r="AX49" s="12"/>
      <c r="AY49" s="1"/>
      <c r="BA49" s="9"/>
      <c r="BC49" s="12"/>
      <c r="BD49" s="64"/>
    </row>
    <row r="50" spans="1:56" x14ac:dyDescent="0.55000000000000004">
      <c r="A50" s="38"/>
      <c r="B50" s="4"/>
      <c r="C50" s="6"/>
      <c r="D50" s="7"/>
      <c r="E50" s="42"/>
      <c r="F50" s="44"/>
      <c r="G50" s="9" cm="1">
        <f t="array" aca="1" ref="G50" ca="1">IF($A50="","",IF($F50&lt;&gt;"",$F50,_xlfn.LET(_xlpm.s,_xlfn.XLOOKUP($B50,INDEX(SchemeTable,0,1),INDEX(SchemeTable,0,3),""),_xlpm.r,_xlfn.SWITCH(_xlpm.s,"Bid",IF(ISBLANK(RepoBid),"",RepoBid),"Offer",IF(ISBLANK(RepoOffer),"",RepoOffer),""),IF(_xlpm.s="","Error: set repo side for "&amp;$B50,IF(_xlpm.r="","Error: enter repo "&amp;LOWER(_xlpm.s),_xlpm.r)))))</f>
      </c>
      <c r="H50" s="11"/>
      <c r="I50" s="9">
        <f t="shared" ca="1" si="12"/>
      </c>
      <c r="J50" s="46" cm="1">
        <f t="array" aca="1" ref="J50" ca="1">IF($A50="","",JGB_PRICE($AE50,$I50,$AJ50,$AF50))</f>
      </c>
      <c r="K50" s="48"/>
      <c r="L50" s="11"/>
      <c r="M50" s="10"/>
      <c r="N50" s="11"/>
      <c r="O50" s="50"/>
      <c r="P50" s="54">
        <f t="shared" ca="1" si="13"/>
      </c>
      <c r="Q50" s="56" cm="1">
        <f t="array" aca="1" ref="Q50" ca="1">IF($A50="","",_xlfn.LET(_xlpm.n,COUNTA($K50:$O50),IF($B50="ITMBW",IF(_xlpm.n=0,"ITMBW","Error: ITMBW takes no strike input"),IF(_xlpm.n=1,_xlfn.XLOOKUP(TRUE,$K50:$O50&lt;&gt;"",{"Spot +sen","Fwd +sen","Fwd price","ATM +bp","Yield"}),IF(_xlpm.n=0,"Error: enter one strike input","Error: enter only one strike input")))))</f>
      </c>
      <c r="R50" s="9" cm="1">
        <f t="array" aca="1" ref="R50" ca="1">IF($A50="","",_xlfn.SWITCH($Q50,"Spot +sen",ROUNDDOWN(ROUND($J50+$K50/100,9),3),"Fwd +sen",ROUNDDOWN(ROUND($P50+$L50/100,9),3),"Fwd price",$M50,"ATM +bp",JGB_PRICE($AE50,$I50+$N50/100,$C50,$AF50),"Yield",JGB_PRICE($AE50,$O50,$C50,$AF50),"ITMBW",IF($BA50="",NA(),$BA50),NA()))</f>
      </c>
      <c r="S50" s="46" cm="1">
        <f t="array" aca="1" ref="S50" ca="1">IF($A50="","",JGB_YIELD($AE50,$R50,$AK50,$AF50))</f>
      </c>
      <c r="T50" s="58"/>
      <c r="U50" s="1">
        <f ca="1">IF($A50="","",IF(OR($X50&lt;&gt;"",$V50&lt;&gt;""),$W50*SQRT(VolDays),IF($T50&lt;&gt;"",$T50,$AT50)))</f>
      </c>
      <c r="V50" s="70"/>
      <c r="W50" s="12">
        <f ca="1">IF($A50="","",IF($X50&lt;&gt;"",$X50*100/(SQRT(252)*$AS50),IF($V50&lt;&gt;"",$V50,IF($T50&lt;&gt;"",$T50,$AT50)/SQRT(VolDays))))</f>
      </c>
      <c r="X50" s="72"/>
      <c r="Y50" s="60">
        <f t="shared" ca="1" si="14"/>
      </c>
      <c r="Z50" s="62">
        <f t="shared" ca="1" si="15"/>
      </c>
      <c r="AA50" s="8">
        <f t="shared" ca="1" si="16"/>
      </c>
      <c r="AB50" s="9">
        <f t="shared" ca="1" si="17"/>
      </c>
      <c r="AD50" s="64">
        <f t="shared" ca="1" si="18"/>
      </c>
      <c r="AE50" s="66" cm="1">
        <f t="array" aca="1" ref="AE50" ca="1">IF($A50="","",_xlfn.XLOOKUP($A50,INDEX(BondList,0,1),INDEX(BondList,0,2)))</f>
      </c>
      <c r="AF50" s="3" cm="1">
        <f t="array" aca="1" ref="AF50" ca="1">IF($A50="","",_xlfn.XLOOKUP($A50,INDEX(BondList,0,1),INDEX(BondList,0,3)))</f>
      </c>
      <c r="AG50" s="9" cm="1">
        <f t="array" aca="1" ref="AG50" ca="1">IF($A50="","",_xlfn.XLOOKUP($A50,INDEX(BondList,0,1),INDEX(BondList,0,4)))</f>
      </c>
      <c r="AH50" s="3" cm="1">
        <f t="array" aca="1" ref="AH50" ca="1">IF($A50="","",_xlfn.XLOOKUP($A50,INDEX(BondList,0,1),INDEX(BondList,0,5)))</f>
      </c>
      <c r="AI50" s="20" cm="1">
        <f t="array" aca="1" ref="AI50" ca="1">IF($A50="","",_xlfn.XLOOKUP($B50,INDEX(SchemeTable,0,1),INDEX(SchemeTable,0,2),NA()))</f>
      </c>
      <c r="AJ50" s="3">
        <f ca="1">IF($A50="","",WORKDAY(TradeDate,1,Holidays))</f>
      </c>
      <c r="AK50" s="3">
        <f ca="1">IF($A50="","",WORKDAY($C50,$D50,Holidays))</f>
      </c>
      <c r="AL50" s="13">
        <f ca="1">IF($A50="","",NETWORKDAYS(TradeDate,$C50-1,Holidays)/252)</f>
      </c>
      <c r="AM50" s="13" cm="1">
        <f t="array" aca="1" ref="AM50" ca="1">IF($A50="","",JGB_AI($AE50,$AJ50,$AF50))</f>
      </c>
      <c r="AN50" s="13" cm="1">
        <f t="array" aca="1" ref="AN50" ca="1">IF($A50="","",JGB_AI($AE50,$AK50,$AF50))</f>
      </c>
      <c r="AO50" s="13" cm="1">
        <f t="array" aca="1" ref="AO50" ca="1">IF($A50="","",JGB_CARRY_COUPONS($AE50,$AF50,$AJ50,$AK50,$G50))</f>
      </c>
      <c r="AP50" s="13">
        <f t="shared" ca="1" si="19"/>
      </c>
      <c r="AQ50" s="9">
        <f t="shared" ca="1" si="20"/>
      </c>
      <c r="AR50" s="13">
        <f t="shared" ca="1" si="21"/>
      </c>
      <c r="AS50" s="12">
        <f t="shared" ca="1" si="22"/>
      </c>
      <c r="AT50" s="68">
        <f t="shared" ca="1" si="23"/>
      </c>
      <c r="AV50" s="66"/>
      <c r="AW50" s="13"/>
      <c r="AX50" s="12"/>
      <c r="AY50" s="1"/>
      <c r="BA50" s="9"/>
      <c r="BC50" s="12"/>
      <c r="BD50" s="64"/>
    </row>
    <row r="51" spans="1:56" x14ac:dyDescent="0.55000000000000004">
      <c r="A51" s="38"/>
      <c r="B51" s="4"/>
      <c r="C51" s="6"/>
      <c r="D51" s="7"/>
      <c r="E51" s="42"/>
      <c r="F51" s="44"/>
      <c r="G51" s="9" cm="1">
        <f t="array" aca="1" ref="G51" ca="1">IF($A51="","",IF($F51&lt;&gt;"",$F51,_xlfn.LET(_xlpm.s,_xlfn.XLOOKUP($B51,INDEX(SchemeTable,0,1),INDEX(SchemeTable,0,3),""),_xlpm.r,_xlfn.SWITCH(_xlpm.s,"Bid",IF(ISBLANK(RepoBid),"",RepoBid),"Offer",IF(ISBLANK(RepoOffer),"",RepoOffer),""),IF(_xlpm.s="","Error: set repo side for "&amp;$B51,IF(_xlpm.r="","Error: enter repo "&amp;LOWER(_xlpm.s),_xlpm.r)))))</f>
      </c>
      <c r="H51" s="11"/>
      <c r="I51" s="9">
        <f t="shared" ca="1" si="12"/>
      </c>
      <c r="J51" s="46" cm="1">
        <f t="array" aca="1" ref="J51" ca="1">IF($A51="","",JGB_PRICE($AE51,$I51,$AJ51,$AF51))</f>
      </c>
      <c r="K51" s="48"/>
      <c r="L51" s="11"/>
      <c r="M51" s="10"/>
      <c r="N51" s="11"/>
      <c r="O51" s="50"/>
      <c r="P51" s="54">
        <f t="shared" ca="1" si="13"/>
      </c>
      <c r="Q51" s="56" cm="1">
        <f t="array" aca="1" ref="Q51" ca="1">IF($A51="","",_xlfn.LET(_xlpm.n,COUNTA($K51:$O51),IF($B51="ITMBW",IF(_xlpm.n=0,"ITMBW","Error: ITMBW takes no strike input"),IF(_xlpm.n=1,_xlfn.XLOOKUP(TRUE,$K51:$O51&lt;&gt;"",{"Spot +sen","Fwd +sen","Fwd price","ATM +bp","Yield"}),IF(_xlpm.n=0,"Error: enter one strike input","Error: enter only one strike input")))))</f>
      </c>
      <c r="R51" s="9" cm="1">
        <f t="array" aca="1" ref="R51" ca="1">IF($A51="","",_xlfn.SWITCH($Q51,"Spot +sen",ROUNDDOWN(ROUND($J51+$K51/100,9),3),"Fwd +sen",ROUNDDOWN(ROUND($P51+$L51/100,9),3),"Fwd price",$M51,"ATM +bp",JGB_PRICE($AE51,$I51+$N51/100,$C51,$AF51),"Yield",JGB_PRICE($AE51,$O51,$C51,$AF51),"ITMBW",IF($BA51="",NA(),$BA51),NA()))</f>
      </c>
      <c r="S51" s="46" cm="1">
        <f t="array" aca="1" ref="S51" ca="1">IF($A51="","",JGB_YIELD($AE51,$R51,$AK51,$AF51))</f>
      </c>
      <c r="T51" s="58"/>
      <c r="U51" s="1">
        <f ca="1">IF($A51="","",IF(OR($X51&lt;&gt;"",$V51&lt;&gt;""),$W51*SQRT(VolDays),IF($T51&lt;&gt;"",$T51,$AT51)))</f>
      </c>
      <c r="V51" s="70"/>
      <c r="W51" s="12">
        <f ca="1">IF($A51="","",IF($X51&lt;&gt;"",$X51*100/(SQRT(252)*$AS51),IF($V51&lt;&gt;"",$V51,IF($T51&lt;&gt;"",$T51,$AT51)/SQRT(VolDays))))</f>
      </c>
      <c r="X51" s="72"/>
      <c r="Y51" s="60">
        <f t="shared" ca="1" si="14"/>
      </c>
      <c r="Z51" s="62">
        <f t="shared" ca="1" si="15"/>
      </c>
      <c r="AA51" s="8">
        <f t="shared" ca="1" si="16"/>
      </c>
      <c r="AB51" s="9">
        <f t="shared" ca="1" si="17"/>
      </c>
      <c r="AD51" s="64">
        <f t="shared" ca="1" si="18"/>
      </c>
      <c r="AE51" s="66" cm="1">
        <f t="array" aca="1" ref="AE51" ca="1">IF($A51="","",_xlfn.XLOOKUP($A51,INDEX(BondList,0,1),INDEX(BondList,0,2)))</f>
      </c>
      <c r="AF51" s="3" cm="1">
        <f t="array" aca="1" ref="AF51" ca="1">IF($A51="","",_xlfn.XLOOKUP($A51,INDEX(BondList,0,1),INDEX(BondList,0,3)))</f>
      </c>
      <c r="AG51" s="9" cm="1">
        <f t="array" aca="1" ref="AG51" ca="1">IF($A51="","",_xlfn.XLOOKUP($A51,INDEX(BondList,0,1),INDEX(BondList,0,4)))</f>
      </c>
      <c r="AH51" s="3" cm="1">
        <f t="array" aca="1" ref="AH51" ca="1">IF($A51="","",_xlfn.XLOOKUP($A51,INDEX(BondList,0,1),INDEX(BondList,0,5)))</f>
      </c>
      <c r="AI51" s="20" cm="1">
        <f t="array" aca="1" ref="AI51" ca="1">IF($A51="","",_xlfn.XLOOKUP($B51,INDEX(SchemeTable,0,1),INDEX(SchemeTable,0,2),NA()))</f>
      </c>
      <c r="AJ51" s="3">
        <f ca="1">IF($A51="","",WORKDAY(TradeDate,1,Holidays))</f>
      </c>
      <c r="AK51" s="3">
        <f ca="1">IF($A51="","",WORKDAY($C51,$D51,Holidays))</f>
      </c>
      <c r="AL51" s="13">
        <f ca="1">IF($A51="","",NETWORKDAYS(TradeDate,$C51-1,Holidays)/252)</f>
      </c>
      <c r="AM51" s="13" cm="1">
        <f t="array" aca="1" ref="AM51" ca="1">IF($A51="","",JGB_AI($AE51,$AJ51,$AF51))</f>
      </c>
      <c r="AN51" s="13" cm="1">
        <f t="array" aca="1" ref="AN51" ca="1">IF($A51="","",JGB_AI($AE51,$AK51,$AF51))</f>
      </c>
      <c r="AO51" s="13" cm="1">
        <f t="array" aca="1" ref="AO51" ca="1">IF($A51="","",JGB_CARRY_COUPONS($AE51,$AF51,$AJ51,$AK51,$G51))</f>
      </c>
      <c r="AP51" s="13">
        <f t="shared" ca="1" si="19"/>
      </c>
      <c r="AQ51" s="9">
        <f t="shared" ca="1" si="20"/>
      </c>
      <c r="AR51" s="13">
        <f t="shared" ca="1" si="21"/>
      </c>
      <c r="AS51" s="12">
        <f t="shared" ca="1" si="22"/>
      </c>
      <c r="AT51" s="68">
        <f t="shared" ca="1" si="23"/>
      </c>
      <c r="AV51" s="66"/>
      <c r="AW51" s="13"/>
      <c r="AX51" s="12"/>
      <c r="AY51" s="1"/>
      <c r="BA51" s="9"/>
      <c r="BC51" s="12"/>
      <c r="BD51" s="64"/>
    </row>
    <row r="52" spans="1:56" x14ac:dyDescent="0.55000000000000004">
      <c r="A52" s="39"/>
      <c r="B52" s="22"/>
      <c r="C52" s="23"/>
      <c r="D52" s="24"/>
      <c r="E52" s="43"/>
      <c r="F52" s="45"/>
      <c r="G52" s="26" cm="1">
        <f t="array" aca="1" ref="G52" ca="1">IF($A52="","",IF($F52&lt;&gt;"",$F52,_xlfn.LET(_xlpm.s,_xlfn.XLOOKUP($B52,INDEX(SchemeTable,0,1),INDEX(SchemeTable,0,3),""),_xlpm.r,_xlfn.SWITCH(_xlpm.s,"Bid",IF(ISBLANK(RepoBid),"",RepoBid),"Offer",IF(ISBLANK(RepoOffer),"",RepoOffer),""),IF(_xlpm.s="","Error: set repo side for "&amp;$B52,IF(_xlpm.r="","Error: enter repo "&amp;LOWER(_xlpm.s),_xlpm.r)))))</f>
      </c>
      <c r="H52" s="27"/>
      <c r="I52" s="26">
        <f t="shared" ca="1" si="12"/>
      </c>
      <c r="J52" s="47" cm="1">
        <f t="array" aca="1" ref="J52" ca="1">IF($A52="","",JGB_PRICE($AE52,$I52,$AJ52,$AF52))</f>
      </c>
      <c r="K52" s="49"/>
      <c r="L52" s="27"/>
      <c r="M52" s="25"/>
      <c r="N52" s="27"/>
      <c r="O52" s="51"/>
      <c r="P52" s="55">
        <f t="shared" ca="1" si="13"/>
      </c>
      <c r="Q52" s="57" cm="1">
        <f t="array" aca="1" ref="Q52" ca="1">IF($A52="","",_xlfn.LET(_xlpm.n,COUNTA($K52:$O52),IF($B52="ITMBW",IF(_xlpm.n=0,"ITMBW","Error: ITMBW takes no strike input"),IF(_xlpm.n=1,_xlfn.XLOOKUP(TRUE,$K52:$O52&lt;&gt;"",{"Spot +sen","Fwd +sen","Fwd price","ATM +bp","Yield"}),IF(_xlpm.n=0,"Error: enter one strike input","Error: enter only one strike input")))))</f>
      </c>
      <c r="R52" s="26" cm="1">
        <f t="array" aca="1" ref="R52" ca="1">IF($A52="","",_xlfn.SWITCH($Q52,"Spot +sen",ROUNDDOWN(ROUND($J52+$K52/100,9),3),"Fwd +sen",ROUNDDOWN(ROUND($P52+$L52/100,9),3),"Fwd price",$M52,"ATM +bp",JGB_PRICE($AE52,$I52+$N52/100,$C52,$AF52),"Yield",JGB_PRICE($AE52,$O52,$C52,$AF52),"ITMBW",IF($BA52="",NA(),$BA52),NA()))</f>
      </c>
      <c r="S52" s="47" cm="1">
        <f t="array" aca="1" ref="S52" ca="1">IF($A52="","",JGB_YIELD($AE52,$R52,$AK52,$AF52))</f>
      </c>
      <c r="T52" s="59"/>
      <c r="U52" s="30">
        <f ca="1">IF($A52="","",IF(OR($X52&lt;&gt;"",$V52&lt;&gt;""),$W52*SQRT(VolDays),IF($T52&lt;&gt;"",$T52,$AT52)))</f>
      </c>
      <c r="V52" s="71"/>
      <c r="W52" s="31">
        <f ca="1">IF($A52="","",IF($X52&lt;&gt;"",$X52*100/(SQRT(252)*$AS52),IF($V52&lt;&gt;"",$V52,IF($T52&lt;&gt;"",$T52,$AT52)/SQRT(VolDays))))</f>
      </c>
      <c r="X52" s="73"/>
      <c r="Y52" s="61">
        <f t="shared" ca="1" si="14"/>
      </c>
      <c r="Z52" s="63">
        <f t="shared" ca="1" si="15"/>
      </c>
      <c r="AA52" s="32">
        <f t="shared" ca="1" si="16"/>
      </c>
      <c r="AB52" s="26">
        <f t="shared" ca="1" si="17"/>
      </c>
      <c r="AC52" s="16"/>
      <c r="AD52" s="65">
        <f t="shared" ca="1" si="18"/>
      </c>
      <c r="AE52" s="67" cm="1">
        <f t="array" aca="1" ref="AE52" ca="1">IF($A52="","",_xlfn.XLOOKUP($A52,INDEX(BondList,0,1),INDEX(BondList,0,2)))</f>
      </c>
      <c r="AF52" s="33" cm="1">
        <f t="array" aca="1" ref="AF52" ca="1">IF($A52="","",_xlfn.XLOOKUP($A52,INDEX(BondList,0,1),INDEX(BondList,0,3)))</f>
      </c>
      <c r="AG52" s="26" cm="1">
        <f t="array" aca="1" ref="AG52" ca="1">IF($A52="","",_xlfn.XLOOKUP($A52,INDEX(BondList,0,1),INDEX(BondList,0,4)))</f>
      </c>
      <c r="AH52" s="33" cm="1">
        <f t="array" aca="1" ref="AH52" ca="1">IF($A52="","",_xlfn.XLOOKUP($A52,INDEX(BondList,0,1),INDEX(BondList,0,5)))</f>
      </c>
      <c r="AI52" s="29" cm="1">
        <f t="array" aca="1" ref="AI52" ca="1">IF($A52="","",_xlfn.XLOOKUP($B52,INDEX(SchemeTable,0,1),INDEX(SchemeTable,0,2),NA()))</f>
      </c>
      <c r="AJ52" s="33">
        <f ca="1">IF($A52="","",WORKDAY(TradeDate,1,Holidays))</f>
      </c>
      <c r="AK52" s="33">
        <f ca="1">IF($A52="","",WORKDAY($C52,$D52,Holidays))</f>
      </c>
      <c r="AL52" s="28">
        <f ca="1">IF($A52="","",NETWORKDAYS(TradeDate,$C52-1,Holidays)/252)</f>
      </c>
      <c r="AM52" s="28" cm="1">
        <f t="array" aca="1" ref="AM52" ca="1">IF($A52="","",JGB_AI($AE52,$AJ52,$AF52))</f>
      </c>
      <c r="AN52" s="28" cm="1">
        <f t="array" aca="1" ref="AN52" ca="1">IF($A52="","",JGB_AI($AE52,$AK52,$AF52))</f>
      </c>
      <c r="AO52" s="28" cm="1">
        <f t="array" aca="1" ref="AO52" ca="1">IF($A52="","",JGB_CARRY_COUPONS($AE52,$AF52,$AJ52,$AK52,$G52))</f>
      </c>
      <c r="AP52" s="28">
        <f t="shared" ca="1" si="19"/>
      </c>
      <c r="AQ52" s="26">
        <f t="shared" ca="1" si="20"/>
      </c>
      <c r="AR52" s="28">
        <f t="shared" ca="1" si="21"/>
      </c>
      <c r="AS52" s="31">
        <f t="shared" ca="1" si="22"/>
      </c>
      <c r="AT52" s="69">
        <f t="shared" ca="1" si="23"/>
      </c>
      <c r="AV52" s="67"/>
      <c r="AW52" s="28"/>
      <c r="AX52" s="31"/>
      <c r="AY52" s="30"/>
      <c r="AZ52" s="16"/>
      <c r="BA52" s="26"/>
      <c r="BB52" s="16"/>
      <c r="BC52" s="31"/>
      <c r="BD52" s="65"/>
    </row>
    <row r="53" spans="1:56" x14ac:dyDescent="0.55000000000000004">
      <c r="A53" s="38"/>
      <c r="B53" s="4"/>
      <c r="C53" s="6"/>
      <c r="D53" s="7"/>
      <c r="E53" s="42"/>
      <c r="F53" s="44"/>
      <c r="G53" s="9" cm="1">
        <f t="array" aca="1" ref="G53" ca="1">IF($A53="","",IF($F53&lt;&gt;"",$F53,_xlfn.LET(_xlpm.s,_xlfn.XLOOKUP($B53,INDEX(SchemeTable,0,1),INDEX(SchemeTable,0,3),""),_xlpm.r,_xlfn.SWITCH(_xlpm.s,"Bid",IF(ISBLANK(RepoBid),"",RepoBid),"Offer",IF(ISBLANK(RepoOffer),"",RepoOffer),""),IF(_xlpm.s="","Error: set repo side for "&amp;$B53,IF(_xlpm.r="","Error: enter repo "&amp;LOWER(_xlpm.s),_xlpm.r)))))</f>
      </c>
      <c r="H53" s="11"/>
      <c r="I53" s="9">
        <f t="shared" ca="1" si="12"/>
      </c>
      <c r="J53" s="46" cm="1">
        <f t="array" aca="1" ref="J53" ca="1">IF($A53="","",JGB_PRICE($AE53,$I53,$AJ53,$AF53))</f>
      </c>
      <c r="K53" s="48"/>
      <c r="L53" s="11"/>
      <c r="M53" s="10"/>
      <c r="N53" s="11"/>
      <c r="O53" s="50"/>
      <c r="P53" s="54">
        <f t="shared" ca="1" si="13"/>
      </c>
      <c r="Q53" s="56" cm="1">
        <f t="array" aca="1" ref="Q53" ca="1">IF($A53="","",_xlfn.LET(_xlpm.n,COUNTA($K53:$O53),IF($B53="ITMBW",IF(_xlpm.n=0,"ITMBW","Error: ITMBW takes no strike input"),IF(_xlpm.n=1,_xlfn.XLOOKUP(TRUE,$K53:$O53&lt;&gt;"",{"Spot +sen","Fwd +sen","Fwd price","ATM +bp","Yield"}),IF(_xlpm.n=0,"Error: enter one strike input","Error: enter only one strike input")))))</f>
      </c>
      <c r="R53" s="9" cm="1">
        <f t="array" aca="1" ref="R53" ca="1">IF($A53="","",_xlfn.SWITCH($Q53,"Spot +sen",ROUNDDOWN(ROUND($J53+$K53/100,9),3),"Fwd +sen",ROUNDDOWN(ROUND($P53+$L53/100,9),3),"Fwd price",$M53,"ATM +bp",JGB_PRICE($AE53,$I53+$N53/100,$C53,$AF53),"Yield",JGB_PRICE($AE53,$O53,$C53,$AF53),"ITMBW",IF($BA53="",NA(),$BA53),NA()))</f>
      </c>
      <c r="S53" s="46" cm="1">
        <f t="array" aca="1" ref="S53" ca="1">IF($A53="","",JGB_YIELD($AE53,$R53,$AK53,$AF53))</f>
      </c>
      <c r="T53" s="58"/>
      <c r="U53" s="1">
        <f ca="1">IF($A53="","",IF(OR($X53&lt;&gt;"",$V53&lt;&gt;""),$W53*SQRT(VolDays),IF($T53&lt;&gt;"",$T53,$AT53)))</f>
      </c>
      <c r="V53" s="70"/>
      <c r="W53" s="12">
        <f ca="1">IF($A53="","",IF($X53&lt;&gt;"",$X53*100/(SQRT(252)*$AS53),IF($V53&lt;&gt;"",$V53,IF($T53&lt;&gt;"",$T53,$AT53)/SQRT(VolDays))))</f>
      </c>
      <c r="X53" s="72"/>
      <c r="Y53" s="60">
        <f t="shared" ca="1" si="14"/>
      </c>
      <c r="Z53" s="62">
        <f t="shared" ca="1" si="15"/>
      </c>
      <c r="AA53" s="8">
        <f t="shared" ca="1" si="16"/>
      </c>
      <c r="AB53" s="9">
        <f t="shared" ca="1" si="17"/>
      </c>
      <c r="AD53" s="64">
        <f t="shared" ca="1" si="18"/>
      </c>
      <c r="AE53" s="66" cm="1">
        <f t="array" aca="1" ref="AE53" ca="1">IF($A53="","",_xlfn.XLOOKUP($A53,INDEX(BondList,0,1),INDEX(BondList,0,2)))</f>
      </c>
      <c r="AF53" s="3" cm="1">
        <f t="array" aca="1" ref="AF53" ca="1">IF($A53="","",_xlfn.XLOOKUP($A53,INDEX(BondList,0,1),INDEX(BondList,0,3)))</f>
      </c>
      <c r="AG53" s="9" cm="1">
        <f t="array" aca="1" ref="AG53" ca="1">IF($A53="","",_xlfn.XLOOKUP($A53,INDEX(BondList,0,1),INDEX(BondList,0,4)))</f>
      </c>
      <c r="AH53" s="3" cm="1">
        <f t="array" aca="1" ref="AH53" ca="1">IF($A53="","",_xlfn.XLOOKUP($A53,INDEX(BondList,0,1),INDEX(BondList,0,5)))</f>
      </c>
      <c r="AI53" s="20" cm="1">
        <f t="array" aca="1" ref="AI53" ca="1">IF($A53="","",_xlfn.XLOOKUP($B53,INDEX(SchemeTable,0,1),INDEX(SchemeTable,0,2),NA()))</f>
      </c>
      <c r="AJ53" s="3">
        <f ca="1">IF($A53="","",WORKDAY(TradeDate,1,Holidays))</f>
      </c>
      <c r="AK53" s="3">
        <f ca="1">IF($A53="","",WORKDAY($C53,$D53,Holidays))</f>
      </c>
      <c r="AL53" s="13">
        <f ca="1">IF($A53="","",NETWORKDAYS(TradeDate,$C53-1,Holidays)/252)</f>
      </c>
      <c r="AM53" s="13" cm="1">
        <f t="array" aca="1" ref="AM53" ca="1">IF($A53="","",JGB_AI($AE53,$AJ53,$AF53))</f>
      </c>
      <c r="AN53" s="13" cm="1">
        <f t="array" aca="1" ref="AN53" ca="1">IF($A53="","",JGB_AI($AE53,$AK53,$AF53))</f>
      </c>
      <c r="AO53" s="13" cm="1">
        <f t="array" aca="1" ref="AO53" ca="1">IF($A53="","",JGB_CARRY_COUPONS($AE53,$AF53,$AJ53,$AK53,$G53))</f>
      </c>
      <c r="AP53" s="13">
        <f t="shared" ca="1" si="19"/>
      </c>
      <c r="AQ53" s="9">
        <f t="shared" ca="1" si="20"/>
      </c>
      <c r="AR53" s="13">
        <f t="shared" ca="1" si="21"/>
      </c>
      <c r="AS53" s="12">
        <f t="shared" ca="1" si="22"/>
      </c>
      <c r="AT53" s="68">
        <f t="shared" ca="1" si="23"/>
      </c>
      <c r="AV53" s="66"/>
      <c r="AW53" s="13"/>
      <c r="AX53" s="12"/>
      <c r="AY53" s="1"/>
      <c r="BA53" s="9"/>
      <c r="BC53" s="12"/>
      <c r="BD53" s="64"/>
    </row>
    <row r="54" spans="1:56" x14ac:dyDescent="0.55000000000000004">
      <c r="A54" s="38"/>
      <c r="B54" s="4"/>
      <c r="C54" s="6"/>
      <c r="D54" s="7"/>
      <c r="E54" s="42"/>
      <c r="F54" s="44"/>
      <c r="G54" s="9" cm="1">
        <f t="array" aca="1" ref="G54" ca="1">IF($A54="","",IF($F54&lt;&gt;"",$F54,_xlfn.LET(_xlpm.s,_xlfn.XLOOKUP($B54,INDEX(SchemeTable,0,1),INDEX(SchemeTable,0,3),""),_xlpm.r,_xlfn.SWITCH(_xlpm.s,"Bid",IF(ISBLANK(RepoBid),"",RepoBid),"Offer",IF(ISBLANK(RepoOffer),"",RepoOffer),""),IF(_xlpm.s="","Error: set repo side for "&amp;$B54,IF(_xlpm.r="","Error: enter repo "&amp;LOWER(_xlpm.s),_xlpm.r)))))</f>
      </c>
      <c r="H54" s="11"/>
      <c r="I54" s="9">
        <f t="shared" ca="1" si="12"/>
      </c>
      <c r="J54" s="46" cm="1">
        <f t="array" aca="1" ref="J54" ca="1">IF($A54="","",JGB_PRICE($AE54,$I54,$AJ54,$AF54))</f>
      </c>
      <c r="K54" s="48"/>
      <c r="L54" s="11"/>
      <c r="M54" s="10"/>
      <c r="N54" s="11"/>
      <c r="O54" s="50"/>
      <c r="P54" s="54">
        <f t="shared" ca="1" si="13"/>
      </c>
      <c r="Q54" s="56" cm="1">
        <f t="array" aca="1" ref="Q54" ca="1">IF($A54="","",_xlfn.LET(_xlpm.n,COUNTA($K54:$O54),IF($B54="ITMBW",IF(_xlpm.n=0,"ITMBW","Error: ITMBW takes no strike input"),IF(_xlpm.n=1,_xlfn.XLOOKUP(TRUE,$K54:$O54&lt;&gt;"",{"Spot +sen","Fwd +sen","Fwd price","ATM +bp","Yield"}),IF(_xlpm.n=0,"Error: enter one strike input","Error: enter only one strike input")))))</f>
      </c>
      <c r="R54" s="9" cm="1">
        <f t="array" aca="1" ref="R54" ca="1">IF($A54="","",_xlfn.SWITCH($Q54,"Spot +sen",ROUNDDOWN(ROUND($J54+$K54/100,9),3),"Fwd +sen",ROUNDDOWN(ROUND($P54+$L54/100,9),3),"Fwd price",$M54,"ATM +bp",JGB_PRICE($AE54,$I54+$N54/100,$C54,$AF54),"Yield",JGB_PRICE($AE54,$O54,$C54,$AF54),"ITMBW",IF($BA54="",NA(),$BA54),NA()))</f>
      </c>
      <c r="S54" s="46" cm="1">
        <f t="array" aca="1" ref="S54" ca="1">IF($A54="","",JGB_YIELD($AE54,$R54,$AK54,$AF54))</f>
      </c>
      <c r="T54" s="58"/>
      <c r="U54" s="1">
        <f ca="1">IF($A54="","",IF(OR($X54&lt;&gt;"",$V54&lt;&gt;""),$W54*SQRT(VolDays),IF($T54&lt;&gt;"",$T54,$AT54)))</f>
      </c>
      <c r="V54" s="70"/>
      <c r="W54" s="12">
        <f ca="1">IF($A54="","",IF($X54&lt;&gt;"",$X54*100/(SQRT(252)*$AS54),IF($V54&lt;&gt;"",$V54,IF($T54&lt;&gt;"",$T54,$AT54)/SQRT(VolDays))))</f>
      </c>
      <c r="X54" s="72"/>
      <c r="Y54" s="60">
        <f t="shared" ca="1" si="14"/>
      </c>
      <c r="Z54" s="62">
        <f t="shared" ca="1" si="15"/>
      </c>
      <c r="AA54" s="8">
        <f t="shared" ca="1" si="16"/>
      </c>
      <c r="AB54" s="9">
        <f t="shared" ca="1" si="17"/>
      </c>
      <c r="AD54" s="64">
        <f t="shared" ca="1" si="18"/>
      </c>
      <c r="AE54" s="66" cm="1">
        <f t="array" aca="1" ref="AE54" ca="1">IF($A54="","",_xlfn.XLOOKUP($A54,INDEX(BondList,0,1),INDEX(BondList,0,2)))</f>
      </c>
      <c r="AF54" s="3" cm="1">
        <f t="array" aca="1" ref="AF54" ca="1">IF($A54="","",_xlfn.XLOOKUP($A54,INDEX(BondList,0,1),INDEX(BondList,0,3)))</f>
      </c>
      <c r="AG54" s="9" cm="1">
        <f t="array" aca="1" ref="AG54" ca="1">IF($A54="","",_xlfn.XLOOKUP($A54,INDEX(BondList,0,1),INDEX(BondList,0,4)))</f>
      </c>
      <c r="AH54" s="3" cm="1">
        <f t="array" aca="1" ref="AH54" ca="1">IF($A54="","",_xlfn.XLOOKUP($A54,INDEX(BondList,0,1),INDEX(BondList,0,5)))</f>
      </c>
      <c r="AI54" s="20" cm="1">
        <f t="array" aca="1" ref="AI54" ca="1">IF($A54="","",_xlfn.XLOOKUP($B54,INDEX(SchemeTable,0,1),INDEX(SchemeTable,0,2),NA()))</f>
      </c>
      <c r="AJ54" s="3">
        <f ca="1">IF($A54="","",WORKDAY(TradeDate,1,Holidays))</f>
      </c>
      <c r="AK54" s="3">
        <f ca="1">IF($A54="","",WORKDAY($C54,$D54,Holidays))</f>
      </c>
      <c r="AL54" s="13">
        <f ca="1">IF($A54="","",NETWORKDAYS(TradeDate,$C54-1,Holidays)/252)</f>
      </c>
      <c r="AM54" s="13" cm="1">
        <f t="array" aca="1" ref="AM54" ca="1">IF($A54="","",JGB_AI($AE54,$AJ54,$AF54))</f>
      </c>
      <c r="AN54" s="13" cm="1">
        <f t="array" aca="1" ref="AN54" ca="1">IF($A54="","",JGB_AI($AE54,$AK54,$AF54))</f>
      </c>
      <c r="AO54" s="13" cm="1">
        <f t="array" aca="1" ref="AO54" ca="1">IF($A54="","",JGB_CARRY_COUPONS($AE54,$AF54,$AJ54,$AK54,$G54))</f>
      </c>
      <c r="AP54" s="13">
        <f t="shared" ca="1" si="19"/>
      </c>
      <c r="AQ54" s="9">
        <f t="shared" ca="1" si="20"/>
      </c>
      <c r="AR54" s="13">
        <f t="shared" ca="1" si="21"/>
      </c>
      <c r="AS54" s="12">
        <f t="shared" ca="1" si="22"/>
      </c>
      <c r="AT54" s="68">
        <f t="shared" ca="1" si="23"/>
      </c>
      <c r="AV54" s="66"/>
      <c r="AW54" s="13"/>
      <c r="AX54" s="12"/>
      <c r="AY54" s="1"/>
      <c r="BA54" s="9"/>
      <c r="BC54" s="12"/>
      <c r="BD54" s="64"/>
    </row>
    <row r="55" spans="1:56" x14ac:dyDescent="0.55000000000000004">
      <c r="A55" s="38"/>
      <c r="B55" s="4"/>
      <c r="C55" s="6"/>
      <c r="D55" s="7"/>
      <c r="E55" s="42"/>
      <c r="F55" s="44"/>
      <c r="G55" s="9" cm="1">
        <f t="array" aca="1" ref="G55" ca="1">IF($A55="","",IF($F55&lt;&gt;"",$F55,_xlfn.LET(_xlpm.s,_xlfn.XLOOKUP($B55,INDEX(SchemeTable,0,1),INDEX(SchemeTable,0,3),""),_xlpm.r,_xlfn.SWITCH(_xlpm.s,"Bid",IF(ISBLANK(RepoBid),"",RepoBid),"Offer",IF(ISBLANK(RepoOffer),"",RepoOffer),""),IF(_xlpm.s="","Error: set repo side for "&amp;$B55,IF(_xlpm.r="","Error: enter repo "&amp;LOWER(_xlpm.s),_xlpm.r)))))</f>
      </c>
      <c r="H55" s="11"/>
      <c r="I55" s="9">
        <f t="shared" ca="1" si="12"/>
      </c>
      <c r="J55" s="46" cm="1">
        <f t="array" aca="1" ref="J55" ca="1">IF($A55="","",JGB_PRICE($AE55,$I55,$AJ55,$AF55))</f>
      </c>
      <c r="K55" s="48"/>
      <c r="L55" s="11"/>
      <c r="M55" s="10"/>
      <c r="N55" s="11"/>
      <c r="O55" s="50"/>
      <c r="P55" s="54">
        <f t="shared" ca="1" si="13"/>
      </c>
      <c r="Q55" s="56" cm="1">
        <f t="array" aca="1" ref="Q55" ca="1">IF($A55="","",_xlfn.LET(_xlpm.n,COUNTA($K55:$O55),IF($B55="ITMBW",IF(_xlpm.n=0,"ITMBW","Error: ITMBW takes no strike input"),IF(_xlpm.n=1,_xlfn.XLOOKUP(TRUE,$K55:$O55&lt;&gt;"",{"Spot +sen","Fwd +sen","Fwd price","ATM +bp","Yield"}),IF(_xlpm.n=0,"Error: enter one strike input","Error: enter only one strike input")))))</f>
      </c>
      <c r="R55" s="9" cm="1">
        <f t="array" aca="1" ref="R55" ca="1">IF($A55="","",_xlfn.SWITCH($Q55,"Spot +sen",ROUNDDOWN(ROUND($J55+$K55/100,9),3),"Fwd +sen",ROUNDDOWN(ROUND($P55+$L55/100,9),3),"Fwd price",$M55,"ATM +bp",JGB_PRICE($AE55,$I55+$N55/100,$C55,$AF55),"Yield",JGB_PRICE($AE55,$O55,$C55,$AF55),"ITMBW",IF($BA55="",NA(),$BA55),NA()))</f>
      </c>
      <c r="S55" s="46" cm="1">
        <f t="array" aca="1" ref="S55" ca="1">IF($A55="","",JGB_YIELD($AE55,$R55,$AK55,$AF55))</f>
      </c>
      <c r="T55" s="58"/>
      <c r="U55" s="1">
        <f ca="1">IF($A55="","",IF(OR($X55&lt;&gt;"",$V55&lt;&gt;""),$W55*SQRT(VolDays),IF($T55&lt;&gt;"",$T55,$AT55)))</f>
      </c>
      <c r="V55" s="70"/>
      <c r="W55" s="12">
        <f ca="1">IF($A55="","",IF($X55&lt;&gt;"",$X55*100/(SQRT(252)*$AS55),IF($V55&lt;&gt;"",$V55,IF($T55&lt;&gt;"",$T55,$AT55)/SQRT(VolDays))))</f>
      </c>
      <c r="X55" s="72"/>
      <c r="Y55" s="60">
        <f t="shared" ca="1" si="14"/>
      </c>
      <c r="Z55" s="62">
        <f t="shared" ca="1" si="15"/>
      </c>
      <c r="AA55" s="8">
        <f t="shared" ca="1" si="16"/>
      </c>
      <c r="AB55" s="9">
        <f t="shared" ca="1" si="17"/>
      </c>
      <c r="AD55" s="64">
        <f t="shared" ca="1" si="18"/>
      </c>
      <c r="AE55" s="66" cm="1">
        <f t="array" aca="1" ref="AE55" ca="1">IF($A55="","",_xlfn.XLOOKUP($A55,INDEX(BondList,0,1),INDEX(BondList,0,2)))</f>
      </c>
      <c r="AF55" s="3" cm="1">
        <f t="array" aca="1" ref="AF55" ca="1">IF($A55="","",_xlfn.XLOOKUP($A55,INDEX(BondList,0,1),INDEX(BondList,0,3)))</f>
      </c>
      <c r="AG55" s="9" cm="1">
        <f t="array" aca="1" ref="AG55" ca="1">IF($A55="","",_xlfn.XLOOKUP($A55,INDEX(BondList,0,1),INDEX(BondList,0,4)))</f>
      </c>
      <c r="AH55" s="3" cm="1">
        <f t="array" aca="1" ref="AH55" ca="1">IF($A55="","",_xlfn.XLOOKUP($A55,INDEX(BondList,0,1),INDEX(BondList,0,5)))</f>
      </c>
      <c r="AI55" s="20" cm="1">
        <f t="array" aca="1" ref="AI55" ca="1">IF($A55="","",_xlfn.XLOOKUP($B55,INDEX(SchemeTable,0,1),INDEX(SchemeTable,0,2),NA()))</f>
      </c>
      <c r="AJ55" s="3">
        <f ca="1">IF($A55="","",WORKDAY(TradeDate,1,Holidays))</f>
      </c>
      <c r="AK55" s="3">
        <f ca="1">IF($A55="","",WORKDAY($C55,$D55,Holidays))</f>
      </c>
      <c r="AL55" s="13">
        <f ca="1">IF($A55="","",NETWORKDAYS(TradeDate,$C55-1,Holidays)/252)</f>
      </c>
      <c r="AM55" s="13" cm="1">
        <f t="array" aca="1" ref="AM55" ca="1">IF($A55="","",JGB_AI($AE55,$AJ55,$AF55))</f>
      </c>
      <c r="AN55" s="13" cm="1">
        <f t="array" aca="1" ref="AN55" ca="1">IF($A55="","",JGB_AI($AE55,$AK55,$AF55))</f>
      </c>
      <c r="AO55" s="13" cm="1">
        <f t="array" aca="1" ref="AO55" ca="1">IF($A55="","",JGB_CARRY_COUPONS($AE55,$AF55,$AJ55,$AK55,$G55))</f>
      </c>
      <c r="AP55" s="13">
        <f t="shared" ca="1" si="19"/>
      </c>
      <c r="AQ55" s="9">
        <f t="shared" ca="1" si="20"/>
      </c>
      <c r="AR55" s="13">
        <f t="shared" ca="1" si="21"/>
      </c>
      <c r="AS55" s="12">
        <f t="shared" ca="1" si="22"/>
      </c>
      <c r="AT55" s="68">
        <f t="shared" ca="1" si="23"/>
      </c>
      <c r="AV55" s="66"/>
      <c r="AW55" s="13"/>
      <c r="AX55" s="12"/>
      <c r="AY55" s="1"/>
      <c r="BA55" s="9"/>
      <c r="BC55" s="12"/>
      <c r="BD55" s="64"/>
    </row>
    <row r="56" spans="1:56" x14ac:dyDescent="0.55000000000000004">
      <c r="A56" s="38"/>
      <c r="B56" s="4"/>
      <c r="C56" s="6"/>
      <c r="D56" s="7"/>
      <c r="E56" s="42"/>
      <c r="F56" s="44"/>
      <c r="G56" s="9" cm="1">
        <f t="array" aca="1" ref="G56" ca="1">IF($A56="","",IF($F56&lt;&gt;"",$F56,_xlfn.LET(_xlpm.s,_xlfn.XLOOKUP($B56,INDEX(SchemeTable,0,1),INDEX(SchemeTable,0,3),""),_xlpm.r,_xlfn.SWITCH(_xlpm.s,"Bid",IF(ISBLANK(RepoBid),"",RepoBid),"Offer",IF(ISBLANK(RepoOffer),"",RepoOffer),""),IF(_xlpm.s="","Error: set repo side for "&amp;$B56,IF(_xlpm.r="","Error: enter repo "&amp;LOWER(_xlpm.s),_xlpm.r)))))</f>
      </c>
      <c r="H56" s="11"/>
      <c r="I56" s="9">
        <f t="shared" ca="1" si="12"/>
      </c>
      <c r="J56" s="46" cm="1">
        <f t="array" aca="1" ref="J56" ca="1">IF($A56="","",JGB_PRICE($AE56,$I56,$AJ56,$AF56))</f>
      </c>
      <c r="K56" s="48"/>
      <c r="L56" s="11"/>
      <c r="M56" s="10"/>
      <c r="N56" s="11"/>
      <c r="O56" s="50"/>
      <c r="P56" s="54">
        <f t="shared" ca="1" si="13"/>
      </c>
      <c r="Q56" s="56" cm="1">
        <f t="array" aca="1" ref="Q56" ca="1">IF($A56="","",_xlfn.LET(_xlpm.n,COUNTA($K56:$O56),IF($B56="ITMBW",IF(_xlpm.n=0,"ITMBW","Error: ITMBW takes no strike input"),IF(_xlpm.n=1,_xlfn.XLOOKUP(TRUE,$K56:$O56&lt;&gt;"",{"Spot +sen","Fwd +sen","Fwd price","ATM +bp","Yield"}),IF(_xlpm.n=0,"Error: enter one strike input","Error: enter only one strike input")))))</f>
      </c>
      <c r="R56" s="9" cm="1">
        <f t="array" aca="1" ref="R56" ca="1">IF($A56="","",_xlfn.SWITCH($Q56,"Spot +sen",ROUNDDOWN(ROUND($J56+$K56/100,9),3),"Fwd +sen",ROUNDDOWN(ROUND($P56+$L56/100,9),3),"Fwd price",$M56,"ATM +bp",JGB_PRICE($AE56,$I56+$N56/100,$C56,$AF56),"Yield",JGB_PRICE($AE56,$O56,$C56,$AF56),"ITMBW",IF($BA56="",NA(),$BA56),NA()))</f>
      </c>
      <c r="S56" s="46" cm="1">
        <f t="array" aca="1" ref="S56" ca="1">IF($A56="","",JGB_YIELD($AE56,$R56,$AK56,$AF56))</f>
      </c>
      <c r="T56" s="58"/>
      <c r="U56" s="1">
        <f ca="1">IF($A56="","",IF(OR($X56&lt;&gt;"",$V56&lt;&gt;""),$W56*SQRT(VolDays),IF($T56&lt;&gt;"",$T56,$AT56)))</f>
      </c>
      <c r="V56" s="70"/>
      <c r="W56" s="12">
        <f ca="1">IF($A56="","",IF($X56&lt;&gt;"",$X56*100/(SQRT(252)*$AS56),IF($V56&lt;&gt;"",$V56,IF($T56&lt;&gt;"",$T56,$AT56)/SQRT(VolDays))))</f>
      </c>
      <c r="X56" s="72"/>
      <c r="Y56" s="60">
        <f t="shared" ca="1" si="14"/>
      </c>
      <c r="Z56" s="62">
        <f t="shared" ca="1" si="15"/>
      </c>
      <c r="AA56" s="8">
        <f t="shared" ca="1" si="16"/>
      </c>
      <c r="AB56" s="9">
        <f t="shared" ca="1" si="17"/>
      </c>
      <c r="AD56" s="64">
        <f t="shared" ca="1" si="18"/>
      </c>
      <c r="AE56" s="66" cm="1">
        <f t="array" aca="1" ref="AE56" ca="1">IF($A56="","",_xlfn.XLOOKUP($A56,INDEX(BondList,0,1),INDEX(BondList,0,2)))</f>
      </c>
      <c r="AF56" s="3" cm="1">
        <f t="array" aca="1" ref="AF56" ca="1">IF($A56="","",_xlfn.XLOOKUP($A56,INDEX(BondList,0,1),INDEX(BondList,0,3)))</f>
      </c>
      <c r="AG56" s="9" cm="1">
        <f t="array" aca="1" ref="AG56" ca="1">IF($A56="","",_xlfn.XLOOKUP($A56,INDEX(BondList,0,1),INDEX(BondList,0,4)))</f>
      </c>
      <c r="AH56" s="3" cm="1">
        <f t="array" aca="1" ref="AH56" ca="1">IF($A56="","",_xlfn.XLOOKUP($A56,INDEX(BondList,0,1),INDEX(BondList,0,5)))</f>
      </c>
      <c r="AI56" s="20" cm="1">
        <f t="array" aca="1" ref="AI56" ca="1">IF($A56="","",_xlfn.XLOOKUP($B56,INDEX(SchemeTable,0,1),INDEX(SchemeTable,0,2),NA()))</f>
      </c>
      <c r="AJ56" s="3">
        <f ca="1">IF($A56="","",WORKDAY(TradeDate,1,Holidays))</f>
      </c>
      <c r="AK56" s="3">
        <f ca="1">IF($A56="","",WORKDAY($C56,$D56,Holidays))</f>
      </c>
      <c r="AL56" s="13">
        <f ca="1">IF($A56="","",NETWORKDAYS(TradeDate,$C56-1,Holidays)/252)</f>
      </c>
      <c r="AM56" s="13" cm="1">
        <f t="array" aca="1" ref="AM56" ca="1">IF($A56="","",JGB_AI($AE56,$AJ56,$AF56))</f>
      </c>
      <c r="AN56" s="13" cm="1">
        <f t="array" aca="1" ref="AN56" ca="1">IF($A56="","",JGB_AI($AE56,$AK56,$AF56))</f>
      </c>
      <c r="AO56" s="13" cm="1">
        <f t="array" aca="1" ref="AO56" ca="1">IF($A56="","",JGB_CARRY_COUPONS($AE56,$AF56,$AJ56,$AK56,$G56))</f>
      </c>
      <c r="AP56" s="13">
        <f t="shared" ca="1" si="19"/>
      </c>
      <c r="AQ56" s="9">
        <f t="shared" ca="1" si="20"/>
      </c>
      <c r="AR56" s="13">
        <f t="shared" ca="1" si="21"/>
      </c>
      <c r="AS56" s="12">
        <f t="shared" ca="1" si="22"/>
      </c>
      <c r="AT56" s="68">
        <f t="shared" ca="1" si="23"/>
      </c>
      <c r="AV56" s="66"/>
      <c r="AW56" s="13"/>
      <c r="AX56" s="12"/>
      <c r="AY56" s="1"/>
      <c r="BA56" s="9"/>
      <c r="BC56" s="12"/>
      <c r="BD56" s="64"/>
    </row>
    <row r="57" spans="1:56" x14ac:dyDescent="0.55000000000000004">
      <c r="A57" s="39"/>
      <c r="B57" s="22"/>
      <c r="C57" s="23"/>
      <c r="D57" s="24"/>
      <c r="E57" s="43"/>
      <c r="F57" s="45"/>
      <c r="G57" s="26" cm="1">
        <f t="array" aca="1" ref="G57" ca="1">IF($A57="","",IF($F57&lt;&gt;"",$F57,_xlfn.LET(_xlpm.s,_xlfn.XLOOKUP($B57,INDEX(SchemeTable,0,1),INDEX(SchemeTable,0,3),""),_xlpm.r,_xlfn.SWITCH(_xlpm.s,"Bid",IF(ISBLANK(RepoBid),"",RepoBid),"Offer",IF(ISBLANK(RepoOffer),"",RepoOffer),""),IF(_xlpm.s="","Error: set repo side for "&amp;$B57,IF(_xlpm.r="","Error: enter repo "&amp;LOWER(_xlpm.s),_xlpm.r)))))</f>
      </c>
      <c r="H57" s="27"/>
      <c r="I57" s="26">
        <f t="shared" ca="1" si="12"/>
      </c>
      <c r="J57" s="47" cm="1">
        <f t="array" aca="1" ref="J57" ca="1">IF($A57="","",JGB_PRICE($AE57,$I57,$AJ57,$AF57))</f>
      </c>
      <c r="K57" s="49"/>
      <c r="L57" s="27"/>
      <c r="M57" s="25"/>
      <c r="N57" s="27"/>
      <c r="O57" s="51"/>
      <c r="P57" s="55">
        <f t="shared" ca="1" si="13"/>
      </c>
      <c r="Q57" s="57" cm="1">
        <f t="array" aca="1" ref="Q57" ca="1">IF($A57="","",_xlfn.LET(_xlpm.n,COUNTA($K57:$O57),IF($B57="ITMBW",IF(_xlpm.n=0,"ITMBW","Error: ITMBW takes no strike input"),IF(_xlpm.n=1,_xlfn.XLOOKUP(TRUE,$K57:$O57&lt;&gt;"",{"Spot +sen","Fwd +sen","Fwd price","ATM +bp","Yield"}),IF(_xlpm.n=0,"Error: enter one strike input","Error: enter only one strike input")))))</f>
      </c>
      <c r="R57" s="26" cm="1">
        <f t="array" aca="1" ref="R57" ca="1">IF($A57="","",_xlfn.SWITCH($Q57,"Spot +sen",ROUNDDOWN(ROUND($J57+$K57/100,9),3),"Fwd +sen",ROUNDDOWN(ROUND($P57+$L57/100,9),3),"Fwd price",$M57,"ATM +bp",JGB_PRICE($AE57,$I57+$N57/100,$C57,$AF57),"Yield",JGB_PRICE($AE57,$O57,$C57,$AF57),"ITMBW",IF($BA57="",NA(),$BA57),NA()))</f>
      </c>
      <c r="S57" s="47" cm="1">
        <f t="array" aca="1" ref="S57" ca="1">IF($A57="","",JGB_YIELD($AE57,$R57,$AK57,$AF57))</f>
      </c>
      <c r="T57" s="59"/>
      <c r="U57" s="30">
        <f ca="1">IF($A57="","",IF(OR($X57&lt;&gt;"",$V57&lt;&gt;""),$W57*SQRT(VolDays),IF($T57&lt;&gt;"",$T57,$AT57)))</f>
      </c>
      <c r="V57" s="71"/>
      <c r="W57" s="31">
        <f ca="1">IF($A57="","",IF($X57&lt;&gt;"",$X57*100/(SQRT(252)*$AS57),IF($V57&lt;&gt;"",$V57,IF($T57&lt;&gt;"",$T57,$AT57)/SQRT(VolDays))))</f>
      </c>
      <c r="X57" s="73"/>
      <c r="Y57" s="61">
        <f t="shared" ca="1" si="14"/>
      </c>
      <c r="Z57" s="63">
        <f t="shared" ca="1" si="15"/>
      </c>
      <c r="AA57" s="32">
        <f t="shared" ca="1" si="16"/>
      </c>
      <c r="AB57" s="26">
        <f t="shared" ca="1" si="17"/>
      </c>
      <c r="AC57" s="16"/>
      <c r="AD57" s="65">
        <f t="shared" ca="1" si="18"/>
      </c>
      <c r="AE57" s="67" cm="1">
        <f t="array" aca="1" ref="AE57" ca="1">IF($A57="","",_xlfn.XLOOKUP($A57,INDEX(BondList,0,1),INDEX(BondList,0,2)))</f>
      </c>
      <c r="AF57" s="33" cm="1">
        <f t="array" aca="1" ref="AF57" ca="1">IF($A57="","",_xlfn.XLOOKUP($A57,INDEX(BondList,0,1),INDEX(BondList,0,3)))</f>
      </c>
      <c r="AG57" s="26" cm="1">
        <f t="array" aca="1" ref="AG57" ca="1">IF($A57="","",_xlfn.XLOOKUP($A57,INDEX(BondList,0,1),INDEX(BondList,0,4)))</f>
      </c>
      <c r="AH57" s="33" cm="1">
        <f t="array" aca="1" ref="AH57" ca="1">IF($A57="","",_xlfn.XLOOKUP($A57,INDEX(BondList,0,1),INDEX(BondList,0,5)))</f>
      </c>
      <c r="AI57" s="29" cm="1">
        <f t="array" aca="1" ref="AI57" ca="1">IF($A57="","",_xlfn.XLOOKUP($B57,INDEX(SchemeTable,0,1),INDEX(SchemeTable,0,2),NA()))</f>
      </c>
      <c r="AJ57" s="33">
        <f ca="1">IF($A57="","",WORKDAY(TradeDate,1,Holidays))</f>
      </c>
      <c r="AK57" s="33">
        <f ca="1">IF($A57="","",WORKDAY($C57,$D57,Holidays))</f>
      </c>
      <c r="AL57" s="28">
        <f ca="1">IF($A57="","",NETWORKDAYS(TradeDate,$C57-1,Holidays)/252)</f>
      </c>
      <c r="AM57" s="28" cm="1">
        <f t="array" aca="1" ref="AM57" ca="1">IF($A57="","",JGB_AI($AE57,$AJ57,$AF57))</f>
      </c>
      <c r="AN57" s="28" cm="1">
        <f t="array" aca="1" ref="AN57" ca="1">IF($A57="","",JGB_AI($AE57,$AK57,$AF57))</f>
      </c>
      <c r="AO57" s="28" cm="1">
        <f t="array" aca="1" ref="AO57" ca="1">IF($A57="","",JGB_CARRY_COUPONS($AE57,$AF57,$AJ57,$AK57,$G57))</f>
      </c>
      <c r="AP57" s="28">
        <f t="shared" ca="1" si="19"/>
      </c>
      <c r="AQ57" s="26">
        <f t="shared" ca="1" si="20"/>
      </c>
      <c r="AR57" s="28">
        <f t="shared" ca="1" si="21"/>
      </c>
      <c r="AS57" s="31">
        <f t="shared" ca="1" si="22"/>
      </c>
      <c r="AT57" s="69">
        <f t="shared" ca="1" si="23"/>
      </c>
      <c r="AV57" s="67"/>
      <c r="AW57" s="28"/>
      <c r="AX57" s="31"/>
      <c r="AY57" s="30"/>
      <c r="AZ57" s="16"/>
      <c r="BA57" s="26"/>
      <c r="BB57" s="16"/>
      <c r="BC57" s="31"/>
      <c r="BD57" s="65"/>
    </row>
    <row r="58" spans="1:56" x14ac:dyDescent="0.55000000000000004">
      <c r="A58" s="38"/>
      <c r="B58" s="4"/>
      <c r="C58" s="6"/>
      <c r="D58" s="7"/>
      <c r="E58" s="42"/>
      <c r="F58" s="44"/>
      <c r="G58" s="9" cm="1">
        <f t="array" aca="1" ref="G58" ca="1">IF($A58="","",IF($F58&lt;&gt;"",$F58,_xlfn.LET(_xlpm.s,_xlfn.XLOOKUP($B58,INDEX(SchemeTable,0,1),INDEX(SchemeTable,0,3),""),_xlpm.r,_xlfn.SWITCH(_xlpm.s,"Bid",IF(ISBLANK(RepoBid),"",RepoBid),"Offer",IF(ISBLANK(RepoOffer),"",RepoOffer),""),IF(_xlpm.s="","Error: set repo side for "&amp;$B58,IF(_xlpm.r="","Error: enter repo "&amp;LOWER(_xlpm.s),_xlpm.r)))))</f>
      </c>
      <c r="H58" s="11"/>
      <c r="I58" s="9">
        <f t="shared" ca="1" si="12"/>
      </c>
      <c r="J58" s="46" cm="1">
        <f t="array" aca="1" ref="J58" ca="1">IF($A58="","",JGB_PRICE($AE58,$I58,$AJ58,$AF58))</f>
      </c>
      <c r="K58" s="48"/>
      <c r="L58" s="11"/>
      <c r="M58" s="10"/>
      <c r="N58" s="11"/>
      <c r="O58" s="50"/>
      <c r="P58" s="54">
        <f t="shared" ca="1" si="13"/>
      </c>
      <c r="Q58" s="56" cm="1">
        <f t="array" aca="1" ref="Q58" ca="1">IF($A58="","",_xlfn.LET(_xlpm.n,COUNTA($K58:$O58),IF($B58="ITMBW",IF(_xlpm.n=0,"ITMBW","Error: ITMBW takes no strike input"),IF(_xlpm.n=1,_xlfn.XLOOKUP(TRUE,$K58:$O58&lt;&gt;"",{"Spot +sen","Fwd +sen","Fwd price","ATM +bp","Yield"}),IF(_xlpm.n=0,"Error: enter one strike input","Error: enter only one strike input")))))</f>
      </c>
      <c r="R58" s="9" cm="1">
        <f t="array" aca="1" ref="R58" ca="1">IF($A58="","",_xlfn.SWITCH($Q58,"Spot +sen",ROUNDDOWN(ROUND($J58+$K58/100,9),3),"Fwd +sen",ROUNDDOWN(ROUND($P58+$L58/100,9),3),"Fwd price",$M58,"ATM +bp",JGB_PRICE($AE58,$I58+$N58/100,$C58,$AF58),"Yield",JGB_PRICE($AE58,$O58,$C58,$AF58),"ITMBW",IF($BA58="",NA(),$BA58),NA()))</f>
      </c>
      <c r="S58" s="46" cm="1">
        <f t="array" aca="1" ref="S58" ca="1">IF($A58="","",JGB_YIELD($AE58,$R58,$AK58,$AF58))</f>
      </c>
      <c r="T58" s="58"/>
      <c r="U58" s="1">
        <f ca="1">IF($A58="","",IF(OR($X58&lt;&gt;"",$V58&lt;&gt;""),$W58*SQRT(VolDays),IF($T58&lt;&gt;"",$T58,$AT58)))</f>
      </c>
      <c r="V58" s="70"/>
      <c r="W58" s="12">
        <f ca="1">IF($A58="","",IF($X58&lt;&gt;"",$X58*100/(SQRT(252)*$AS58),IF($V58&lt;&gt;"",$V58,IF($T58&lt;&gt;"",$T58,$AT58)/SQRT(VolDays))))</f>
      </c>
      <c r="X58" s="72"/>
      <c r="Y58" s="60">
        <f t="shared" ca="1" si="14"/>
      </c>
      <c r="Z58" s="62">
        <f t="shared" ca="1" si="15"/>
      </c>
      <c r="AA58" s="8">
        <f t="shared" ca="1" si="16"/>
      </c>
      <c r="AB58" s="9">
        <f t="shared" ca="1" si="17"/>
      </c>
      <c r="AD58" s="64">
        <f t="shared" ca="1" si="18"/>
      </c>
      <c r="AE58" s="66" cm="1">
        <f t="array" aca="1" ref="AE58" ca="1">IF($A58="","",_xlfn.XLOOKUP($A58,INDEX(BondList,0,1),INDEX(BondList,0,2)))</f>
      </c>
      <c r="AF58" s="3" cm="1">
        <f t="array" aca="1" ref="AF58" ca="1">IF($A58="","",_xlfn.XLOOKUP($A58,INDEX(BondList,0,1),INDEX(BondList,0,3)))</f>
      </c>
      <c r="AG58" s="9" cm="1">
        <f t="array" aca="1" ref="AG58" ca="1">IF($A58="","",_xlfn.XLOOKUP($A58,INDEX(BondList,0,1),INDEX(BondList,0,4)))</f>
      </c>
      <c r="AH58" s="3" cm="1">
        <f t="array" aca="1" ref="AH58" ca="1">IF($A58="","",_xlfn.XLOOKUP($A58,INDEX(BondList,0,1),INDEX(BondList,0,5)))</f>
      </c>
      <c r="AI58" s="20" cm="1">
        <f t="array" aca="1" ref="AI58" ca="1">IF($A58="","",_xlfn.XLOOKUP($B58,INDEX(SchemeTable,0,1),INDEX(SchemeTable,0,2),NA()))</f>
      </c>
      <c r="AJ58" s="3">
        <f ca="1">IF($A58="","",WORKDAY(TradeDate,1,Holidays))</f>
      </c>
      <c r="AK58" s="3">
        <f ca="1">IF($A58="","",WORKDAY($C58,$D58,Holidays))</f>
      </c>
      <c r="AL58" s="13">
        <f ca="1">IF($A58="","",NETWORKDAYS(TradeDate,$C58-1,Holidays)/252)</f>
      </c>
      <c r="AM58" s="13" cm="1">
        <f t="array" aca="1" ref="AM58" ca="1">IF($A58="","",JGB_AI($AE58,$AJ58,$AF58))</f>
      </c>
      <c r="AN58" s="13" cm="1">
        <f t="array" aca="1" ref="AN58" ca="1">IF($A58="","",JGB_AI($AE58,$AK58,$AF58))</f>
      </c>
      <c r="AO58" s="13" cm="1">
        <f t="array" aca="1" ref="AO58" ca="1">IF($A58="","",JGB_CARRY_COUPONS($AE58,$AF58,$AJ58,$AK58,$G58))</f>
      </c>
      <c r="AP58" s="13">
        <f t="shared" ca="1" si="19"/>
      </c>
      <c r="AQ58" s="9">
        <f t="shared" ca="1" si="20"/>
      </c>
      <c r="AR58" s="13">
        <f t="shared" ca="1" si="21"/>
      </c>
      <c r="AS58" s="12">
        <f t="shared" ca="1" si="22"/>
      </c>
      <c r="AT58" s="68">
        <f t="shared" ca="1" si="23"/>
      </c>
      <c r="AV58" s="66"/>
      <c r="AW58" s="13"/>
      <c r="AX58" s="12"/>
      <c r="AY58" s="1"/>
      <c r="BA58" s="9"/>
      <c r="BC58" s="12"/>
      <c r="BD58" s="64"/>
    </row>
    <row r="59" spans="1:56" x14ac:dyDescent="0.55000000000000004">
      <c r="A59" s="38"/>
      <c r="B59" s="4"/>
      <c r="C59" s="6"/>
      <c r="D59" s="7"/>
      <c r="E59" s="42"/>
      <c r="F59" s="44"/>
      <c r="G59" s="9" cm="1">
        <f t="array" aca="1" ref="G59" ca="1">IF($A59="","",IF($F59&lt;&gt;"",$F59,_xlfn.LET(_xlpm.s,_xlfn.XLOOKUP($B59,INDEX(SchemeTable,0,1),INDEX(SchemeTable,0,3),""),_xlpm.r,_xlfn.SWITCH(_xlpm.s,"Bid",IF(ISBLANK(RepoBid),"",RepoBid),"Offer",IF(ISBLANK(RepoOffer),"",RepoOffer),""),IF(_xlpm.s="","Error: set repo side for "&amp;$B59,IF(_xlpm.r="","Error: enter repo "&amp;LOWER(_xlpm.s),_xlpm.r)))))</f>
      </c>
      <c r="H59" s="11"/>
      <c r="I59" s="9">
        <f t="shared" ca="1" si="12"/>
      </c>
      <c r="J59" s="46" cm="1">
        <f t="array" aca="1" ref="J59" ca="1">IF($A59="","",JGB_PRICE($AE59,$I59,$AJ59,$AF59))</f>
      </c>
      <c r="K59" s="48"/>
      <c r="L59" s="11"/>
      <c r="M59" s="10"/>
      <c r="N59" s="11"/>
      <c r="O59" s="50"/>
      <c r="P59" s="54">
        <f t="shared" ca="1" si="13"/>
      </c>
      <c r="Q59" s="56" cm="1">
        <f t="array" aca="1" ref="Q59" ca="1">IF($A59="","",_xlfn.LET(_xlpm.n,COUNTA($K59:$O59),IF($B59="ITMBW",IF(_xlpm.n=0,"ITMBW","Error: ITMBW takes no strike input"),IF(_xlpm.n=1,_xlfn.XLOOKUP(TRUE,$K59:$O59&lt;&gt;"",{"Spot +sen","Fwd +sen","Fwd price","ATM +bp","Yield"}),IF(_xlpm.n=0,"Error: enter one strike input","Error: enter only one strike input")))))</f>
      </c>
      <c r="R59" s="9" cm="1">
        <f t="array" aca="1" ref="R59" ca="1">IF($A59="","",_xlfn.SWITCH($Q59,"Spot +sen",ROUNDDOWN(ROUND($J59+$K59/100,9),3),"Fwd +sen",ROUNDDOWN(ROUND($P59+$L59/100,9),3),"Fwd price",$M59,"ATM +bp",JGB_PRICE($AE59,$I59+$N59/100,$C59,$AF59),"Yield",JGB_PRICE($AE59,$O59,$C59,$AF59),"ITMBW",IF($BA59="",NA(),$BA59),NA()))</f>
      </c>
      <c r="S59" s="46" cm="1">
        <f t="array" aca="1" ref="S59" ca="1">IF($A59="","",JGB_YIELD($AE59,$R59,$AK59,$AF59))</f>
      </c>
      <c r="T59" s="58"/>
      <c r="U59" s="1">
        <f ca="1">IF($A59="","",IF(OR($X59&lt;&gt;"",$V59&lt;&gt;""),$W59*SQRT(VolDays),IF($T59&lt;&gt;"",$T59,$AT59)))</f>
      </c>
      <c r="V59" s="70"/>
      <c r="W59" s="12">
        <f ca="1">IF($A59="","",IF($X59&lt;&gt;"",$X59*100/(SQRT(252)*$AS59),IF($V59&lt;&gt;"",$V59,IF($T59&lt;&gt;"",$T59,$AT59)/SQRT(VolDays))))</f>
      </c>
      <c r="X59" s="72"/>
      <c r="Y59" s="60">
        <f t="shared" ca="1" si="14"/>
      </c>
      <c r="Z59" s="62">
        <f t="shared" ca="1" si="15"/>
      </c>
      <c r="AA59" s="8">
        <f t="shared" ca="1" si="16"/>
      </c>
      <c r="AB59" s="9">
        <f t="shared" ca="1" si="17"/>
      </c>
      <c r="AD59" s="64">
        <f t="shared" ca="1" si="18"/>
      </c>
      <c r="AE59" s="66" cm="1">
        <f t="array" aca="1" ref="AE59" ca="1">IF($A59="","",_xlfn.XLOOKUP($A59,INDEX(BondList,0,1),INDEX(BondList,0,2)))</f>
      </c>
      <c r="AF59" s="3" cm="1">
        <f t="array" aca="1" ref="AF59" ca="1">IF($A59="","",_xlfn.XLOOKUP($A59,INDEX(BondList,0,1),INDEX(BondList,0,3)))</f>
      </c>
      <c r="AG59" s="9" cm="1">
        <f t="array" aca="1" ref="AG59" ca="1">IF($A59="","",_xlfn.XLOOKUP($A59,INDEX(BondList,0,1),INDEX(BondList,0,4)))</f>
      </c>
      <c r="AH59" s="3" cm="1">
        <f t="array" aca="1" ref="AH59" ca="1">IF($A59="","",_xlfn.XLOOKUP($A59,INDEX(BondList,0,1),INDEX(BondList,0,5)))</f>
      </c>
      <c r="AI59" s="20" cm="1">
        <f t="array" aca="1" ref="AI59" ca="1">IF($A59="","",_xlfn.XLOOKUP($B59,INDEX(SchemeTable,0,1),INDEX(SchemeTable,0,2),NA()))</f>
      </c>
      <c r="AJ59" s="3">
        <f ca="1">IF($A59="","",WORKDAY(TradeDate,1,Holidays))</f>
      </c>
      <c r="AK59" s="3">
        <f ca="1">IF($A59="","",WORKDAY($C59,$D59,Holidays))</f>
      </c>
      <c r="AL59" s="13">
        <f ca="1">IF($A59="","",NETWORKDAYS(TradeDate,$C59-1,Holidays)/252)</f>
      </c>
      <c r="AM59" s="13" cm="1">
        <f t="array" aca="1" ref="AM59" ca="1">IF($A59="","",JGB_AI($AE59,$AJ59,$AF59))</f>
      </c>
      <c r="AN59" s="13" cm="1">
        <f t="array" aca="1" ref="AN59" ca="1">IF($A59="","",JGB_AI($AE59,$AK59,$AF59))</f>
      </c>
      <c r="AO59" s="13" cm="1">
        <f t="array" aca="1" ref="AO59" ca="1">IF($A59="","",JGB_CARRY_COUPONS($AE59,$AF59,$AJ59,$AK59,$G59))</f>
      </c>
      <c r="AP59" s="13">
        <f t="shared" ca="1" si="19"/>
      </c>
      <c r="AQ59" s="9">
        <f t="shared" ca="1" si="20"/>
      </c>
      <c r="AR59" s="13">
        <f t="shared" ca="1" si="21"/>
      </c>
      <c r="AS59" s="12">
        <f t="shared" ca="1" si="22"/>
      </c>
      <c r="AT59" s="68">
        <f t="shared" ca="1" si="23"/>
      </c>
      <c r="AV59" s="66"/>
      <c r="AW59" s="13"/>
      <c r="AX59" s="12"/>
      <c r="AY59" s="1"/>
      <c r="BA59" s="9"/>
      <c r="BC59" s="12"/>
      <c r="BD59" s="64"/>
    </row>
    <row r="60" spans="1:56" x14ac:dyDescent="0.55000000000000004">
      <c r="A60" s="38"/>
      <c r="B60" s="4"/>
      <c r="C60" s="6"/>
      <c r="D60" s="7"/>
      <c r="E60" s="42"/>
      <c r="F60" s="44"/>
      <c r="G60" s="9" cm="1">
        <f t="array" aca="1" ref="G60" ca="1">IF($A60="","",IF($F60&lt;&gt;"",$F60,_xlfn.LET(_xlpm.s,_xlfn.XLOOKUP($B60,INDEX(SchemeTable,0,1),INDEX(SchemeTable,0,3),""),_xlpm.r,_xlfn.SWITCH(_xlpm.s,"Bid",IF(ISBLANK(RepoBid),"",RepoBid),"Offer",IF(ISBLANK(RepoOffer),"",RepoOffer),""),IF(_xlpm.s="","Error: set repo side for "&amp;$B60,IF(_xlpm.r="","Error: enter repo "&amp;LOWER(_xlpm.s),_xlpm.r)))))</f>
      </c>
      <c r="H60" s="11"/>
      <c r="I60" s="9">
        <f t="shared" ca="1" si="12"/>
      </c>
      <c r="J60" s="46" cm="1">
        <f t="array" aca="1" ref="J60" ca="1">IF($A60="","",JGB_PRICE($AE60,$I60,$AJ60,$AF60))</f>
      </c>
      <c r="K60" s="48"/>
      <c r="L60" s="11"/>
      <c r="M60" s="10"/>
      <c r="N60" s="11"/>
      <c r="O60" s="50"/>
      <c r="P60" s="54">
        <f t="shared" ca="1" si="13"/>
      </c>
      <c r="Q60" s="56" cm="1">
        <f t="array" aca="1" ref="Q60" ca="1">IF($A60="","",_xlfn.LET(_xlpm.n,COUNTA($K60:$O60),IF($B60="ITMBW",IF(_xlpm.n=0,"ITMBW","Error: ITMBW takes no strike input"),IF(_xlpm.n=1,_xlfn.XLOOKUP(TRUE,$K60:$O60&lt;&gt;"",{"Spot +sen","Fwd +sen","Fwd price","ATM +bp","Yield"}),IF(_xlpm.n=0,"Error: enter one strike input","Error: enter only one strike input")))))</f>
      </c>
      <c r="R60" s="9" cm="1">
        <f t="array" aca="1" ref="R60" ca="1">IF($A60="","",_xlfn.SWITCH($Q60,"Spot +sen",ROUNDDOWN(ROUND($J60+$K60/100,9),3),"Fwd +sen",ROUNDDOWN(ROUND($P60+$L60/100,9),3),"Fwd price",$M60,"ATM +bp",JGB_PRICE($AE60,$I60+$N60/100,$C60,$AF60),"Yield",JGB_PRICE($AE60,$O60,$C60,$AF60),"ITMBW",IF($BA60="",NA(),$BA60),NA()))</f>
      </c>
      <c r="S60" s="46" cm="1">
        <f t="array" aca="1" ref="S60" ca="1">IF($A60="","",JGB_YIELD($AE60,$R60,$AK60,$AF60))</f>
      </c>
      <c r="T60" s="58"/>
      <c r="U60" s="1">
        <f ca="1">IF($A60="","",IF(OR($X60&lt;&gt;"",$V60&lt;&gt;""),$W60*SQRT(VolDays),IF($T60&lt;&gt;"",$T60,$AT60)))</f>
      </c>
      <c r="V60" s="70"/>
      <c r="W60" s="12">
        <f ca="1">IF($A60="","",IF($X60&lt;&gt;"",$X60*100/(SQRT(252)*$AS60),IF($V60&lt;&gt;"",$V60,IF($T60&lt;&gt;"",$T60,$AT60)/SQRT(VolDays))))</f>
      </c>
      <c r="X60" s="72"/>
      <c r="Y60" s="60">
        <f t="shared" ca="1" si="14"/>
      </c>
      <c r="Z60" s="62">
        <f t="shared" ca="1" si="15"/>
      </c>
      <c r="AA60" s="8">
        <f t="shared" ca="1" si="16"/>
      </c>
      <c r="AB60" s="9">
        <f t="shared" ca="1" si="17"/>
      </c>
      <c r="AD60" s="64">
        <f t="shared" ca="1" si="18"/>
      </c>
      <c r="AE60" s="66" cm="1">
        <f t="array" aca="1" ref="AE60" ca="1">IF($A60="","",_xlfn.XLOOKUP($A60,INDEX(BondList,0,1),INDEX(BondList,0,2)))</f>
      </c>
      <c r="AF60" s="3" cm="1">
        <f t="array" aca="1" ref="AF60" ca="1">IF($A60="","",_xlfn.XLOOKUP($A60,INDEX(BondList,0,1),INDEX(BondList,0,3)))</f>
      </c>
      <c r="AG60" s="9" cm="1">
        <f t="array" aca="1" ref="AG60" ca="1">IF($A60="","",_xlfn.XLOOKUP($A60,INDEX(BondList,0,1),INDEX(BondList,0,4)))</f>
      </c>
      <c r="AH60" s="3" cm="1">
        <f t="array" aca="1" ref="AH60" ca="1">IF($A60="","",_xlfn.XLOOKUP($A60,INDEX(BondList,0,1),INDEX(BondList,0,5)))</f>
      </c>
      <c r="AI60" s="20" cm="1">
        <f t="array" aca="1" ref="AI60" ca="1">IF($A60="","",_xlfn.XLOOKUP($B60,INDEX(SchemeTable,0,1),INDEX(SchemeTable,0,2),NA()))</f>
      </c>
      <c r="AJ60" s="3">
        <f ca="1">IF($A60="","",WORKDAY(TradeDate,1,Holidays))</f>
      </c>
      <c r="AK60" s="3">
        <f ca="1">IF($A60="","",WORKDAY($C60,$D60,Holidays))</f>
      </c>
      <c r="AL60" s="13">
        <f ca="1">IF($A60="","",NETWORKDAYS(TradeDate,$C60-1,Holidays)/252)</f>
      </c>
      <c r="AM60" s="13" cm="1">
        <f t="array" aca="1" ref="AM60" ca="1">IF($A60="","",JGB_AI($AE60,$AJ60,$AF60))</f>
      </c>
      <c r="AN60" s="13" cm="1">
        <f t="array" aca="1" ref="AN60" ca="1">IF($A60="","",JGB_AI($AE60,$AK60,$AF60))</f>
      </c>
      <c r="AO60" s="13" cm="1">
        <f t="array" aca="1" ref="AO60" ca="1">IF($A60="","",JGB_CARRY_COUPONS($AE60,$AF60,$AJ60,$AK60,$G60))</f>
      </c>
      <c r="AP60" s="13">
        <f t="shared" ca="1" si="19"/>
      </c>
      <c r="AQ60" s="9">
        <f t="shared" ca="1" si="20"/>
      </c>
      <c r="AR60" s="13">
        <f t="shared" ca="1" si="21"/>
      </c>
      <c r="AS60" s="12">
        <f t="shared" ca="1" si="22"/>
      </c>
      <c r="AT60" s="68">
        <f t="shared" ca="1" si="23"/>
      </c>
      <c r="AV60" s="66"/>
      <c r="AW60" s="13"/>
      <c r="AX60" s="12"/>
      <c r="AY60" s="1"/>
      <c r="BA60" s="9"/>
      <c r="BC60" s="12"/>
      <c r="BD60" s="64"/>
    </row>
    <row r="61" spans="1:56" x14ac:dyDescent="0.55000000000000004">
      <c r="A61" s="38"/>
      <c r="B61" s="4"/>
      <c r="C61" s="6"/>
      <c r="D61" s="7"/>
      <c r="E61" s="42"/>
      <c r="F61" s="44"/>
      <c r="G61" s="9" cm="1">
        <f t="array" aca="1" ref="G61" ca="1">IF($A61="","",IF($F61&lt;&gt;"",$F61,_xlfn.LET(_xlpm.s,_xlfn.XLOOKUP($B61,INDEX(SchemeTable,0,1),INDEX(SchemeTable,0,3),""),_xlpm.r,_xlfn.SWITCH(_xlpm.s,"Bid",IF(ISBLANK(RepoBid),"",RepoBid),"Offer",IF(ISBLANK(RepoOffer),"",RepoOffer),""),IF(_xlpm.s="","Error: set repo side for "&amp;$B61,IF(_xlpm.r="","Error: enter repo "&amp;LOWER(_xlpm.s),_xlpm.r)))))</f>
      </c>
      <c r="H61" s="11"/>
      <c r="I61" s="9">
        <f t="shared" ca="1" si="12"/>
      </c>
      <c r="J61" s="46" cm="1">
        <f t="array" aca="1" ref="J61" ca="1">IF($A61="","",JGB_PRICE($AE61,$I61,$AJ61,$AF61))</f>
      </c>
      <c r="K61" s="48"/>
      <c r="L61" s="11"/>
      <c r="M61" s="10"/>
      <c r="N61" s="11"/>
      <c r="O61" s="50"/>
      <c r="P61" s="54">
        <f t="shared" ca="1" si="13"/>
      </c>
      <c r="Q61" s="56" cm="1">
        <f t="array" aca="1" ref="Q61" ca="1">IF($A61="","",_xlfn.LET(_xlpm.n,COUNTA($K61:$O61),IF($B61="ITMBW",IF(_xlpm.n=0,"ITMBW","Error: ITMBW takes no strike input"),IF(_xlpm.n=1,_xlfn.XLOOKUP(TRUE,$K61:$O61&lt;&gt;"",{"Spot +sen","Fwd +sen","Fwd price","ATM +bp","Yield"}),IF(_xlpm.n=0,"Error: enter one strike input","Error: enter only one strike input")))))</f>
      </c>
      <c r="R61" s="9" cm="1">
        <f t="array" aca="1" ref="R61" ca="1">IF($A61="","",_xlfn.SWITCH($Q61,"Spot +sen",ROUNDDOWN(ROUND($J61+$K61/100,9),3),"Fwd +sen",ROUNDDOWN(ROUND($P61+$L61/100,9),3),"Fwd price",$M61,"ATM +bp",JGB_PRICE($AE61,$I61+$N61/100,$C61,$AF61),"Yield",JGB_PRICE($AE61,$O61,$C61,$AF61),"ITMBW",IF($BA61="",NA(),$BA61),NA()))</f>
      </c>
      <c r="S61" s="46" cm="1">
        <f t="array" aca="1" ref="S61" ca="1">IF($A61="","",JGB_YIELD($AE61,$R61,$AK61,$AF61))</f>
      </c>
      <c r="T61" s="58"/>
      <c r="U61" s="1">
        <f ca="1">IF($A61="","",IF(OR($X61&lt;&gt;"",$V61&lt;&gt;""),$W61*SQRT(VolDays),IF($T61&lt;&gt;"",$T61,$AT61)))</f>
      </c>
      <c r="V61" s="70"/>
      <c r="W61" s="12">
        <f ca="1">IF($A61="","",IF($X61&lt;&gt;"",$X61*100/(SQRT(252)*$AS61),IF($V61&lt;&gt;"",$V61,IF($T61&lt;&gt;"",$T61,$AT61)/SQRT(VolDays))))</f>
      </c>
      <c r="X61" s="72"/>
      <c r="Y61" s="60">
        <f t="shared" ca="1" si="14"/>
      </c>
      <c r="Z61" s="62">
        <f t="shared" ca="1" si="15"/>
      </c>
      <c r="AA61" s="8">
        <f t="shared" ca="1" si="16"/>
      </c>
      <c r="AB61" s="9">
        <f t="shared" ca="1" si="17"/>
      </c>
      <c r="AD61" s="64">
        <f t="shared" ca="1" si="18"/>
      </c>
      <c r="AE61" s="66" cm="1">
        <f t="array" aca="1" ref="AE61" ca="1">IF($A61="","",_xlfn.XLOOKUP($A61,INDEX(BondList,0,1),INDEX(BondList,0,2)))</f>
      </c>
      <c r="AF61" s="3" cm="1">
        <f t="array" aca="1" ref="AF61" ca="1">IF($A61="","",_xlfn.XLOOKUP($A61,INDEX(BondList,0,1),INDEX(BondList,0,3)))</f>
      </c>
      <c r="AG61" s="9" cm="1">
        <f t="array" aca="1" ref="AG61" ca="1">IF($A61="","",_xlfn.XLOOKUP($A61,INDEX(BondList,0,1),INDEX(BondList,0,4)))</f>
      </c>
      <c r="AH61" s="3" cm="1">
        <f t="array" aca="1" ref="AH61" ca="1">IF($A61="","",_xlfn.XLOOKUP($A61,INDEX(BondList,0,1),INDEX(BondList,0,5)))</f>
      </c>
      <c r="AI61" s="20" cm="1">
        <f t="array" aca="1" ref="AI61" ca="1">IF($A61="","",_xlfn.XLOOKUP($B61,INDEX(SchemeTable,0,1),INDEX(SchemeTable,0,2),NA()))</f>
      </c>
      <c r="AJ61" s="3">
        <f ca="1">IF($A61="","",WORKDAY(TradeDate,1,Holidays))</f>
      </c>
      <c r="AK61" s="3">
        <f ca="1">IF($A61="","",WORKDAY($C61,$D61,Holidays))</f>
      </c>
      <c r="AL61" s="13">
        <f ca="1">IF($A61="","",NETWORKDAYS(TradeDate,$C61-1,Holidays)/252)</f>
      </c>
      <c r="AM61" s="13" cm="1">
        <f t="array" aca="1" ref="AM61" ca="1">IF($A61="","",JGB_AI($AE61,$AJ61,$AF61))</f>
      </c>
      <c r="AN61" s="13" cm="1">
        <f t="array" aca="1" ref="AN61" ca="1">IF($A61="","",JGB_AI($AE61,$AK61,$AF61))</f>
      </c>
      <c r="AO61" s="13" cm="1">
        <f t="array" aca="1" ref="AO61" ca="1">IF($A61="","",JGB_CARRY_COUPONS($AE61,$AF61,$AJ61,$AK61,$G61))</f>
      </c>
      <c r="AP61" s="13">
        <f t="shared" ca="1" si="19"/>
      </c>
      <c r="AQ61" s="9">
        <f t="shared" ca="1" si="20"/>
      </c>
      <c r="AR61" s="13">
        <f t="shared" ca="1" si="21"/>
      </c>
      <c r="AS61" s="12">
        <f t="shared" ca="1" si="22"/>
      </c>
      <c r="AT61" s="68">
        <f t="shared" ca="1" si="23"/>
      </c>
      <c r="AV61" s="66"/>
      <c r="AW61" s="13"/>
      <c r="AX61" s="12"/>
      <c r="AY61" s="1"/>
      <c r="BA61" s="9"/>
      <c r="BC61" s="12"/>
      <c r="BD61" s="64"/>
    </row>
    <row r="62" spans="1:56" x14ac:dyDescent="0.55000000000000004">
      <c r="A62" s="39"/>
      <c r="B62" s="22"/>
      <c r="C62" s="23"/>
      <c r="D62" s="24"/>
      <c r="E62" s="43"/>
      <c r="F62" s="45"/>
      <c r="G62" s="26" cm="1">
        <f t="array" aca="1" ref="G62" ca="1">IF($A62="","",IF($F62&lt;&gt;"",$F62,_xlfn.LET(_xlpm.s,_xlfn.XLOOKUP($B62,INDEX(SchemeTable,0,1),INDEX(SchemeTable,0,3),""),_xlpm.r,_xlfn.SWITCH(_xlpm.s,"Bid",IF(ISBLANK(RepoBid),"",RepoBid),"Offer",IF(ISBLANK(RepoOffer),"",RepoOffer),""),IF(_xlpm.s="","Error: set repo side for "&amp;$B62,IF(_xlpm.r="","Error: enter repo "&amp;LOWER(_xlpm.s),_xlpm.r)))))</f>
      </c>
      <c r="H62" s="27"/>
      <c r="I62" s="26">
        <f t="shared" ca="1" si="12"/>
      </c>
      <c r="J62" s="47" cm="1">
        <f t="array" aca="1" ref="J62" ca="1">IF($A62="","",JGB_PRICE($AE62,$I62,$AJ62,$AF62))</f>
      </c>
      <c r="K62" s="49"/>
      <c r="L62" s="27"/>
      <c r="M62" s="25"/>
      <c r="N62" s="27"/>
      <c r="O62" s="51"/>
      <c r="P62" s="55">
        <f t="shared" ca="1" si="13"/>
      </c>
      <c r="Q62" s="57" cm="1">
        <f t="array" aca="1" ref="Q62" ca="1">IF($A62="","",_xlfn.LET(_xlpm.n,COUNTA($K62:$O62),IF($B62="ITMBW",IF(_xlpm.n=0,"ITMBW","Error: ITMBW takes no strike input"),IF(_xlpm.n=1,_xlfn.XLOOKUP(TRUE,$K62:$O62&lt;&gt;"",{"Spot +sen","Fwd +sen","Fwd price","ATM +bp","Yield"}),IF(_xlpm.n=0,"Error: enter one strike input","Error: enter only one strike input")))))</f>
      </c>
      <c r="R62" s="26" cm="1">
        <f t="array" aca="1" ref="R62" ca="1">IF($A62="","",_xlfn.SWITCH($Q62,"Spot +sen",ROUNDDOWN(ROUND($J62+$K62/100,9),3),"Fwd +sen",ROUNDDOWN(ROUND($P62+$L62/100,9),3),"Fwd price",$M62,"ATM +bp",JGB_PRICE($AE62,$I62+$N62/100,$C62,$AF62),"Yield",JGB_PRICE($AE62,$O62,$C62,$AF62),"ITMBW",IF($BA62="",NA(),$BA62),NA()))</f>
      </c>
      <c r="S62" s="47" cm="1">
        <f t="array" aca="1" ref="S62" ca="1">IF($A62="","",JGB_YIELD($AE62,$R62,$AK62,$AF62))</f>
      </c>
      <c r="T62" s="59"/>
      <c r="U62" s="30">
        <f ca="1">IF($A62="","",IF(OR($X62&lt;&gt;"",$V62&lt;&gt;""),$W62*SQRT(VolDays),IF($T62&lt;&gt;"",$T62,$AT62)))</f>
      </c>
      <c r="V62" s="71"/>
      <c r="W62" s="31">
        <f ca="1">IF($A62="","",IF($X62&lt;&gt;"",$X62*100/(SQRT(252)*$AS62),IF($V62&lt;&gt;"",$V62,IF($T62&lt;&gt;"",$T62,$AT62)/SQRT(VolDays))))</f>
      </c>
      <c r="X62" s="73"/>
      <c r="Y62" s="61">
        <f t="shared" ca="1" si="14"/>
      </c>
      <c r="Z62" s="63">
        <f t="shared" ca="1" si="15"/>
      </c>
      <c r="AA62" s="32">
        <f t="shared" ca="1" si="16"/>
      </c>
      <c r="AB62" s="26">
        <f t="shared" ca="1" si="17"/>
      </c>
      <c r="AC62" s="16"/>
      <c r="AD62" s="65">
        <f t="shared" ca="1" si="18"/>
      </c>
      <c r="AE62" s="67" cm="1">
        <f t="array" aca="1" ref="AE62" ca="1">IF($A62="","",_xlfn.XLOOKUP($A62,INDEX(BondList,0,1),INDEX(BondList,0,2)))</f>
      </c>
      <c r="AF62" s="33" cm="1">
        <f t="array" aca="1" ref="AF62" ca="1">IF($A62="","",_xlfn.XLOOKUP($A62,INDEX(BondList,0,1),INDEX(BondList,0,3)))</f>
      </c>
      <c r="AG62" s="26" cm="1">
        <f t="array" aca="1" ref="AG62" ca="1">IF($A62="","",_xlfn.XLOOKUP($A62,INDEX(BondList,0,1),INDEX(BondList,0,4)))</f>
      </c>
      <c r="AH62" s="33" cm="1">
        <f t="array" aca="1" ref="AH62" ca="1">IF($A62="","",_xlfn.XLOOKUP($A62,INDEX(BondList,0,1),INDEX(BondList,0,5)))</f>
      </c>
      <c r="AI62" s="29" cm="1">
        <f t="array" aca="1" ref="AI62" ca="1">IF($A62="","",_xlfn.XLOOKUP($B62,INDEX(SchemeTable,0,1),INDEX(SchemeTable,0,2),NA()))</f>
      </c>
      <c r="AJ62" s="33">
        <f ca="1">IF($A62="","",WORKDAY(TradeDate,1,Holidays))</f>
      </c>
      <c r="AK62" s="33">
        <f ca="1">IF($A62="","",WORKDAY($C62,$D62,Holidays))</f>
      </c>
      <c r="AL62" s="28">
        <f ca="1">IF($A62="","",NETWORKDAYS(TradeDate,$C62-1,Holidays)/252)</f>
      </c>
      <c r="AM62" s="28" cm="1">
        <f t="array" aca="1" ref="AM62" ca="1">IF($A62="","",JGB_AI($AE62,$AJ62,$AF62))</f>
      </c>
      <c r="AN62" s="28" cm="1">
        <f t="array" aca="1" ref="AN62" ca="1">IF($A62="","",JGB_AI($AE62,$AK62,$AF62))</f>
      </c>
      <c r="AO62" s="28" cm="1">
        <f t="array" aca="1" ref="AO62" ca="1">IF($A62="","",JGB_CARRY_COUPONS($AE62,$AF62,$AJ62,$AK62,$G62))</f>
      </c>
      <c r="AP62" s="28">
        <f t="shared" ca="1" si="19"/>
      </c>
      <c r="AQ62" s="26">
        <f t="shared" ca="1" si="20"/>
      </c>
      <c r="AR62" s="28">
        <f t="shared" ca="1" si="21"/>
      </c>
      <c r="AS62" s="31">
        <f t="shared" ca="1" si="22"/>
      </c>
      <c r="AT62" s="69">
        <f t="shared" ca="1" si="23"/>
      </c>
      <c r="AV62" s="67"/>
      <c r="AW62" s="28"/>
      <c r="AX62" s="31"/>
      <c r="AY62" s="30"/>
      <c r="AZ62" s="16"/>
      <c r="BA62" s="26"/>
      <c r="BB62" s="16"/>
      <c r="BC62" s="31"/>
      <c r="BD62" s="65"/>
    </row>
    <row r="63" spans="1:56" x14ac:dyDescent="0.55000000000000004">
      <c r="A63" s="38"/>
      <c r="B63" s="4"/>
      <c r="C63" s="6"/>
      <c r="D63" s="7"/>
      <c r="E63" s="42"/>
      <c r="F63" s="44"/>
      <c r="G63" s="9" cm="1">
        <f t="array" aca="1" ref="G63" ca="1">IF($A63="","",IF($F63&lt;&gt;"",$F63,_xlfn.LET(_xlpm.s,_xlfn.XLOOKUP($B63,INDEX(SchemeTable,0,1),INDEX(SchemeTable,0,3),""),_xlpm.r,_xlfn.SWITCH(_xlpm.s,"Bid",IF(ISBLANK(RepoBid),"",RepoBid),"Offer",IF(ISBLANK(RepoOffer),"",RepoOffer),""),IF(_xlpm.s="","Error: set repo side for "&amp;$B63,IF(_xlpm.r="","Error: enter repo "&amp;LOWER(_xlpm.s),_xlpm.r)))))</f>
      </c>
      <c r="H63" s="11"/>
      <c r="I63" s="9">
        <f t="shared" ca="1" si="12"/>
      </c>
      <c r="J63" s="46" cm="1">
        <f t="array" aca="1" ref="J63" ca="1">IF($A63="","",JGB_PRICE($AE63,$I63,$AJ63,$AF63))</f>
      </c>
      <c r="K63" s="48"/>
      <c r="L63" s="11"/>
      <c r="M63" s="10"/>
      <c r="N63" s="11"/>
      <c r="O63" s="50"/>
      <c r="P63" s="54">
        <f t="shared" ca="1" si="13"/>
      </c>
      <c r="Q63" s="56" cm="1">
        <f t="array" aca="1" ref="Q63" ca="1">IF($A63="","",_xlfn.LET(_xlpm.n,COUNTA($K63:$O63),IF($B63="ITMBW",IF(_xlpm.n=0,"ITMBW","Error: ITMBW takes no strike input"),IF(_xlpm.n=1,_xlfn.XLOOKUP(TRUE,$K63:$O63&lt;&gt;"",{"Spot +sen","Fwd +sen","Fwd price","ATM +bp","Yield"}),IF(_xlpm.n=0,"Error: enter one strike input","Error: enter only one strike input")))))</f>
      </c>
      <c r="R63" s="9" cm="1">
        <f t="array" aca="1" ref="R63" ca="1">IF($A63="","",_xlfn.SWITCH($Q63,"Spot +sen",ROUNDDOWN(ROUND($J63+$K63/100,9),3),"Fwd +sen",ROUNDDOWN(ROUND($P63+$L63/100,9),3),"Fwd price",$M63,"ATM +bp",JGB_PRICE($AE63,$I63+$N63/100,$C63,$AF63),"Yield",JGB_PRICE($AE63,$O63,$C63,$AF63),"ITMBW",IF($BA63="",NA(),$BA63),NA()))</f>
      </c>
      <c r="S63" s="46" cm="1">
        <f t="array" aca="1" ref="S63" ca="1">IF($A63="","",JGB_YIELD($AE63,$R63,$AK63,$AF63))</f>
      </c>
      <c r="T63" s="58"/>
      <c r="U63" s="1">
        <f ca="1">IF($A63="","",IF(OR($X63&lt;&gt;"",$V63&lt;&gt;""),$W63*SQRT(VolDays),IF($T63&lt;&gt;"",$T63,$AT63)))</f>
      </c>
      <c r="V63" s="70"/>
      <c r="W63" s="12">
        <f ca="1">IF($A63="","",IF($X63&lt;&gt;"",$X63*100/(SQRT(252)*$AS63),IF($V63&lt;&gt;"",$V63,IF($T63&lt;&gt;"",$T63,$AT63)/SQRT(VolDays))))</f>
      </c>
      <c r="X63" s="72"/>
      <c r="Y63" s="60">
        <f t="shared" ca="1" si="14"/>
      </c>
      <c r="Z63" s="62">
        <f t="shared" ca="1" si="15"/>
      </c>
      <c r="AA63" s="8">
        <f t="shared" ca="1" si="16"/>
      </c>
      <c r="AB63" s="9">
        <f t="shared" ca="1" si="17"/>
      </c>
      <c r="AD63" s="64">
        <f t="shared" ca="1" si="18"/>
      </c>
      <c r="AE63" s="66" cm="1">
        <f t="array" aca="1" ref="AE63" ca="1">IF($A63="","",_xlfn.XLOOKUP($A63,INDEX(BondList,0,1),INDEX(BondList,0,2)))</f>
      </c>
      <c r="AF63" s="3" cm="1">
        <f t="array" aca="1" ref="AF63" ca="1">IF($A63="","",_xlfn.XLOOKUP($A63,INDEX(BondList,0,1),INDEX(BondList,0,3)))</f>
      </c>
      <c r="AG63" s="9" cm="1">
        <f t="array" aca="1" ref="AG63" ca="1">IF($A63="","",_xlfn.XLOOKUP($A63,INDEX(BondList,0,1),INDEX(BondList,0,4)))</f>
      </c>
      <c r="AH63" s="3" cm="1">
        <f t="array" aca="1" ref="AH63" ca="1">IF($A63="","",_xlfn.XLOOKUP($A63,INDEX(BondList,0,1),INDEX(BondList,0,5)))</f>
      </c>
      <c r="AI63" s="20" cm="1">
        <f t="array" aca="1" ref="AI63" ca="1">IF($A63="","",_xlfn.XLOOKUP($B63,INDEX(SchemeTable,0,1),INDEX(SchemeTable,0,2),NA()))</f>
      </c>
      <c r="AJ63" s="3">
        <f ca="1">IF($A63="","",WORKDAY(TradeDate,1,Holidays))</f>
      </c>
      <c r="AK63" s="3">
        <f ca="1">IF($A63="","",WORKDAY($C63,$D63,Holidays))</f>
      </c>
      <c r="AL63" s="13">
        <f ca="1">IF($A63="","",NETWORKDAYS(TradeDate,$C63-1,Holidays)/252)</f>
      </c>
      <c r="AM63" s="13" cm="1">
        <f t="array" aca="1" ref="AM63" ca="1">IF($A63="","",JGB_AI($AE63,$AJ63,$AF63))</f>
      </c>
      <c r="AN63" s="13" cm="1">
        <f t="array" aca="1" ref="AN63" ca="1">IF($A63="","",JGB_AI($AE63,$AK63,$AF63))</f>
      </c>
      <c r="AO63" s="13" cm="1">
        <f t="array" aca="1" ref="AO63" ca="1">IF($A63="","",JGB_CARRY_COUPONS($AE63,$AF63,$AJ63,$AK63,$G63))</f>
      </c>
      <c r="AP63" s="13">
        <f t="shared" ca="1" si="19"/>
      </c>
      <c r="AQ63" s="9">
        <f t="shared" ca="1" si="20"/>
      </c>
      <c r="AR63" s="13">
        <f t="shared" ca="1" si="21"/>
      </c>
      <c r="AS63" s="12">
        <f t="shared" ca="1" si="22"/>
      </c>
      <c r="AT63" s="68">
        <f t="shared" ca="1" si="23"/>
      </c>
      <c r="AV63" s="66"/>
      <c r="AW63" s="13"/>
      <c r="AX63" s="12"/>
      <c r="AY63" s="1"/>
      <c r="BA63" s="9"/>
      <c r="BC63" s="12"/>
      <c r="BD63" s="64"/>
    </row>
    <row r="64" spans="1:56" x14ac:dyDescent="0.55000000000000004">
      <c r="A64" s="38"/>
      <c r="B64" s="4"/>
      <c r="C64" s="6"/>
      <c r="D64" s="7"/>
      <c r="E64" s="42"/>
      <c r="F64" s="44"/>
      <c r="G64" s="9" cm="1">
        <f t="array" aca="1" ref="G64" ca="1">IF($A64="","",IF($F64&lt;&gt;"",$F64,_xlfn.LET(_xlpm.s,_xlfn.XLOOKUP($B64,INDEX(SchemeTable,0,1),INDEX(SchemeTable,0,3),""),_xlpm.r,_xlfn.SWITCH(_xlpm.s,"Bid",IF(ISBLANK(RepoBid),"",RepoBid),"Offer",IF(ISBLANK(RepoOffer),"",RepoOffer),""),IF(_xlpm.s="","Error: set repo side for "&amp;$B64,IF(_xlpm.r="","Error: enter repo "&amp;LOWER(_xlpm.s),_xlpm.r)))))</f>
      </c>
      <c r="H64" s="11"/>
      <c r="I64" s="9">
        <f t="shared" ca="1" si="12"/>
      </c>
      <c r="J64" s="46" cm="1">
        <f t="array" aca="1" ref="J64" ca="1">IF($A64="","",JGB_PRICE($AE64,$I64,$AJ64,$AF64))</f>
      </c>
      <c r="K64" s="48"/>
      <c r="L64" s="11"/>
      <c r="M64" s="10"/>
      <c r="N64" s="11"/>
      <c r="O64" s="50"/>
      <c r="P64" s="54">
        <f t="shared" ca="1" si="13"/>
      </c>
      <c r="Q64" s="56" cm="1">
        <f t="array" aca="1" ref="Q64" ca="1">IF($A64="","",_xlfn.LET(_xlpm.n,COUNTA($K64:$O64),IF($B64="ITMBW",IF(_xlpm.n=0,"ITMBW","Error: ITMBW takes no strike input"),IF(_xlpm.n=1,_xlfn.XLOOKUP(TRUE,$K64:$O64&lt;&gt;"",{"Spot +sen","Fwd +sen","Fwd price","ATM +bp","Yield"}),IF(_xlpm.n=0,"Error: enter one strike input","Error: enter only one strike input")))))</f>
      </c>
      <c r="R64" s="9" cm="1">
        <f t="array" aca="1" ref="R64" ca="1">IF($A64="","",_xlfn.SWITCH($Q64,"Spot +sen",ROUNDDOWN(ROUND($J64+$K64/100,9),3),"Fwd +sen",ROUNDDOWN(ROUND($P64+$L64/100,9),3),"Fwd price",$M64,"ATM +bp",JGB_PRICE($AE64,$I64+$N64/100,$C64,$AF64),"Yield",JGB_PRICE($AE64,$O64,$C64,$AF64),"ITMBW",IF($BA64="",NA(),$BA64),NA()))</f>
      </c>
      <c r="S64" s="46" cm="1">
        <f t="array" aca="1" ref="S64" ca="1">IF($A64="","",JGB_YIELD($AE64,$R64,$AK64,$AF64))</f>
      </c>
      <c r="T64" s="58"/>
      <c r="U64" s="1">
        <f ca="1">IF($A64="","",IF(OR($X64&lt;&gt;"",$V64&lt;&gt;""),$W64*SQRT(VolDays),IF($T64&lt;&gt;"",$T64,$AT64)))</f>
      </c>
      <c r="V64" s="70"/>
      <c r="W64" s="12">
        <f ca="1">IF($A64="","",IF($X64&lt;&gt;"",$X64*100/(SQRT(252)*$AS64),IF($V64&lt;&gt;"",$V64,IF($T64&lt;&gt;"",$T64,$AT64)/SQRT(VolDays))))</f>
      </c>
      <c r="X64" s="72"/>
      <c r="Y64" s="60">
        <f t="shared" ca="1" si="14"/>
      </c>
      <c r="Z64" s="62">
        <f t="shared" ca="1" si="15"/>
      </c>
      <c r="AA64" s="8">
        <f t="shared" ca="1" si="16"/>
      </c>
      <c r="AB64" s="9">
        <f t="shared" ca="1" si="17"/>
      </c>
      <c r="AD64" s="64">
        <f t="shared" ca="1" si="18"/>
      </c>
      <c r="AE64" s="66" cm="1">
        <f t="array" aca="1" ref="AE64" ca="1">IF($A64="","",_xlfn.XLOOKUP($A64,INDEX(BondList,0,1),INDEX(BondList,0,2)))</f>
      </c>
      <c r="AF64" s="3" cm="1">
        <f t="array" aca="1" ref="AF64" ca="1">IF($A64="","",_xlfn.XLOOKUP($A64,INDEX(BondList,0,1),INDEX(BondList,0,3)))</f>
      </c>
      <c r="AG64" s="9" cm="1">
        <f t="array" aca="1" ref="AG64" ca="1">IF($A64="","",_xlfn.XLOOKUP($A64,INDEX(BondList,0,1),INDEX(BondList,0,4)))</f>
      </c>
      <c r="AH64" s="3" cm="1">
        <f t="array" aca="1" ref="AH64" ca="1">IF($A64="","",_xlfn.XLOOKUP($A64,INDEX(BondList,0,1),INDEX(BondList,0,5)))</f>
      </c>
      <c r="AI64" s="20" cm="1">
        <f t="array" aca="1" ref="AI64" ca="1">IF($A64="","",_xlfn.XLOOKUP($B64,INDEX(SchemeTable,0,1),INDEX(SchemeTable,0,2),NA()))</f>
      </c>
      <c r="AJ64" s="3">
        <f ca="1">IF($A64="","",WORKDAY(TradeDate,1,Holidays))</f>
      </c>
      <c r="AK64" s="3">
        <f ca="1">IF($A64="","",WORKDAY($C64,$D64,Holidays))</f>
      </c>
      <c r="AL64" s="13">
        <f ca="1">IF($A64="","",NETWORKDAYS(TradeDate,$C64-1,Holidays)/252)</f>
      </c>
      <c r="AM64" s="13" cm="1">
        <f t="array" aca="1" ref="AM64" ca="1">IF($A64="","",JGB_AI($AE64,$AJ64,$AF64))</f>
      </c>
      <c r="AN64" s="13" cm="1">
        <f t="array" aca="1" ref="AN64" ca="1">IF($A64="","",JGB_AI($AE64,$AK64,$AF64))</f>
      </c>
      <c r="AO64" s="13" cm="1">
        <f t="array" aca="1" ref="AO64" ca="1">IF($A64="","",JGB_CARRY_COUPONS($AE64,$AF64,$AJ64,$AK64,$G64))</f>
      </c>
      <c r="AP64" s="13">
        <f t="shared" ca="1" si="19"/>
      </c>
      <c r="AQ64" s="9">
        <f t="shared" ca="1" si="20"/>
      </c>
      <c r="AR64" s="13">
        <f t="shared" ca="1" si="21"/>
      </c>
      <c r="AS64" s="12">
        <f t="shared" ca="1" si="22"/>
      </c>
      <c r="AT64" s="68">
        <f t="shared" ca="1" si="23"/>
      </c>
      <c r="AV64" s="66"/>
      <c r="AW64" s="13"/>
      <c r="AX64" s="12"/>
      <c r="AY64" s="1"/>
      <c r="BA64" s="9"/>
      <c r="BC64" s="12"/>
      <c r="BD64" s="64"/>
    </row>
    <row r="65" spans="1:56" x14ac:dyDescent="0.55000000000000004">
      <c r="A65" s="38"/>
      <c r="B65" s="4"/>
      <c r="C65" s="6"/>
      <c r="D65" s="7"/>
      <c r="E65" s="42"/>
      <c r="F65" s="44"/>
      <c r="G65" s="9" cm="1">
        <f t="array" aca="1" ref="G65" ca="1">IF($A65="","",IF($F65&lt;&gt;"",$F65,_xlfn.LET(_xlpm.s,_xlfn.XLOOKUP($B65,INDEX(SchemeTable,0,1),INDEX(SchemeTable,0,3),""),_xlpm.r,_xlfn.SWITCH(_xlpm.s,"Bid",IF(ISBLANK(RepoBid),"",RepoBid),"Offer",IF(ISBLANK(RepoOffer),"",RepoOffer),""),IF(_xlpm.s="","Error: set repo side for "&amp;$B65,IF(_xlpm.r="","Error: enter repo "&amp;LOWER(_xlpm.s),_xlpm.r)))))</f>
      </c>
      <c r="H65" s="11"/>
      <c r="I65" s="9">
        <f t="shared" ca="1" si="12"/>
      </c>
      <c r="J65" s="46" cm="1">
        <f t="array" aca="1" ref="J65" ca="1">IF($A65="","",JGB_PRICE($AE65,$I65,$AJ65,$AF65))</f>
      </c>
      <c r="K65" s="48"/>
      <c r="L65" s="11"/>
      <c r="M65" s="10"/>
      <c r="N65" s="11"/>
      <c r="O65" s="50"/>
      <c r="P65" s="54">
        <f t="shared" ca="1" si="13"/>
      </c>
      <c r="Q65" s="56" cm="1">
        <f t="array" aca="1" ref="Q65" ca="1">IF($A65="","",_xlfn.LET(_xlpm.n,COUNTA($K65:$O65),IF($B65="ITMBW",IF(_xlpm.n=0,"ITMBW","Error: ITMBW takes no strike input"),IF(_xlpm.n=1,_xlfn.XLOOKUP(TRUE,$K65:$O65&lt;&gt;"",{"Spot +sen","Fwd +sen","Fwd price","ATM +bp","Yield"}),IF(_xlpm.n=0,"Error: enter one strike input","Error: enter only one strike input")))))</f>
      </c>
      <c r="R65" s="9" cm="1">
        <f t="array" aca="1" ref="R65" ca="1">IF($A65="","",_xlfn.SWITCH($Q65,"Spot +sen",ROUNDDOWN(ROUND($J65+$K65/100,9),3),"Fwd +sen",ROUNDDOWN(ROUND($P65+$L65/100,9),3),"Fwd price",$M65,"ATM +bp",JGB_PRICE($AE65,$I65+$N65/100,$C65,$AF65),"Yield",JGB_PRICE($AE65,$O65,$C65,$AF65),"ITMBW",IF($BA65="",NA(),$BA65),NA()))</f>
      </c>
      <c r="S65" s="46" cm="1">
        <f t="array" aca="1" ref="S65" ca="1">IF($A65="","",JGB_YIELD($AE65,$R65,$AK65,$AF65))</f>
      </c>
      <c r="T65" s="58"/>
      <c r="U65" s="1">
        <f ca="1">IF($A65="","",IF(OR($X65&lt;&gt;"",$V65&lt;&gt;""),$W65*SQRT(VolDays),IF($T65&lt;&gt;"",$T65,$AT65)))</f>
      </c>
      <c r="V65" s="70"/>
      <c r="W65" s="12">
        <f ca="1">IF($A65="","",IF($X65&lt;&gt;"",$X65*100/(SQRT(252)*$AS65),IF($V65&lt;&gt;"",$V65,IF($T65&lt;&gt;"",$T65,$AT65)/SQRT(VolDays))))</f>
      </c>
      <c r="X65" s="72"/>
      <c r="Y65" s="60">
        <f t="shared" ca="1" si="14"/>
      </c>
      <c r="Z65" s="62">
        <f t="shared" ca="1" si="15"/>
      </c>
      <c r="AA65" s="8">
        <f t="shared" ca="1" si="16"/>
      </c>
      <c r="AB65" s="9">
        <f t="shared" ca="1" si="17"/>
      </c>
      <c r="AD65" s="64">
        <f t="shared" ca="1" si="18"/>
      </c>
      <c r="AE65" s="66" cm="1">
        <f t="array" aca="1" ref="AE65" ca="1">IF($A65="","",_xlfn.XLOOKUP($A65,INDEX(BondList,0,1),INDEX(BondList,0,2)))</f>
      </c>
      <c r="AF65" s="3" cm="1">
        <f t="array" aca="1" ref="AF65" ca="1">IF($A65="","",_xlfn.XLOOKUP($A65,INDEX(BondList,0,1),INDEX(BondList,0,3)))</f>
      </c>
      <c r="AG65" s="9" cm="1">
        <f t="array" aca="1" ref="AG65" ca="1">IF($A65="","",_xlfn.XLOOKUP($A65,INDEX(BondList,0,1),INDEX(BondList,0,4)))</f>
      </c>
      <c r="AH65" s="3" cm="1">
        <f t="array" aca="1" ref="AH65" ca="1">IF($A65="","",_xlfn.XLOOKUP($A65,INDEX(BondList,0,1),INDEX(BondList,0,5)))</f>
      </c>
      <c r="AI65" s="20" cm="1">
        <f t="array" aca="1" ref="AI65" ca="1">IF($A65="","",_xlfn.XLOOKUP($B65,INDEX(SchemeTable,0,1),INDEX(SchemeTable,0,2),NA()))</f>
      </c>
      <c r="AJ65" s="3">
        <f ca="1">IF($A65="","",WORKDAY(TradeDate,1,Holidays))</f>
      </c>
      <c r="AK65" s="3">
        <f ca="1">IF($A65="","",WORKDAY($C65,$D65,Holidays))</f>
      </c>
      <c r="AL65" s="13">
        <f ca="1">IF($A65="","",NETWORKDAYS(TradeDate,$C65-1,Holidays)/252)</f>
      </c>
      <c r="AM65" s="13" cm="1">
        <f t="array" aca="1" ref="AM65" ca="1">IF($A65="","",JGB_AI($AE65,$AJ65,$AF65))</f>
      </c>
      <c r="AN65" s="13" cm="1">
        <f t="array" aca="1" ref="AN65" ca="1">IF($A65="","",JGB_AI($AE65,$AK65,$AF65))</f>
      </c>
      <c r="AO65" s="13" cm="1">
        <f t="array" aca="1" ref="AO65" ca="1">IF($A65="","",JGB_CARRY_COUPONS($AE65,$AF65,$AJ65,$AK65,$G65))</f>
      </c>
      <c r="AP65" s="13">
        <f t="shared" ca="1" si="19"/>
      </c>
      <c r="AQ65" s="9">
        <f t="shared" ca="1" si="20"/>
      </c>
      <c r="AR65" s="13">
        <f t="shared" ca="1" si="21"/>
      </c>
      <c r="AS65" s="12">
        <f t="shared" ca="1" si="22"/>
      </c>
      <c r="AT65" s="68">
        <f t="shared" ca="1" si="23"/>
      </c>
      <c r="AV65" s="66"/>
      <c r="AW65" s="13"/>
      <c r="AX65" s="12"/>
      <c r="AY65" s="1"/>
      <c r="BA65" s="9"/>
      <c r="BC65" s="12"/>
      <c r="BD65" s="64"/>
    </row>
    <row r="66" spans="1:56" x14ac:dyDescent="0.55000000000000004">
      <c r="A66" s="38"/>
      <c r="B66" s="4"/>
      <c r="C66" s="6"/>
      <c r="D66" s="7"/>
      <c r="E66" s="42"/>
      <c r="F66" s="44"/>
      <c r="G66" s="9" cm="1">
        <f t="array" aca="1" ref="G66" ca="1">IF($A66="","",IF($F66&lt;&gt;"",$F66,_xlfn.LET(_xlpm.s,_xlfn.XLOOKUP($B66,INDEX(SchemeTable,0,1),INDEX(SchemeTable,0,3),""),_xlpm.r,_xlfn.SWITCH(_xlpm.s,"Bid",IF(ISBLANK(RepoBid),"",RepoBid),"Offer",IF(ISBLANK(RepoOffer),"",RepoOffer),""),IF(_xlpm.s="","Error: set repo side for "&amp;$B66,IF(_xlpm.r="","Error: enter repo "&amp;LOWER(_xlpm.s),_xlpm.r)))))</f>
      </c>
      <c r="H66" s="11"/>
      <c r="I66" s="9">
        <f t="shared" ca="1" si="12"/>
      </c>
      <c r="J66" s="46" cm="1">
        <f t="array" aca="1" ref="J66" ca="1">IF($A66="","",JGB_PRICE($AE66,$I66,$AJ66,$AF66))</f>
      </c>
      <c r="K66" s="48"/>
      <c r="L66" s="11"/>
      <c r="M66" s="10"/>
      <c r="N66" s="11"/>
      <c r="O66" s="50"/>
      <c r="P66" s="54">
        <f t="shared" ca="1" si="13"/>
      </c>
      <c r="Q66" s="56" cm="1">
        <f t="array" aca="1" ref="Q66" ca="1">IF($A66="","",_xlfn.LET(_xlpm.n,COUNTA($K66:$O66),IF($B66="ITMBW",IF(_xlpm.n=0,"ITMBW","Error: ITMBW takes no strike input"),IF(_xlpm.n=1,_xlfn.XLOOKUP(TRUE,$K66:$O66&lt;&gt;"",{"Spot +sen","Fwd +sen","Fwd price","ATM +bp","Yield"}),IF(_xlpm.n=0,"Error: enter one strike input","Error: enter only one strike input")))))</f>
      </c>
      <c r="R66" s="9" cm="1">
        <f t="array" aca="1" ref="R66" ca="1">IF($A66="","",_xlfn.SWITCH($Q66,"Spot +sen",ROUNDDOWN(ROUND($J66+$K66/100,9),3),"Fwd +sen",ROUNDDOWN(ROUND($P66+$L66/100,9),3),"Fwd price",$M66,"ATM +bp",JGB_PRICE($AE66,$I66+$N66/100,$C66,$AF66),"Yield",JGB_PRICE($AE66,$O66,$C66,$AF66),"ITMBW",IF($BA66="",NA(),$BA66),NA()))</f>
      </c>
      <c r="S66" s="46" cm="1">
        <f t="array" aca="1" ref="S66" ca="1">IF($A66="","",JGB_YIELD($AE66,$R66,$AK66,$AF66))</f>
      </c>
      <c r="T66" s="58"/>
      <c r="U66" s="1">
        <f ca="1">IF($A66="","",IF(OR($X66&lt;&gt;"",$V66&lt;&gt;""),$W66*SQRT(VolDays),IF($T66&lt;&gt;"",$T66,$AT66)))</f>
      </c>
      <c r="V66" s="70"/>
      <c r="W66" s="12">
        <f ca="1">IF($A66="","",IF($X66&lt;&gt;"",$X66*100/(SQRT(252)*$AS66),IF($V66&lt;&gt;"",$V66,IF($T66&lt;&gt;"",$T66,$AT66)/SQRT(VolDays))))</f>
      </c>
      <c r="X66" s="72"/>
      <c r="Y66" s="60">
        <f t="shared" ca="1" si="14"/>
      </c>
      <c r="Z66" s="62">
        <f t="shared" ca="1" si="15"/>
      </c>
      <c r="AA66" s="8">
        <f t="shared" ca="1" si="16"/>
      </c>
      <c r="AB66" s="9">
        <f t="shared" ca="1" si="17"/>
      </c>
      <c r="AD66" s="64">
        <f t="shared" ca="1" si="18"/>
      </c>
      <c r="AE66" s="66" cm="1">
        <f t="array" aca="1" ref="AE66" ca="1">IF($A66="","",_xlfn.XLOOKUP($A66,INDEX(BondList,0,1),INDEX(BondList,0,2)))</f>
      </c>
      <c r="AF66" s="3" cm="1">
        <f t="array" aca="1" ref="AF66" ca="1">IF($A66="","",_xlfn.XLOOKUP($A66,INDEX(BondList,0,1),INDEX(BondList,0,3)))</f>
      </c>
      <c r="AG66" s="9" cm="1">
        <f t="array" aca="1" ref="AG66" ca="1">IF($A66="","",_xlfn.XLOOKUP($A66,INDEX(BondList,0,1),INDEX(BondList,0,4)))</f>
      </c>
      <c r="AH66" s="3" cm="1">
        <f t="array" aca="1" ref="AH66" ca="1">IF($A66="","",_xlfn.XLOOKUP($A66,INDEX(BondList,0,1),INDEX(BondList,0,5)))</f>
      </c>
      <c r="AI66" s="20" cm="1">
        <f t="array" aca="1" ref="AI66" ca="1">IF($A66="","",_xlfn.XLOOKUP($B66,INDEX(SchemeTable,0,1),INDEX(SchemeTable,0,2),NA()))</f>
      </c>
      <c r="AJ66" s="3">
        <f ca="1">IF($A66="","",WORKDAY(TradeDate,1,Holidays))</f>
      </c>
      <c r="AK66" s="3">
        <f ca="1">IF($A66="","",WORKDAY($C66,$D66,Holidays))</f>
      </c>
      <c r="AL66" s="13">
        <f ca="1">IF($A66="","",NETWORKDAYS(TradeDate,$C66-1,Holidays)/252)</f>
      </c>
      <c r="AM66" s="13" cm="1">
        <f t="array" aca="1" ref="AM66" ca="1">IF($A66="","",JGB_AI($AE66,$AJ66,$AF66))</f>
      </c>
      <c r="AN66" s="13" cm="1">
        <f t="array" aca="1" ref="AN66" ca="1">IF($A66="","",JGB_AI($AE66,$AK66,$AF66))</f>
      </c>
      <c r="AO66" s="13" cm="1">
        <f t="array" aca="1" ref="AO66" ca="1">IF($A66="","",JGB_CARRY_COUPONS($AE66,$AF66,$AJ66,$AK66,$G66))</f>
      </c>
      <c r="AP66" s="13">
        <f t="shared" ca="1" si="19"/>
      </c>
      <c r="AQ66" s="9">
        <f t="shared" ca="1" si="20"/>
      </c>
      <c r="AR66" s="13">
        <f t="shared" ca="1" si="21"/>
      </c>
      <c r="AS66" s="12">
        <f t="shared" ca="1" si="22"/>
      </c>
      <c r="AT66" s="68">
        <f t="shared" ca="1" si="23"/>
      </c>
      <c r="AV66" s="66"/>
      <c r="AW66" s="13"/>
      <c r="AX66" s="12"/>
      <c r="AY66" s="1"/>
      <c r="BA66" s="9"/>
      <c r="BC66" s="12"/>
      <c r="BD66" s="64"/>
    </row>
    <row r="67" spans="1:56" x14ac:dyDescent="0.55000000000000004">
      <c r="A67" s="39"/>
      <c r="B67" s="22"/>
      <c r="C67" s="23"/>
      <c r="D67" s="24"/>
      <c r="E67" s="43"/>
      <c r="F67" s="45"/>
      <c r="G67" s="26" cm="1">
        <f t="array" aca="1" ref="G67" ca="1">IF($A67="","",IF($F67&lt;&gt;"",$F67,_xlfn.LET(_xlpm.s,_xlfn.XLOOKUP($B67,INDEX(SchemeTable,0,1),INDEX(SchemeTable,0,3),""),_xlpm.r,_xlfn.SWITCH(_xlpm.s,"Bid",IF(ISBLANK(RepoBid),"",RepoBid),"Offer",IF(ISBLANK(RepoOffer),"",RepoOffer),""),IF(_xlpm.s="","Error: set repo side for "&amp;$B67,IF(_xlpm.r="","Error: enter repo "&amp;LOWER(_xlpm.s),_xlpm.r)))))</f>
      </c>
      <c r="H67" s="27"/>
      <c r="I67" s="26">
        <f t="shared" ca="1" si="12"/>
      </c>
      <c r="J67" s="47" cm="1">
        <f t="array" aca="1" ref="J67" ca="1">IF($A67="","",JGB_PRICE($AE67,$I67,$AJ67,$AF67))</f>
      </c>
      <c r="K67" s="49"/>
      <c r="L67" s="27"/>
      <c r="M67" s="25"/>
      <c r="N67" s="27"/>
      <c r="O67" s="51"/>
      <c r="P67" s="55">
        <f t="shared" ca="1" si="13"/>
      </c>
      <c r="Q67" s="57" cm="1">
        <f t="array" aca="1" ref="Q67" ca="1">IF($A67="","",_xlfn.LET(_xlpm.n,COUNTA($K67:$O67),IF($B67="ITMBW",IF(_xlpm.n=0,"ITMBW","Error: ITMBW takes no strike input"),IF(_xlpm.n=1,_xlfn.XLOOKUP(TRUE,$K67:$O67&lt;&gt;"",{"Spot +sen","Fwd +sen","Fwd price","ATM +bp","Yield"}),IF(_xlpm.n=0,"Error: enter one strike input","Error: enter only one strike input")))))</f>
      </c>
      <c r="R67" s="26" cm="1">
        <f t="array" aca="1" ref="R67" ca="1">IF($A67="","",_xlfn.SWITCH($Q67,"Spot +sen",ROUNDDOWN(ROUND($J67+$K67/100,9),3),"Fwd +sen",ROUNDDOWN(ROUND($P67+$L67/100,9),3),"Fwd price",$M67,"ATM +bp",JGB_PRICE($AE67,$I67+$N67/100,$C67,$AF67),"Yield",JGB_PRICE($AE67,$O67,$C67,$AF67),"ITMBW",IF($BA67="",NA(),$BA67),NA()))</f>
      </c>
      <c r="S67" s="47" cm="1">
        <f t="array" aca="1" ref="S67" ca="1">IF($A67="","",JGB_YIELD($AE67,$R67,$AK67,$AF67))</f>
      </c>
      <c r="T67" s="59"/>
      <c r="U67" s="30">
        <f ca="1">IF($A67="","",IF(OR($X67&lt;&gt;"",$V67&lt;&gt;""),$W67*SQRT(VolDays),IF($T67&lt;&gt;"",$T67,$AT67)))</f>
      </c>
      <c r="V67" s="71"/>
      <c r="W67" s="31">
        <f ca="1">IF($A67="","",IF($X67&lt;&gt;"",$X67*100/(SQRT(252)*$AS67),IF($V67&lt;&gt;"",$V67,IF($T67&lt;&gt;"",$T67,$AT67)/SQRT(VolDays))))</f>
      </c>
      <c r="X67" s="73"/>
      <c r="Y67" s="61">
        <f t="shared" ca="1" si="14"/>
      </c>
      <c r="Z67" s="63">
        <f t="shared" ca="1" si="15"/>
      </c>
      <c r="AA67" s="32">
        <f t="shared" ca="1" si="16"/>
      </c>
      <c r="AB67" s="26">
        <f t="shared" ca="1" si="17"/>
      </c>
      <c r="AC67" s="16"/>
      <c r="AD67" s="65">
        <f t="shared" ca="1" si="18"/>
      </c>
      <c r="AE67" s="67" cm="1">
        <f t="array" aca="1" ref="AE67" ca="1">IF($A67="","",_xlfn.XLOOKUP($A67,INDEX(BondList,0,1),INDEX(BondList,0,2)))</f>
      </c>
      <c r="AF67" s="33" cm="1">
        <f t="array" aca="1" ref="AF67" ca="1">IF($A67="","",_xlfn.XLOOKUP($A67,INDEX(BondList,0,1),INDEX(BondList,0,3)))</f>
      </c>
      <c r="AG67" s="26" cm="1">
        <f t="array" aca="1" ref="AG67" ca="1">IF($A67="","",_xlfn.XLOOKUP($A67,INDEX(BondList,0,1),INDEX(BondList,0,4)))</f>
      </c>
      <c r="AH67" s="33" cm="1">
        <f t="array" aca="1" ref="AH67" ca="1">IF($A67="","",_xlfn.XLOOKUP($A67,INDEX(BondList,0,1),INDEX(BondList,0,5)))</f>
      </c>
      <c r="AI67" s="29" cm="1">
        <f t="array" aca="1" ref="AI67" ca="1">IF($A67="","",_xlfn.XLOOKUP($B67,INDEX(SchemeTable,0,1),INDEX(SchemeTable,0,2),NA()))</f>
      </c>
      <c r="AJ67" s="33">
        <f ca="1">IF($A67="","",WORKDAY(TradeDate,1,Holidays))</f>
      </c>
      <c r="AK67" s="33">
        <f ca="1">IF($A67="","",WORKDAY($C67,$D67,Holidays))</f>
      </c>
      <c r="AL67" s="28">
        <f ca="1">IF($A67="","",NETWORKDAYS(TradeDate,$C67-1,Holidays)/252)</f>
      </c>
      <c r="AM67" s="28" cm="1">
        <f t="array" aca="1" ref="AM67" ca="1">IF($A67="","",JGB_AI($AE67,$AJ67,$AF67))</f>
      </c>
      <c r="AN67" s="28" cm="1">
        <f t="array" aca="1" ref="AN67" ca="1">IF($A67="","",JGB_AI($AE67,$AK67,$AF67))</f>
      </c>
      <c r="AO67" s="28" cm="1">
        <f t="array" aca="1" ref="AO67" ca="1">IF($A67="","",JGB_CARRY_COUPONS($AE67,$AF67,$AJ67,$AK67,$G67))</f>
      </c>
      <c r="AP67" s="28">
        <f t="shared" ca="1" si="19"/>
      </c>
      <c r="AQ67" s="26">
        <f t="shared" ca="1" si="20"/>
      </c>
      <c r="AR67" s="28">
        <f t="shared" ca="1" si="21"/>
      </c>
      <c r="AS67" s="31">
        <f t="shared" ca="1" si="22"/>
      </c>
      <c r="AT67" s="69">
        <f t="shared" ca="1" si="23"/>
      </c>
      <c r="AV67" s="67"/>
      <c r="AW67" s="28"/>
      <c r="AX67" s="31"/>
      <c r="AY67" s="30"/>
      <c r="AZ67" s="16"/>
      <c r="BA67" s="26"/>
      <c r="BB67" s="16"/>
      <c r="BC67" s="31"/>
      <c r="BD67" s="65"/>
    </row>
    <row r="68" spans="1:56" x14ac:dyDescent="0.55000000000000004">
      <c r="A68" s="38"/>
      <c r="B68" s="4"/>
      <c r="C68" s="6"/>
      <c r="D68" s="7"/>
      <c r="E68" s="42"/>
      <c r="F68" s="44"/>
      <c r="G68" s="9" cm="1">
        <f t="array" aca="1" ref="G68" ca="1">IF($A68="","",IF($F68&lt;&gt;"",$F68,_xlfn.LET(_xlpm.s,_xlfn.XLOOKUP($B68,INDEX(SchemeTable,0,1),INDEX(SchemeTable,0,3),""),_xlpm.r,_xlfn.SWITCH(_xlpm.s,"Bid",IF(ISBLANK(RepoBid),"",RepoBid),"Offer",IF(ISBLANK(RepoOffer),"",RepoOffer),""),IF(_xlpm.s="","Error: set repo side for "&amp;$B68,IF(_xlpm.r="","Error: enter repo "&amp;LOWER(_xlpm.s),_xlpm.r)))))</f>
      </c>
      <c r="H68" s="11"/>
      <c r="I68" s="9">
        <f t="shared" ca="1" si="12"/>
      </c>
      <c r="J68" s="46" cm="1">
        <f t="array" aca="1" ref="J68" ca="1">IF($A68="","",JGB_PRICE($AE68,$I68,$AJ68,$AF68))</f>
      </c>
      <c r="K68" s="48"/>
      <c r="L68" s="11"/>
      <c r="M68" s="10"/>
      <c r="N68" s="11"/>
      <c r="O68" s="50"/>
      <c r="P68" s="54">
        <f t="shared" ca="1" si="13"/>
      </c>
      <c r="Q68" s="56" cm="1">
        <f t="array" aca="1" ref="Q68" ca="1">IF($A68="","",_xlfn.LET(_xlpm.n,COUNTA($K68:$O68),IF($B68="ITMBW",IF(_xlpm.n=0,"ITMBW","Error: ITMBW takes no strike input"),IF(_xlpm.n=1,_xlfn.XLOOKUP(TRUE,$K68:$O68&lt;&gt;"",{"Spot +sen","Fwd +sen","Fwd price","ATM +bp","Yield"}),IF(_xlpm.n=0,"Error: enter one strike input","Error: enter only one strike input")))))</f>
      </c>
      <c r="R68" s="9" cm="1">
        <f t="array" aca="1" ref="R68" ca="1">IF($A68="","",_xlfn.SWITCH($Q68,"Spot +sen",ROUNDDOWN(ROUND($J68+$K68/100,9),3),"Fwd +sen",ROUNDDOWN(ROUND($P68+$L68/100,9),3),"Fwd price",$M68,"ATM +bp",JGB_PRICE($AE68,$I68+$N68/100,$C68,$AF68),"Yield",JGB_PRICE($AE68,$O68,$C68,$AF68),"ITMBW",IF($BA68="",NA(),$BA68),NA()))</f>
      </c>
      <c r="S68" s="46" cm="1">
        <f t="array" aca="1" ref="S68" ca="1">IF($A68="","",JGB_YIELD($AE68,$R68,$AK68,$AF68))</f>
      </c>
      <c r="T68" s="58"/>
      <c r="U68" s="1">
        <f ca="1">IF($A68="","",IF(OR($X68&lt;&gt;"",$V68&lt;&gt;""),$W68*SQRT(VolDays),IF($T68&lt;&gt;"",$T68,$AT68)))</f>
      </c>
      <c r="V68" s="70"/>
      <c r="W68" s="12">
        <f ca="1">IF($A68="","",IF($X68&lt;&gt;"",$X68*100/(SQRT(252)*$AS68),IF($V68&lt;&gt;"",$V68,IF($T68&lt;&gt;"",$T68,$AT68)/SQRT(VolDays))))</f>
      </c>
      <c r="X68" s="72"/>
      <c r="Y68" s="60">
        <f t="shared" ca="1" si="14"/>
      </c>
      <c r="Z68" s="62">
        <f t="shared" ca="1" si="15"/>
      </c>
      <c r="AA68" s="8">
        <f t="shared" ca="1" si="16"/>
      </c>
      <c r="AB68" s="9">
        <f t="shared" ca="1" si="17"/>
      </c>
      <c r="AD68" s="64">
        <f t="shared" ca="1" si="18"/>
      </c>
      <c r="AE68" s="66" cm="1">
        <f t="array" aca="1" ref="AE68" ca="1">IF($A68="","",_xlfn.XLOOKUP($A68,INDEX(BondList,0,1),INDEX(BondList,0,2)))</f>
      </c>
      <c r="AF68" s="3" cm="1">
        <f t="array" aca="1" ref="AF68" ca="1">IF($A68="","",_xlfn.XLOOKUP($A68,INDEX(BondList,0,1),INDEX(BondList,0,3)))</f>
      </c>
      <c r="AG68" s="9" cm="1">
        <f t="array" aca="1" ref="AG68" ca="1">IF($A68="","",_xlfn.XLOOKUP($A68,INDEX(BondList,0,1),INDEX(BondList,0,4)))</f>
      </c>
      <c r="AH68" s="3" cm="1">
        <f t="array" aca="1" ref="AH68" ca="1">IF($A68="","",_xlfn.XLOOKUP($A68,INDEX(BondList,0,1),INDEX(BondList,0,5)))</f>
      </c>
      <c r="AI68" s="20" cm="1">
        <f t="array" aca="1" ref="AI68" ca="1">IF($A68="","",_xlfn.XLOOKUP($B68,INDEX(SchemeTable,0,1),INDEX(SchemeTable,0,2),NA()))</f>
      </c>
      <c r="AJ68" s="3">
        <f ca="1">IF($A68="","",WORKDAY(TradeDate,1,Holidays))</f>
      </c>
      <c r="AK68" s="3">
        <f ca="1">IF($A68="","",WORKDAY($C68,$D68,Holidays))</f>
      </c>
      <c r="AL68" s="13">
        <f ca="1">IF($A68="","",NETWORKDAYS(TradeDate,$C68-1,Holidays)/252)</f>
      </c>
      <c r="AM68" s="13" cm="1">
        <f t="array" aca="1" ref="AM68" ca="1">IF($A68="","",JGB_AI($AE68,$AJ68,$AF68))</f>
      </c>
      <c r="AN68" s="13" cm="1">
        <f t="array" aca="1" ref="AN68" ca="1">IF($A68="","",JGB_AI($AE68,$AK68,$AF68))</f>
      </c>
      <c r="AO68" s="13" cm="1">
        <f t="array" aca="1" ref="AO68" ca="1">IF($A68="","",JGB_CARRY_COUPONS($AE68,$AF68,$AJ68,$AK68,$G68))</f>
      </c>
      <c r="AP68" s="13">
        <f t="shared" ca="1" si="19"/>
      </c>
      <c r="AQ68" s="9">
        <f t="shared" ca="1" si="20"/>
      </c>
      <c r="AR68" s="13">
        <f t="shared" ca="1" si="21"/>
      </c>
      <c r="AS68" s="12">
        <f t="shared" ca="1" si="22"/>
      </c>
      <c r="AT68" s="68">
        <f t="shared" ca="1" si="23"/>
      </c>
      <c r="AV68" s="66"/>
      <c r="AW68" s="13"/>
      <c r="AX68" s="12"/>
      <c r="AY68" s="1"/>
      <c r="BA68" s="9"/>
      <c r="BC68" s="12"/>
      <c r="BD68" s="64"/>
    </row>
    <row r="69" spans="1:56" x14ac:dyDescent="0.55000000000000004">
      <c r="A69" s="38"/>
      <c r="B69" s="4"/>
      <c r="C69" s="6"/>
      <c r="D69" s="7"/>
      <c r="E69" s="42"/>
      <c r="F69" s="44"/>
      <c r="G69" s="9" cm="1">
        <f t="array" aca="1" ref="G69" ca="1">IF($A69="","",IF($F69&lt;&gt;"",$F69,_xlfn.LET(_xlpm.s,_xlfn.XLOOKUP($B69,INDEX(SchemeTable,0,1),INDEX(SchemeTable,0,3),""),_xlpm.r,_xlfn.SWITCH(_xlpm.s,"Bid",IF(ISBLANK(RepoBid),"",RepoBid),"Offer",IF(ISBLANK(RepoOffer),"",RepoOffer),""),IF(_xlpm.s="","Error: set repo side for "&amp;$B69,IF(_xlpm.r="","Error: enter repo "&amp;LOWER(_xlpm.s),_xlpm.r)))))</f>
      </c>
      <c r="H69" s="11"/>
      <c r="I69" s="9">
        <f t="shared" ca="1" si="12"/>
      </c>
      <c r="J69" s="46" cm="1">
        <f t="array" aca="1" ref="J69" ca="1">IF($A69="","",JGB_PRICE($AE69,$I69,$AJ69,$AF69))</f>
      </c>
      <c r="K69" s="48"/>
      <c r="L69" s="11"/>
      <c r="M69" s="10"/>
      <c r="N69" s="11"/>
      <c r="O69" s="50"/>
      <c r="P69" s="54">
        <f t="shared" ca="1" si="13"/>
      </c>
      <c r="Q69" s="56" cm="1">
        <f t="array" aca="1" ref="Q69" ca="1">IF($A69="","",_xlfn.LET(_xlpm.n,COUNTA($K69:$O69),IF($B69="ITMBW",IF(_xlpm.n=0,"ITMBW","Error: ITMBW takes no strike input"),IF(_xlpm.n=1,_xlfn.XLOOKUP(TRUE,$K69:$O69&lt;&gt;"",{"Spot +sen","Fwd +sen","Fwd price","ATM +bp","Yield"}),IF(_xlpm.n=0,"Error: enter one strike input","Error: enter only one strike input")))))</f>
      </c>
      <c r="R69" s="9" cm="1">
        <f t="array" aca="1" ref="R69" ca="1">IF($A69="","",_xlfn.SWITCH($Q69,"Spot +sen",ROUNDDOWN(ROUND($J69+$K69/100,9),3),"Fwd +sen",ROUNDDOWN(ROUND($P69+$L69/100,9),3),"Fwd price",$M69,"ATM +bp",JGB_PRICE($AE69,$I69+$N69/100,$C69,$AF69),"Yield",JGB_PRICE($AE69,$O69,$C69,$AF69),"ITMBW",IF($BA69="",NA(),$BA69),NA()))</f>
      </c>
      <c r="S69" s="46" cm="1">
        <f t="array" aca="1" ref="S69" ca="1">IF($A69="","",JGB_YIELD($AE69,$R69,$AK69,$AF69))</f>
      </c>
      <c r="T69" s="58"/>
      <c r="U69" s="1">
        <f ca="1">IF($A69="","",IF(OR($X69&lt;&gt;"",$V69&lt;&gt;""),$W69*SQRT(VolDays),IF($T69&lt;&gt;"",$T69,$AT69)))</f>
      </c>
      <c r="V69" s="70"/>
      <c r="W69" s="12">
        <f ca="1">IF($A69="","",IF($X69&lt;&gt;"",$X69*100/(SQRT(252)*$AS69),IF($V69&lt;&gt;"",$V69,IF($T69&lt;&gt;"",$T69,$AT69)/SQRT(VolDays))))</f>
      </c>
      <c r="X69" s="72"/>
      <c r="Y69" s="60">
        <f t="shared" ca="1" si="14"/>
      </c>
      <c r="Z69" s="62">
        <f t="shared" ca="1" si="15"/>
      </c>
      <c r="AA69" s="8">
        <f t="shared" ca="1" si="16"/>
      </c>
      <c r="AB69" s="9">
        <f t="shared" ca="1" si="17"/>
      </c>
      <c r="AD69" s="64">
        <f t="shared" ca="1" si="18"/>
      </c>
      <c r="AE69" s="66" cm="1">
        <f t="array" aca="1" ref="AE69" ca="1">IF($A69="","",_xlfn.XLOOKUP($A69,INDEX(BondList,0,1),INDEX(BondList,0,2)))</f>
      </c>
      <c r="AF69" s="3" cm="1">
        <f t="array" aca="1" ref="AF69" ca="1">IF($A69="","",_xlfn.XLOOKUP($A69,INDEX(BondList,0,1),INDEX(BondList,0,3)))</f>
      </c>
      <c r="AG69" s="9" cm="1">
        <f t="array" aca="1" ref="AG69" ca="1">IF($A69="","",_xlfn.XLOOKUP($A69,INDEX(BondList,0,1),INDEX(BondList,0,4)))</f>
      </c>
      <c r="AH69" s="3" cm="1">
        <f t="array" aca="1" ref="AH69" ca="1">IF($A69="","",_xlfn.XLOOKUP($A69,INDEX(BondList,0,1),INDEX(BondList,0,5)))</f>
      </c>
      <c r="AI69" s="20" cm="1">
        <f t="array" aca="1" ref="AI69" ca="1">IF($A69="","",_xlfn.XLOOKUP($B69,INDEX(SchemeTable,0,1),INDEX(SchemeTable,0,2),NA()))</f>
      </c>
      <c r="AJ69" s="3">
        <f ca="1">IF($A69="","",WORKDAY(TradeDate,1,Holidays))</f>
      </c>
      <c r="AK69" s="3">
        <f ca="1">IF($A69="","",WORKDAY($C69,$D69,Holidays))</f>
      </c>
      <c r="AL69" s="13">
        <f ca="1">IF($A69="","",NETWORKDAYS(TradeDate,$C69-1,Holidays)/252)</f>
      </c>
      <c r="AM69" s="13" cm="1">
        <f t="array" aca="1" ref="AM69" ca="1">IF($A69="","",JGB_AI($AE69,$AJ69,$AF69))</f>
      </c>
      <c r="AN69" s="13" cm="1">
        <f t="array" aca="1" ref="AN69" ca="1">IF($A69="","",JGB_AI($AE69,$AK69,$AF69))</f>
      </c>
      <c r="AO69" s="13" cm="1">
        <f t="array" aca="1" ref="AO69" ca="1">IF($A69="","",JGB_CARRY_COUPONS($AE69,$AF69,$AJ69,$AK69,$G69))</f>
      </c>
      <c r="AP69" s="13">
        <f t="shared" ca="1" si="19"/>
      </c>
      <c r="AQ69" s="9">
        <f t="shared" ca="1" si="20"/>
      </c>
      <c r="AR69" s="13">
        <f t="shared" ca="1" si="21"/>
      </c>
      <c r="AS69" s="12">
        <f t="shared" ca="1" si="22"/>
      </c>
      <c r="AT69" s="68">
        <f t="shared" ca="1" si="23"/>
      </c>
      <c r="AV69" s="66"/>
      <c r="AW69" s="13"/>
      <c r="AX69" s="12"/>
      <c r="AY69" s="1"/>
      <c r="BA69" s="9"/>
      <c r="BC69" s="12"/>
      <c r="BD69" s="64"/>
    </row>
    <row r="70" spans="1:56" x14ac:dyDescent="0.55000000000000004">
      <c r="A70" s="38"/>
      <c r="B70" s="4"/>
      <c r="C70" s="6"/>
      <c r="D70" s="7"/>
      <c r="E70" s="42"/>
      <c r="F70" s="44"/>
      <c r="G70" s="9" cm="1">
        <f t="array" aca="1" ref="G70" ca="1">IF($A70="","",IF($F70&lt;&gt;"",$F70,_xlfn.LET(_xlpm.s,_xlfn.XLOOKUP($B70,INDEX(SchemeTable,0,1),INDEX(SchemeTable,0,3),""),_xlpm.r,_xlfn.SWITCH(_xlpm.s,"Bid",IF(ISBLANK(RepoBid),"",RepoBid),"Offer",IF(ISBLANK(RepoOffer),"",RepoOffer),""),IF(_xlpm.s="","Error: set repo side for "&amp;$B70,IF(_xlpm.r="","Error: enter repo "&amp;LOWER(_xlpm.s),_xlpm.r)))))</f>
      </c>
      <c r="H70" s="11"/>
      <c r="I70" s="9">
        <f t="shared" ca="1" si="12"/>
      </c>
      <c r="J70" s="46" cm="1">
        <f t="array" aca="1" ref="J70" ca="1">IF($A70="","",JGB_PRICE($AE70,$I70,$AJ70,$AF70))</f>
      </c>
      <c r="K70" s="48"/>
      <c r="L70" s="11"/>
      <c r="M70" s="10"/>
      <c r="N70" s="11"/>
      <c r="O70" s="50"/>
      <c r="P70" s="54">
        <f t="shared" ca="1" si="13"/>
      </c>
      <c r="Q70" s="56" cm="1">
        <f t="array" aca="1" ref="Q70" ca="1">IF($A70="","",_xlfn.LET(_xlpm.n,COUNTA($K70:$O70),IF($B70="ITMBW",IF(_xlpm.n=0,"ITMBW","Error: ITMBW takes no strike input"),IF(_xlpm.n=1,_xlfn.XLOOKUP(TRUE,$K70:$O70&lt;&gt;"",{"Spot +sen","Fwd +sen","Fwd price","ATM +bp","Yield"}),IF(_xlpm.n=0,"Error: enter one strike input","Error: enter only one strike input")))))</f>
      </c>
      <c r="R70" s="9" cm="1">
        <f t="array" aca="1" ref="R70" ca="1">IF($A70="","",_xlfn.SWITCH($Q70,"Spot +sen",ROUNDDOWN(ROUND($J70+$K70/100,9),3),"Fwd +sen",ROUNDDOWN(ROUND($P70+$L70/100,9),3),"Fwd price",$M70,"ATM +bp",JGB_PRICE($AE70,$I70+$N70/100,$C70,$AF70),"Yield",JGB_PRICE($AE70,$O70,$C70,$AF70),"ITMBW",IF($BA70="",NA(),$BA70),NA()))</f>
      </c>
      <c r="S70" s="46" cm="1">
        <f t="array" aca="1" ref="S70" ca="1">IF($A70="","",JGB_YIELD($AE70,$R70,$AK70,$AF70))</f>
      </c>
      <c r="T70" s="58"/>
      <c r="U70" s="1">
        <f ca="1">IF($A70="","",IF(OR($X70&lt;&gt;"",$V70&lt;&gt;""),$W70*SQRT(VolDays),IF($T70&lt;&gt;"",$T70,$AT70)))</f>
      </c>
      <c r="V70" s="70"/>
      <c r="W70" s="12">
        <f ca="1">IF($A70="","",IF($X70&lt;&gt;"",$X70*100/(SQRT(252)*$AS70),IF($V70&lt;&gt;"",$V70,IF($T70&lt;&gt;"",$T70,$AT70)/SQRT(VolDays))))</f>
      </c>
      <c r="X70" s="72"/>
      <c r="Y70" s="60">
        <f t="shared" ca="1" si="14"/>
      </c>
      <c r="Z70" s="62">
        <f t="shared" ca="1" si="15"/>
      </c>
      <c r="AA70" s="8">
        <f t="shared" ca="1" si="16"/>
      </c>
      <c r="AB70" s="9">
        <f t="shared" ca="1" si="17"/>
      </c>
      <c r="AD70" s="64">
        <f t="shared" ca="1" si="18"/>
      </c>
      <c r="AE70" s="66" cm="1">
        <f t="array" aca="1" ref="AE70" ca="1">IF($A70="","",_xlfn.XLOOKUP($A70,INDEX(BondList,0,1),INDEX(BondList,0,2)))</f>
      </c>
      <c r="AF70" s="3" cm="1">
        <f t="array" aca="1" ref="AF70" ca="1">IF($A70="","",_xlfn.XLOOKUP($A70,INDEX(BondList,0,1),INDEX(BondList,0,3)))</f>
      </c>
      <c r="AG70" s="9" cm="1">
        <f t="array" aca="1" ref="AG70" ca="1">IF($A70="","",_xlfn.XLOOKUP($A70,INDEX(BondList,0,1),INDEX(BondList,0,4)))</f>
      </c>
      <c r="AH70" s="3" cm="1">
        <f t="array" aca="1" ref="AH70" ca="1">IF($A70="","",_xlfn.XLOOKUP($A70,INDEX(BondList,0,1),INDEX(BondList,0,5)))</f>
      </c>
      <c r="AI70" s="20" cm="1">
        <f t="array" aca="1" ref="AI70" ca="1">IF($A70="","",_xlfn.XLOOKUP($B70,INDEX(SchemeTable,0,1),INDEX(SchemeTable,0,2),NA()))</f>
      </c>
      <c r="AJ70" s="3">
        <f ca="1">IF($A70="","",WORKDAY(TradeDate,1,Holidays))</f>
      </c>
      <c r="AK70" s="3">
        <f ca="1">IF($A70="","",WORKDAY($C70,$D70,Holidays))</f>
      </c>
      <c r="AL70" s="13">
        <f ca="1">IF($A70="","",NETWORKDAYS(TradeDate,$C70-1,Holidays)/252)</f>
      </c>
      <c r="AM70" s="13" cm="1">
        <f t="array" aca="1" ref="AM70" ca="1">IF($A70="","",JGB_AI($AE70,$AJ70,$AF70))</f>
      </c>
      <c r="AN70" s="13" cm="1">
        <f t="array" aca="1" ref="AN70" ca="1">IF($A70="","",JGB_AI($AE70,$AK70,$AF70))</f>
      </c>
      <c r="AO70" s="13" cm="1">
        <f t="array" aca="1" ref="AO70" ca="1">IF($A70="","",JGB_CARRY_COUPONS($AE70,$AF70,$AJ70,$AK70,$G70))</f>
      </c>
      <c r="AP70" s="13">
        <f t="shared" ca="1" si="19"/>
      </c>
      <c r="AQ70" s="9">
        <f t="shared" ca="1" si="20"/>
      </c>
      <c r="AR70" s="13">
        <f t="shared" ca="1" si="21"/>
      </c>
      <c r="AS70" s="12">
        <f t="shared" ca="1" si="22"/>
      </c>
      <c r="AT70" s="68">
        <f t="shared" ca="1" si="23"/>
      </c>
      <c r="AV70" s="66"/>
      <c r="AW70" s="13"/>
      <c r="AX70" s="12"/>
      <c r="AY70" s="1"/>
      <c r="BA70" s="9"/>
      <c r="BC70" s="12"/>
      <c r="BD70" s="64"/>
    </row>
    <row r="71" spans="1:56" x14ac:dyDescent="0.55000000000000004">
      <c r="A71" s="38"/>
      <c r="B71" s="4"/>
      <c r="C71" s="6"/>
      <c r="D71" s="7"/>
      <c r="E71" s="42"/>
      <c r="F71" s="44"/>
      <c r="G71" s="9" cm="1">
        <f t="array" aca="1" ref="G71" ca="1">IF($A71="","",IF($F71&lt;&gt;"",$F71,_xlfn.LET(_xlpm.s,_xlfn.XLOOKUP($B71,INDEX(SchemeTable,0,1),INDEX(SchemeTable,0,3),""),_xlpm.r,_xlfn.SWITCH(_xlpm.s,"Bid",IF(ISBLANK(RepoBid),"",RepoBid),"Offer",IF(ISBLANK(RepoOffer),"",RepoOffer),""),IF(_xlpm.s="","Error: set repo side for "&amp;$B71,IF(_xlpm.r="","Error: enter repo "&amp;LOWER(_xlpm.s),_xlpm.r)))))</f>
      </c>
      <c r="H71" s="11"/>
      <c r="I71" s="9">
        <f t="shared" ca="1" si="12"/>
      </c>
      <c r="J71" s="46" cm="1">
        <f t="array" aca="1" ref="J71" ca="1">IF($A71="","",JGB_PRICE($AE71,$I71,$AJ71,$AF71))</f>
      </c>
      <c r="K71" s="48"/>
      <c r="L71" s="11"/>
      <c r="M71" s="10"/>
      <c r="N71" s="11"/>
      <c r="O71" s="50"/>
      <c r="P71" s="54">
        <f t="shared" ca="1" si="13"/>
      </c>
      <c r="Q71" s="56" cm="1">
        <f t="array" aca="1" ref="Q71" ca="1">IF($A71="","",_xlfn.LET(_xlpm.n,COUNTA($K71:$O71),IF($B71="ITMBW",IF(_xlpm.n=0,"ITMBW","Error: ITMBW takes no strike input"),IF(_xlpm.n=1,_xlfn.XLOOKUP(TRUE,$K71:$O71&lt;&gt;"",{"Spot +sen","Fwd +sen","Fwd price","ATM +bp","Yield"}),IF(_xlpm.n=0,"Error: enter one strike input","Error: enter only one strike input")))))</f>
      </c>
      <c r="R71" s="9" cm="1">
        <f t="array" aca="1" ref="R71" ca="1">IF($A71="","",_xlfn.SWITCH($Q71,"Spot +sen",ROUNDDOWN(ROUND($J71+$K71/100,9),3),"Fwd +sen",ROUNDDOWN(ROUND($P71+$L71/100,9),3),"Fwd price",$M71,"ATM +bp",JGB_PRICE($AE71,$I71+$N71/100,$C71,$AF71),"Yield",JGB_PRICE($AE71,$O71,$C71,$AF71),"ITMBW",IF($BA71="",NA(),$BA71),NA()))</f>
      </c>
      <c r="S71" s="46" cm="1">
        <f t="array" aca="1" ref="S71" ca="1">IF($A71="","",JGB_YIELD($AE71,$R71,$AK71,$AF71))</f>
      </c>
      <c r="T71" s="58"/>
      <c r="U71" s="1">
        <f ca="1">IF($A71="","",IF(OR($X71&lt;&gt;"",$V71&lt;&gt;""),$W71*SQRT(VolDays),IF($T71&lt;&gt;"",$T71,$AT71)))</f>
      </c>
      <c r="V71" s="70"/>
      <c r="W71" s="12">
        <f ca="1">IF($A71="","",IF($X71&lt;&gt;"",$X71*100/(SQRT(252)*$AS71),IF($V71&lt;&gt;"",$V71,IF($T71&lt;&gt;"",$T71,$AT71)/SQRT(VolDays))))</f>
      </c>
      <c r="X71" s="72"/>
      <c r="Y71" s="60">
        <f t="shared" ca="1" si="14"/>
      </c>
      <c r="Z71" s="62">
        <f t="shared" ca="1" si="15"/>
      </c>
      <c r="AA71" s="8">
        <f t="shared" ca="1" si="16"/>
      </c>
      <c r="AB71" s="9">
        <f t="shared" ca="1" si="17"/>
      </c>
      <c r="AD71" s="64">
        <f t="shared" ca="1" si="18"/>
      </c>
      <c r="AE71" s="66" cm="1">
        <f t="array" aca="1" ref="AE71" ca="1">IF($A71="","",_xlfn.XLOOKUP($A71,INDEX(BondList,0,1),INDEX(BondList,0,2)))</f>
      </c>
      <c r="AF71" s="3" cm="1">
        <f t="array" aca="1" ref="AF71" ca="1">IF($A71="","",_xlfn.XLOOKUP($A71,INDEX(BondList,0,1),INDEX(BondList,0,3)))</f>
      </c>
      <c r="AG71" s="9" cm="1">
        <f t="array" aca="1" ref="AG71" ca="1">IF($A71="","",_xlfn.XLOOKUP($A71,INDEX(BondList,0,1),INDEX(BondList,0,4)))</f>
      </c>
      <c r="AH71" s="3" cm="1">
        <f t="array" aca="1" ref="AH71" ca="1">IF($A71="","",_xlfn.XLOOKUP($A71,INDEX(BondList,0,1),INDEX(BondList,0,5)))</f>
      </c>
      <c r="AI71" s="20" cm="1">
        <f t="array" aca="1" ref="AI71" ca="1">IF($A71="","",_xlfn.XLOOKUP($B71,INDEX(SchemeTable,0,1),INDEX(SchemeTable,0,2),NA()))</f>
      </c>
      <c r="AJ71" s="3">
        <f ca="1">IF($A71="","",WORKDAY(TradeDate,1,Holidays))</f>
      </c>
      <c r="AK71" s="3">
        <f ca="1">IF($A71="","",WORKDAY($C71,$D71,Holidays))</f>
      </c>
      <c r="AL71" s="13">
        <f ca="1">IF($A71="","",NETWORKDAYS(TradeDate,$C71-1,Holidays)/252)</f>
      </c>
      <c r="AM71" s="13" cm="1">
        <f t="array" aca="1" ref="AM71" ca="1">IF($A71="","",JGB_AI($AE71,$AJ71,$AF71))</f>
      </c>
      <c r="AN71" s="13" cm="1">
        <f t="array" aca="1" ref="AN71" ca="1">IF($A71="","",JGB_AI($AE71,$AK71,$AF71))</f>
      </c>
      <c r="AO71" s="13" cm="1">
        <f t="array" aca="1" ref="AO71" ca="1">IF($A71="","",JGB_CARRY_COUPONS($AE71,$AF71,$AJ71,$AK71,$G71))</f>
      </c>
      <c r="AP71" s="13">
        <f t="shared" ca="1" si="19"/>
      </c>
      <c r="AQ71" s="9">
        <f t="shared" ca="1" si="20"/>
      </c>
      <c r="AR71" s="13">
        <f t="shared" ca="1" si="21"/>
      </c>
      <c r="AS71" s="12">
        <f t="shared" ca="1" si="22"/>
      </c>
      <c r="AT71" s="68">
        <f t="shared" ca="1" si="23"/>
      </c>
      <c r="AV71" s="66"/>
      <c r="AW71" s="13"/>
      <c r="AX71" s="12"/>
      <c r="AY71" s="1"/>
      <c r="BA71" s="9"/>
      <c r="BC71" s="12"/>
      <c r="BD71" s="64"/>
    </row>
    <row r="72" spans="1:56" x14ac:dyDescent="0.55000000000000004">
      <c r="A72" s="39"/>
      <c r="B72" s="22"/>
      <c r="C72" s="23"/>
      <c r="D72" s="24"/>
      <c r="E72" s="43"/>
      <c r="F72" s="45"/>
      <c r="G72" s="26" cm="1">
        <f t="array" aca="1" ref="G72" ca="1">IF($A72="","",IF($F72&lt;&gt;"",$F72,_xlfn.LET(_xlpm.s,_xlfn.XLOOKUP($B72,INDEX(SchemeTable,0,1),INDEX(SchemeTable,0,3),""),_xlpm.r,_xlfn.SWITCH(_xlpm.s,"Bid",IF(ISBLANK(RepoBid),"",RepoBid),"Offer",IF(ISBLANK(RepoOffer),"",RepoOffer),""),IF(_xlpm.s="","Error: set repo side for "&amp;$B72,IF(_xlpm.r="","Error: enter repo "&amp;LOWER(_xlpm.s),_xlpm.r)))))</f>
      </c>
      <c r="H72" s="27"/>
      <c r="I72" s="26">
        <f t="shared" ref="I72:I107" ca="1" si="24">IF($A72="","",$AG72+N($H72)/100)</f>
      </c>
      <c r="J72" s="47" cm="1">
        <f t="array" aca="1" ref="J72" ca="1">IF($A72="","",JGB_PRICE($AE72,$I72,$AJ72,$AF72))</f>
      </c>
      <c r="K72" s="49"/>
      <c r="L72" s="27"/>
      <c r="M72" s="25"/>
      <c r="N72" s="27"/>
      <c r="O72" s="51"/>
      <c r="P72" s="55">
        <f t="shared" ref="P72:P107" ca="1" si="25">IF($A72="","",$AP72-$AN72)</f>
      </c>
      <c r="Q72" s="57" cm="1">
        <f t="array" aca="1" ref="Q72" ca="1">IF($A72="","",_xlfn.LET(_xlpm.n,COUNTA($K72:$O72),IF($B72="ITMBW",IF(_xlpm.n=0,"ITMBW","Error: ITMBW takes no strike input"),IF(_xlpm.n=1,_xlfn.XLOOKUP(TRUE,$K72:$O72&lt;&gt;"",{"Spot +sen","Fwd +sen","Fwd price","ATM +bp","Yield"}),IF(_xlpm.n=0,"Error: enter one strike input","Error: enter only one strike input")))))</f>
      </c>
      <c r="R72" s="26" cm="1">
        <f t="array" aca="1" ref="R72" ca="1">IF($A72="","",_xlfn.SWITCH($Q72,"Spot +sen",ROUNDDOWN(ROUND($J72+$K72/100,9),3),"Fwd +sen",ROUNDDOWN(ROUND($P72+$L72/100,9),3),"Fwd price",$M72,"ATM +bp",JGB_PRICE($AE72,$I72+$N72/100,$C72,$AF72),"Yield",JGB_PRICE($AE72,$O72,$C72,$AF72),"ITMBW",IF($BA72="",NA(),$BA72),NA()))</f>
      </c>
      <c r="S72" s="47" cm="1">
        <f t="array" aca="1" ref="S72" ca="1">IF($A72="","",JGB_YIELD($AE72,$R72,$AK72,$AF72))</f>
      </c>
      <c r="T72" s="59"/>
      <c r="U72" s="30">
        <f ca="1">IF($A72="","",IF(OR($X72&lt;&gt;"",$V72&lt;&gt;""),$W72*SQRT(VolDays),IF($T72&lt;&gt;"",$T72,$AT72)))</f>
      </c>
      <c r="V72" s="71"/>
      <c r="W72" s="31">
        <f ca="1">IF($A72="","",IF($X72&lt;&gt;"",$X72*100/(SQRT(252)*$AS72),IF($V72&lt;&gt;"",$V72,IF($T72&lt;&gt;"",$T72,$AT72)/SQRT(VolDays))))</f>
      </c>
      <c r="X72" s="73"/>
      <c r="Y72" s="61">
        <f t="shared" ref="Y72:Y107" ca="1" si="26">IF($A72="","",IF($X72&lt;&gt;"",$X72,$W72*SQRT(252)*$AS72/100))</f>
      </c>
      <c r="Z72" s="63">
        <f t="shared" ref="Z72:Z107" ca="1" si="27">IF($A72="","",IF($BC72="",NA(),$BC72*100))</f>
      </c>
      <c r="AA72" s="32">
        <f t="shared" ref="AA72:AA107" ca="1" si="28">IF(OR($A72="",$E72=""),"",$Z72*$E72*10000)</f>
      </c>
      <c r="AB72" s="26">
        <f t="shared" ref="AB72:AB107" ca="1" si="29">IF($A72="","",$R72+$Z72/100)</f>
      </c>
      <c r="AC72" s="16"/>
      <c r="AD72" s="65">
        <f t="shared" ref="AD72:AD107" ca="1" si="30">IF($A72="","",_xlfn.TEXTJOIN(" / ",TRUE,IF(ISTEXT($G72),$G72,""),IF(LEFT($Q72,5)="Error",$Q72,""),$AZ72,$BB72,$BD72))</f>
      </c>
      <c r="AE72" s="67" cm="1">
        <f t="array" aca="1" ref="AE72" ca="1">IF($A72="","",_xlfn.XLOOKUP($A72,INDEX(BondList,0,1),INDEX(BondList,0,2)))</f>
      </c>
      <c r="AF72" s="33" cm="1">
        <f t="array" aca="1" ref="AF72" ca="1">IF($A72="","",_xlfn.XLOOKUP($A72,INDEX(BondList,0,1),INDEX(BondList,0,3)))</f>
      </c>
      <c r="AG72" s="26" cm="1">
        <f t="array" aca="1" ref="AG72" ca="1">IF($A72="","",_xlfn.XLOOKUP($A72,INDEX(BondList,0,1),INDEX(BondList,0,4)))</f>
      </c>
      <c r="AH72" s="33" cm="1">
        <f t="array" aca="1" ref="AH72" ca="1">IF($A72="","",_xlfn.XLOOKUP($A72,INDEX(BondList,0,1),INDEX(BondList,0,5)))</f>
      </c>
      <c r="AI72" s="29" cm="1">
        <f t="array" aca="1" ref="AI72" ca="1">IF($A72="","",_xlfn.XLOOKUP($B72,INDEX(SchemeTable,0,1),INDEX(SchemeTable,0,2),NA()))</f>
      </c>
      <c r="AJ72" s="33">
        <f ca="1">IF($A72="","",WORKDAY(TradeDate,1,Holidays))</f>
      </c>
      <c r="AK72" s="33">
        <f ca="1">IF($A72="","",WORKDAY($C72,$D72,Holidays))</f>
      </c>
      <c r="AL72" s="28">
        <f ca="1">IF($A72="","",NETWORKDAYS(TradeDate,$C72-1,Holidays)/252)</f>
      </c>
      <c r="AM72" s="28" cm="1">
        <f t="array" aca="1" ref="AM72" ca="1">IF($A72="","",JGB_AI($AE72,$AJ72,$AF72))</f>
      </c>
      <c r="AN72" s="28" cm="1">
        <f t="array" aca="1" ref="AN72" ca="1">IF($A72="","",JGB_AI($AE72,$AK72,$AF72))</f>
      </c>
      <c r="AO72" s="28" cm="1">
        <f t="array" aca="1" ref="AO72" ca="1">IF($A72="","",JGB_CARRY_COUPONS($AE72,$AF72,$AJ72,$AK72,$G72))</f>
      </c>
      <c r="AP72" s="28">
        <f t="shared" ref="AP72:AP107" ca="1" si="31">IF($A72="","",($J72+$AM72)*(1+$G72/100*($AK72-$AJ72)/365)-$AO72)</f>
      </c>
      <c r="AQ72" s="26">
        <f t="shared" ref="AQ72:AQ107" ca="1" si="32">IF($A72="","",IF($AV72="",NA(),$AV72))</f>
      </c>
      <c r="AR72" s="28">
        <f t="shared" ref="AR72:AR107" ca="1" si="33">IF($A72="","",IF($AW72="",NA(),$AW72))</f>
      </c>
      <c r="AS72" s="31">
        <f t="shared" ref="AS72:AS107" ca="1" si="34">IF($A72="","",IF($AX72="",NA(),$AX72))</f>
      </c>
      <c r="AT72" s="69">
        <f t="shared" ref="AT72:AT107" ca="1" si="35">IF($A72="","",IF($AY72="",NA(),$AY72))</f>
      </c>
      <c r="AV72" s="67"/>
      <c r="AW72" s="28"/>
      <c r="AX72" s="31"/>
      <c r="AY72" s="30"/>
      <c r="AZ72" s="16"/>
      <c r="BA72" s="26"/>
      <c r="BB72" s="16"/>
      <c r="BC72" s="31"/>
      <c r="BD72" s="65"/>
    </row>
    <row r="73" spans="1:56" x14ac:dyDescent="0.55000000000000004">
      <c r="A73" s="38"/>
      <c r="B73" s="4"/>
      <c r="C73" s="6"/>
      <c r="D73" s="7"/>
      <c r="E73" s="42"/>
      <c r="F73" s="44"/>
      <c r="G73" s="9" cm="1">
        <f t="array" aca="1" ref="G73" ca="1">IF($A73="","",IF($F73&lt;&gt;"",$F73,_xlfn.LET(_xlpm.s,_xlfn.XLOOKUP($B73,INDEX(SchemeTable,0,1),INDEX(SchemeTable,0,3),""),_xlpm.r,_xlfn.SWITCH(_xlpm.s,"Bid",IF(ISBLANK(RepoBid),"",RepoBid),"Offer",IF(ISBLANK(RepoOffer),"",RepoOffer),""),IF(_xlpm.s="","Error: set repo side for "&amp;$B73,IF(_xlpm.r="","Error: enter repo "&amp;LOWER(_xlpm.s),_xlpm.r)))))</f>
      </c>
      <c r="H73" s="11"/>
      <c r="I73" s="9">
        <f t="shared" ca="1" si="24"/>
      </c>
      <c r="J73" s="46" cm="1">
        <f t="array" aca="1" ref="J73" ca="1">IF($A73="","",JGB_PRICE($AE73,$I73,$AJ73,$AF73))</f>
      </c>
      <c r="K73" s="48"/>
      <c r="L73" s="11"/>
      <c r="M73" s="10"/>
      <c r="N73" s="11"/>
      <c r="O73" s="50"/>
      <c r="P73" s="54">
        <f t="shared" ca="1" si="25"/>
      </c>
      <c r="Q73" s="56" cm="1">
        <f t="array" aca="1" ref="Q73" ca="1">IF($A73="","",_xlfn.LET(_xlpm.n,COUNTA($K73:$O73),IF($B73="ITMBW",IF(_xlpm.n=0,"ITMBW","Error: ITMBW takes no strike input"),IF(_xlpm.n=1,_xlfn.XLOOKUP(TRUE,$K73:$O73&lt;&gt;"",{"Spot +sen","Fwd +sen","Fwd price","ATM +bp","Yield"}),IF(_xlpm.n=0,"Error: enter one strike input","Error: enter only one strike input")))))</f>
      </c>
      <c r="R73" s="9" cm="1">
        <f t="array" aca="1" ref="R73" ca="1">IF($A73="","",_xlfn.SWITCH($Q73,"Spot +sen",ROUNDDOWN(ROUND($J73+$K73/100,9),3),"Fwd +sen",ROUNDDOWN(ROUND($P73+$L73/100,9),3),"Fwd price",$M73,"ATM +bp",JGB_PRICE($AE73,$I73+$N73/100,$C73,$AF73),"Yield",JGB_PRICE($AE73,$O73,$C73,$AF73),"ITMBW",IF($BA73="",NA(),$BA73),NA()))</f>
      </c>
      <c r="S73" s="46" cm="1">
        <f t="array" aca="1" ref="S73" ca="1">IF($A73="","",JGB_YIELD($AE73,$R73,$AK73,$AF73))</f>
      </c>
      <c r="T73" s="58"/>
      <c r="U73" s="1">
        <f ca="1">IF($A73="","",IF(OR($X73&lt;&gt;"",$V73&lt;&gt;""),$W73*SQRT(VolDays),IF($T73&lt;&gt;"",$T73,$AT73)))</f>
      </c>
      <c r="V73" s="70"/>
      <c r="W73" s="12">
        <f ca="1">IF($A73="","",IF($X73&lt;&gt;"",$X73*100/(SQRT(252)*$AS73),IF($V73&lt;&gt;"",$V73,IF($T73&lt;&gt;"",$T73,$AT73)/SQRT(VolDays))))</f>
      </c>
      <c r="X73" s="72"/>
      <c r="Y73" s="60">
        <f t="shared" ca="1" si="26"/>
      </c>
      <c r="Z73" s="62">
        <f t="shared" ca="1" si="27"/>
      </c>
      <c r="AA73" s="8">
        <f t="shared" ca="1" si="28"/>
      </c>
      <c r="AB73" s="9">
        <f t="shared" ca="1" si="29"/>
      </c>
      <c r="AD73" s="64">
        <f t="shared" ca="1" si="30"/>
      </c>
      <c r="AE73" s="66" cm="1">
        <f t="array" aca="1" ref="AE73" ca="1">IF($A73="","",_xlfn.XLOOKUP($A73,INDEX(BondList,0,1),INDEX(BondList,0,2)))</f>
      </c>
      <c r="AF73" s="3" cm="1">
        <f t="array" aca="1" ref="AF73" ca="1">IF($A73="","",_xlfn.XLOOKUP($A73,INDEX(BondList,0,1),INDEX(BondList,0,3)))</f>
      </c>
      <c r="AG73" s="9" cm="1">
        <f t="array" aca="1" ref="AG73" ca="1">IF($A73="","",_xlfn.XLOOKUP($A73,INDEX(BondList,0,1),INDEX(BondList,0,4)))</f>
      </c>
      <c r="AH73" s="3" cm="1">
        <f t="array" aca="1" ref="AH73" ca="1">IF($A73="","",_xlfn.XLOOKUP($A73,INDEX(BondList,0,1),INDEX(BondList,0,5)))</f>
      </c>
      <c r="AI73" s="20" cm="1">
        <f t="array" aca="1" ref="AI73" ca="1">IF($A73="","",_xlfn.XLOOKUP($B73,INDEX(SchemeTable,0,1),INDEX(SchemeTable,0,2),NA()))</f>
      </c>
      <c r="AJ73" s="3">
        <f ca="1">IF($A73="","",WORKDAY(TradeDate,1,Holidays))</f>
      </c>
      <c r="AK73" s="3">
        <f ca="1">IF($A73="","",WORKDAY($C73,$D73,Holidays))</f>
      </c>
      <c r="AL73" s="13">
        <f ca="1">IF($A73="","",NETWORKDAYS(TradeDate,$C73-1,Holidays)/252)</f>
      </c>
      <c r="AM73" s="13" cm="1">
        <f t="array" aca="1" ref="AM73" ca="1">IF($A73="","",JGB_AI($AE73,$AJ73,$AF73))</f>
      </c>
      <c r="AN73" s="13" cm="1">
        <f t="array" aca="1" ref="AN73" ca="1">IF($A73="","",JGB_AI($AE73,$AK73,$AF73))</f>
      </c>
      <c r="AO73" s="13" cm="1">
        <f t="array" aca="1" ref="AO73" ca="1">IF($A73="","",JGB_CARRY_COUPONS($AE73,$AF73,$AJ73,$AK73,$G73))</f>
      </c>
      <c r="AP73" s="13">
        <f t="shared" ca="1" si="31"/>
      </c>
      <c r="AQ73" s="9">
        <f t="shared" ca="1" si="32"/>
      </c>
      <c r="AR73" s="13">
        <f t="shared" ca="1" si="33"/>
      </c>
      <c r="AS73" s="12">
        <f t="shared" ca="1" si="34"/>
      </c>
      <c r="AT73" s="68">
        <f t="shared" ca="1" si="35"/>
      </c>
      <c r="AV73" s="66"/>
      <c r="AW73" s="13"/>
      <c r="AX73" s="12"/>
      <c r="AY73" s="1"/>
      <c r="BA73" s="9"/>
      <c r="BC73" s="12"/>
      <c r="BD73" s="64"/>
    </row>
    <row r="74" spans="1:56" x14ac:dyDescent="0.55000000000000004">
      <c r="A74" s="38"/>
      <c r="B74" s="4"/>
      <c r="C74" s="6"/>
      <c r="D74" s="7"/>
      <c r="E74" s="42"/>
      <c r="F74" s="44"/>
      <c r="G74" s="9" cm="1">
        <f t="array" aca="1" ref="G74" ca="1">IF($A74="","",IF($F74&lt;&gt;"",$F74,_xlfn.LET(_xlpm.s,_xlfn.XLOOKUP($B74,INDEX(SchemeTable,0,1),INDEX(SchemeTable,0,3),""),_xlpm.r,_xlfn.SWITCH(_xlpm.s,"Bid",IF(ISBLANK(RepoBid),"",RepoBid),"Offer",IF(ISBLANK(RepoOffer),"",RepoOffer),""),IF(_xlpm.s="","Error: set repo side for "&amp;$B74,IF(_xlpm.r="","Error: enter repo "&amp;LOWER(_xlpm.s),_xlpm.r)))))</f>
      </c>
      <c r="H74" s="11"/>
      <c r="I74" s="9">
        <f t="shared" ca="1" si="24"/>
      </c>
      <c r="J74" s="46" cm="1">
        <f t="array" aca="1" ref="J74" ca="1">IF($A74="","",JGB_PRICE($AE74,$I74,$AJ74,$AF74))</f>
      </c>
      <c r="K74" s="48"/>
      <c r="L74" s="11"/>
      <c r="M74" s="10"/>
      <c r="N74" s="11"/>
      <c r="O74" s="50"/>
      <c r="P74" s="54">
        <f t="shared" ca="1" si="25"/>
      </c>
      <c r="Q74" s="56" cm="1">
        <f t="array" aca="1" ref="Q74" ca="1">IF($A74="","",_xlfn.LET(_xlpm.n,COUNTA($K74:$O74),IF($B74="ITMBW",IF(_xlpm.n=0,"ITMBW","Error: ITMBW takes no strike input"),IF(_xlpm.n=1,_xlfn.XLOOKUP(TRUE,$K74:$O74&lt;&gt;"",{"Spot +sen","Fwd +sen","Fwd price","ATM +bp","Yield"}),IF(_xlpm.n=0,"Error: enter one strike input","Error: enter only one strike input")))))</f>
      </c>
      <c r="R74" s="9" cm="1">
        <f t="array" aca="1" ref="R74" ca="1">IF($A74="","",_xlfn.SWITCH($Q74,"Spot +sen",ROUNDDOWN(ROUND($J74+$K74/100,9),3),"Fwd +sen",ROUNDDOWN(ROUND($P74+$L74/100,9),3),"Fwd price",$M74,"ATM +bp",JGB_PRICE($AE74,$I74+$N74/100,$C74,$AF74),"Yield",JGB_PRICE($AE74,$O74,$C74,$AF74),"ITMBW",IF($BA74="",NA(),$BA74),NA()))</f>
      </c>
      <c r="S74" s="46" cm="1">
        <f t="array" aca="1" ref="S74" ca="1">IF($A74="","",JGB_YIELD($AE74,$R74,$AK74,$AF74))</f>
      </c>
      <c r="T74" s="58"/>
      <c r="U74" s="1">
        <f ca="1">IF($A74="","",IF(OR($X74&lt;&gt;"",$V74&lt;&gt;""),$W74*SQRT(VolDays),IF($T74&lt;&gt;"",$T74,$AT74)))</f>
      </c>
      <c r="V74" s="70"/>
      <c r="W74" s="12">
        <f ca="1">IF($A74="","",IF($X74&lt;&gt;"",$X74*100/(SQRT(252)*$AS74),IF($V74&lt;&gt;"",$V74,IF($T74&lt;&gt;"",$T74,$AT74)/SQRT(VolDays))))</f>
      </c>
      <c r="X74" s="72"/>
      <c r="Y74" s="60">
        <f t="shared" ca="1" si="26"/>
      </c>
      <c r="Z74" s="62">
        <f t="shared" ca="1" si="27"/>
      </c>
      <c r="AA74" s="8">
        <f t="shared" ca="1" si="28"/>
      </c>
      <c r="AB74" s="9">
        <f t="shared" ca="1" si="29"/>
      </c>
      <c r="AD74" s="64">
        <f t="shared" ca="1" si="30"/>
      </c>
      <c r="AE74" s="66" cm="1">
        <f t="array" aca="1" ref="AE74" ca="1">IF($A74="","",_xlfn.XLOOKUP($A74,INDEX(BondList,0,1),INDEX(BondList,0,2)))</f>
      </c>
      <c r="AF74" s="3" cm="1">
        <f t="array" aca="1" ref="AF74" ca="1">IF($A74="","",_xlfn.XLOOKUP($A74,INDEX(BondList,0,1),INDEX(BondList,0,3)))</f>
      </c>
      <c r="AG74" s="9" cm="1">
        <f t="array" aca="1" ref="AG74" ca="1">IF($A74="","",_xlfn.XLOOKUP($A74,INDEX(BondList,0,1),INDEX(BondList,0,4)))</f>
      </c>
      <c r="AH74" s="3" cm="1">
        <f t="array" aca="1" ref="AH74" ca="1">IF($A74="","",_xlfn.XLOOKUP($A74,INDEX(BondList,0,1),INDEX(BondList,0,5)))</f>
      </c>
      <c r="AI74" s="20" cm="1">
        <f t="array" aca="1" ref="AI74" ca="1">IF($A74="","",_xlfn.XLOOKUP($B74,INDEX(SchemeTable,0,1),INDEX(SchemeTable,0,2),NA()))</f>
      </c>
      <c r="AJ74" s="3">
        <f ca="1">IF($A74="","",WORKDAY(TradeDate,1,Holidays))</f>
      </c>
      <c r="AK74" s="3">
        <f ca="1">IF($A74="","",WORKDAY($C74,$D74,Holidays))</f>
      </c>
      <c r="AL74" s="13">
        <f ca="1">IF($A74="","",NETWORKDAYS(TradeDate,$C74-1,Holidays)/252)</f>
      </c>
      <c r="AM74" s="13" cm="1">
        <f t="array" aca="1" ref="AM74" ca="1">IF($A74="","",JGB_AI($AE74,$AJ74,$AF74))</f>
      </c>
      <c r="AN74" s="13" cm="1">
        <f t="array" aca="1" ref="AN74" ca="1">IF($A74="","",JGB_AI($AE74,$AK74,$AF74))</f>
      </c>
      <c r="AO74" s="13" cm="1">
        <f t="array" aca="1" ref="AO74" ca="1">IF($A74="","",JGB_CARRY_COUPONS($AE74,$AF74,$AJ74,$AK74,$G74))</f>
      </c>
      <c r="AP74" s="13">
        <f t="shared" ca="1" si="31"/>
      </c>
      <c r="AQ74" s="9">
        <f t="shared" ca="1" si="32"/>
      </c>
      <c r="AR74" s="13">
        <f t="shared" ca="1" si="33"/>
      </c>
      <c r="AS74" s="12">
        <f t="shared" ca="1" si="34"/>
      </c>
      <c r="AT74" s="68">
        <f t="shared" ca="1" si="35"/>
      </c>
      <c r="AV74" s="66"/>
      <c r="AW74" s="13"/>
      <c r="AX74" s="12"/>
      <c r="AY74" s="1"/>
      <c r="BA74" s="9"/>
      <c r="BC74" s="12"/>
      <c r="BD74" s="64"/>
    </row>
    <row r="75" spans="1:56" x14ac:dyDescent="0.55000000000000004">
      <c r="A75" s="38"/>
      <c r="B75" s="4"/>
      <c r="C75" s="6"/>
      <c r="D75" s="7"/>
      <c r="E75" s="42"/>
      <c r="F75" s="44"/>
      <c r="G75" s="9" cm="1">
        <f t="array" aca="1" ref="G75" ca="1">IF($A75="","",IF($F75&lt;&gt;"",$F75,_xlfn.LET(_xlpm.s,_xlfn.XLOOKUP($B75,INDEX(SchemeTable,0,1),INDEX(SchemeTable,0,3),""),_xlpm.r,_xlfn.SWITCH(_xlpm.s,"Bid",IF(ISBLANK(RepoBid),"",RepoBid),"Offer",IF(ISBLANK(RepoOffer),"",RepoOffer),""),IF(_xlpm.s="","Error: set repo side for "&amp;$B75,IF(_xlpm.r="","Error: enter repo "&amp;LOWER(_xlpm.s),_xlpm.r)))))</f>
      </c>
      <c r="H75" s="11"/>
      <c r="I75" s="9">
        <f t="shared" ca="1" si="24"/>
      </c>
      <c r="J75" s="46" cm="1">
        <f t="array" aca="1" ref="J75" ca="1">IF($A75="","",JGB_PRICE($AE75,$I75,$AJ75,$AF75))</f>
      </c>
      <c r="K75" s="48"/>
      <c r="L75" s="11"/>
      <c r="M75" s="10"/>
      <c r="N75" s="11"/>
      <c r="O75" s="50"/>
      <c r="P75" s="54">
        <f t="shared" ca="1" si="25"/>
      </c>
      <c r="Q75" s="56" cm="1">
        <f t="array" aca="1" ref="Q75" ca="1">IF($A75="","",_xlfn.LET(_xlpm.n,COUNTA($K75:$O75),IF($B75="ITMBW",IF(_xlpm.n=0,"ITMBW","Error: ITMBW takes no strike input"),IF(_xlpm.n=1,_xlfn.XLOOKUP(TRUE,$K75:$O75&lt;&gt;"",{"Spot +sen","Fwd +sen","Fwd price","ATM +bp","Yield"}),IF(_xlpm.n=0,"Error: enter one strike input","Error: enter only one strike input")))))</f>
      </c>
      <c r="R75" s="9" cm="1">
        <f t="array" aca="1" ref="R75" ca="1">IF($A75="","",_xlfn.SWITCH($Q75,"Spot +sen",ROUNDDOWN(ROUND($J75+$K75/100,9),3),"Fwd +sen",ROUNDDOWN(ROUND($P75+$L75/100,9),3),"Fwd price",$M75,"ATM +bp",JGB_PRICE($AE75,$I75+$N75/100,$C75,$AF75),"Yield",JGB_PRICE($AE75,$O75,$C75,$AF75),"ITMBW",IF($BA75="",NA(),$BA75),NA()))</f>
      </c>
      <c r="S75" s="46" cm="1">
        <f t="array" aca="1" ref="S75" ca="1">IF($A75="","",JGB_YIELD($AE75,$R75,$AK75,$AF75))</f>
      </c>
      <c r="T75" s="58"/>
      <c r="U75" s="1">
        <f ca="1">IF($A75="","",IF(OR($X75&lt;&gt;"",$V75&lt;&gt;""),$W75*SQRT(VolDays),IF($T75&lt;&gt;"",$T75,$AT75)))</f>
      </c>
      <c r="V75" s="70"/>
      <c r="W75" s="12">
        <f ca="1">IF($A75="","",IF($X75&lt;&gt;"",$X75*100/(SQRT(252)*$AS75),IF($V75&lt;&gt;"",$V75,IF($T75&lt;&gt;"",$T75,$AT75)/SQRT(VolDays))))</f>
      </c>
      <c r="X75" s="72"/>
      <c r="Y75" s="60">
        <f t="shared" ca="1" si="26"/>
      </c>
      <c r="Z75" s="62">
        <f t="shared" ca="1" si="27"/>
      </c>
      <c r="AA75" s="8">
        <f t="shared" ca="1" si="28"/>
      </c>
      <c r="AB75" s="9">
        <f t="shared" ca="1" si="29"/>
      </c>
      <c r="AD75" s="64">
        <f t="shared" ca="1" si="30"/>
      </c>
      <c r="AE75" s="66" cm="1">
        <f t="array" aca="1" ref="AE75" ca="1">IF($A75="","",_xlfn.XLOOKUP($A75,INDEX(BondList,0,1),INDEX(BondList,0,2)))</f>
      </c>
      <c r="AF75" s="3" cm="1">
        <f t="array" aca="1" ref="AF75" ca="1">IF($A75="","",_xlfn.XLOOKUP($A75,INDEX(BondList,0,1),INDEX(BondList,0,3)))</f>
      </c>
      <c r="AG75" s="9" cm="1">
        <f t="array" aca="1" ref="AG75" ca="1">IF($A75="","",_xlfn.XLOOKUP($A75,INDEX(BondList,0,1),INDEX(BondList,0,4)))</f>
      </c>
      <c r="AH75" s="3" cm="1">
        <f t="array" aca="1" ref="AH75" ca="1">IF($A75="","",_xlfn.XLOOKUP($A75,INDEX(BondList,0,1),INDEX(BondList,0,5)))</f>
      </c>
      <c r="AI75" s="20" cm="1">
        <f t="array" aca="1" ref="AI75" ca="1">IF($A75="","",_xlfn.XLOOKUP($B75,INDEX(SchemeTable,0,1),INDEX(SchemeTable,0,2),NA()))</f>
      </c>
      <c r="AJ75" s="3">
        <f ca="1">IF($A75="","",WORKDAY(TradeDate,1,Holidays))</f>
      </c>
      <c r="AK75" s="3">
        <f ca="1">IF($A75="","",WORKDAY($C75,$D75,Holidays))</f>
      </c>
      <c r="AL75" s="13">
        <f ca="1">IF($A75="","",NETWORKDAYS(TradeDate,$C75-1,Holidays)/252)</f>
      </c>
      <c r="AM75" s="13" cm="1">
        <f t="array" aca="1" ref="AM75" ca="1">IF($A75="","",JGB_AI($AE75,$AJ75,$AF75))</f>
      </c>
      <c r="AN75" s="13" cm="1">
        <f t="array" aca="1" ref="AN75" ca="1">IF($A75="","",JGB_AI($AE75,$AK75,$AF75))</f>
      </c>
      <c r="AO75" s="13" cm="1">
        <f t="array" aca="1" ref="AO75" ca="1">IF($A75="","",JGB_CARRY_COUPONS($AE75,$AF75,$AJ75,$AK75,$G75))</f>
      </c>
      <c r="AP75" s="13">
        <f t="shared" ca="1" si="31"/>
      </c>
      <c r="AQ75" s="9">
        <f t="shared" ca="1" si="32"/>
      </c>
      <c r="AR75" s="13">
        <f t="shared" ca="1" si="33"/>
      </c>
      <c r="AS75" s="12">
        <f t="shared" ca="1" si="34"/>
      </c>
      <c r="AT75" s="68">
        <f t="shared" ca="1" si="35"/>
      </c>
      <c r="AV75" s="66"/>
      <c r="AW75" s="13"/>
      <c r="AX75" s="12"/>
      <c r="AY75" s="1"/>
      <c r="BA75" s="9"/>
      <c r="BC75" s="12"/>
      <c r="BD75" s="64"/>
    </row>
    <row r="76" spans="1:56" x14ac:dyDescent="0.55000000000000004">
      <c r="A76" s="38"/>
      <c r="B76" s="4"/>
      <c r="C76" s="6"/>
      <c r="D76" s="7"/>
      <c r="E76" s="42"/>
      <c r="F76" s="44"/>
      <c r="G76" s="9" cm="1">
        <f t="array" aca="1" ref="G76" ca="1">IF($A76="","",IF($F76&lt;&gt;"",$F76,_xlfn.LET(_xlpm.s,_xlfn.XLOOKUP($B76,INDEX(SchemeTable,0,1),INDEX(SchemeTable,0,3),""),_xlpm.r,_xlfn.SWITCH(_xlpm.s,"Bid",IF(ISBLANK(RepoBid),"",RepoBid),"Offer",IF(ISBLANK(RepoOffer),"",RepoOffer),""),IF(_xlpm.s="","Error: set repo side for "&amp;$B76,IF(_xlpm.r="","Error: enter repo "&amp;LOWER(_xlpm.s),_xlpm.r)))))</f>
      </c>
      <c r="H76" s="11"/>
      <c r="I76" s="9">
        <f t="shared" ca="1" si="24"/>
      </c>
      <c r="J76" s="46" cm="1">
        <f t="array" aca="1" ref="J76" ca="1">IF($A76="","",JGB_PRICE($AE76,$I76,$AJ76,$AF76))</f>
      </c>
      <c r="K76" s="48"/>
      <c r="L76" s="11"/>
      <c r="M76" s="10"/>
      <c r="N76" s="11"/>
      <c r="O76" s="50"/>
      <c r="P76" s="54">
        <f t="shared" ca="1" si="25"/>
      </c>
      <c r="Q76" s="56" cm="1">
        <f t="array" aca="1" ref="Q76" ca="1">IF($A76="","",_xlfn.LET(_xlpm.n,COUNTA($K76:$O76),IF($B76="ITMBW",IF(_xlpm.n=0,"ITMBW","Error: ITMBW takes no strike input"),IF(_xlpm.n=1,_xlfn.XLOOKUP(TRUE,$K76:$O76&lt;&gt;"",{"Spot +sen","Fwd +sen","Fwd price","ATM +bp","Yield"}),IF(_xlpm.n=0,"Error: enter one strike input","Error: enter only one strike input")))))</f>
      </c>
      <c r="R76" s="9" cm="1">
        <f t="array" aca="1" ref="R76" ca="1">IF($A76="","",_xlfn.SWITCH($Q76,"Spot +sen",ROUNDDOWN(ROUND($J76+$K76/100,9),3),"Fwd +sen",ROUNDDOWN(ROUND($P76+$L76/100,9),3),"Fwd price",$M76,"ATM +bp",JGB_PRICE($AE76,$I76+$N76/100,$C76,$AF76),"Yield",JGB_PRICE($AE76,$O76,$C76,$AF76),"ITMBW",IF($BA76="",NA(),$BA76),NA()))</f>
      </c>
      <c r="S76" s="46" cm="1">
        <f t="array" aca="1" ref="S76" ca="1">IF($A76="","",JGB_YIELD($AE76,$R76,$AK76,$AF76))</f>
      </c>
      <c r="T76" s="58"/>
      <c r="U76" s="1">
        <f ca="1">IF($A76="","",IF(OR($X76&lt;&gt;"",$V76&lt;&gt;""),$W76*SQRT(VolDays),IF($T76&lt;&gt;"",$T76,$AT76)))</f>
      </c>
      <c r="V76" s="70"/>
      <c r="W76" s="12">
        <f ca="1">IF($A76="","",IF($X76&lt;&gt;"",$X76*100/(SQRT(252)*$AS76),IF($V76&lt;&gt;"",$V76,IF($T76&lt;&gt;"",$T76,$AT76)/SQRT(VolDays))))</f>
      </c>
      <c r="X76" s="72"/>
      <c r="Y76" s="60">
        <f t="shared" ca="1" si="26"/>
      </c>
      <c r="Z76" s="62">
        <f t="shared" ca="1" si="27"/>
      </c>
      <c r="AA76" s="8">
        <f t="shared" ca="1" si="28"/>
      </c>
      <c r="AB76" s="9">
        <f t="shared" ca="1" si="29"/>
      </c>
      <c r="AD76" s="64">
        <f t="shared" ca="1" si="30"/>
      </c>
      <c r="AE76" s="66" cm="1">
        <f t="array" aca="1" ref="AE76" ca="1">IF($A76="","",_xlfn.XLOOKUP($A76,INDEX(BondList,0,1),INDEX(BondList,0,2)))</f>
      </c>
      <c r="AF76" s="3" cm="1">
        <f t="array" aca="1" ref="AF76" ca="1">IF($A76="","",_xlfn.XLOOKUP($A76,INDEX(BondList,0,1),INDEX(BondList,0,3)))</f>
      </c>
      <c r="AG76" s="9" cm="1">
        <f t="array" aca="1" ref="AG76" ca="1">IF($A76="","",_xlfn.XLOOKUP($A76,INDEX(BondList,0,1),INDEX(BondList,0,4)))</f>
      </c>
      <c r="AH76" s="3" cm="1">
        <f t="array" aca="1" ref="AH76" ca="1">IF($A76="","",_xlfn.XLOOKUP($A76,INDEX(BondList,0,1),INDEX(BondList,0,5)))</f>
      </c>
      <c r="AI76" s="20" cm="1">
        <f t="array" aca="1" ref="AI76" ca="1">IF($A76="","",_xlfn.XLOOKUP($B76,INDEX(SchemeTable,0,1),INDEX(SchemeTable,0,2),NA()))</f>
      </c>
      <c r="AJ76" s="3">
        <f ca="1">IF($A76="","",WORKDAY(TradeDate,1,Holidays))</f>
      </c>
      <c r="AK76" s="3">
        <f ca="1">IF($A76="","",WORKDAY($C76,$D76,Holidays))</f>
      </c>
      <c r="AL76" s="13">
        <f ca="1">IF($A76="","",NETWORKDAYS(TradeDate,$C76-1,Holidays)/252)</f>
      </c>
      <c r="AM76" s="13" cm="1">
        <f t="array" aca="1" ref="AM76" ca="1">IF($A76="","",JGB_AI($AE76,$AJ76,$AF76))</f>
      </c>
      <c r="AN76" s="13" cm="1">
        <f t="array" aca="1" ref="AN76" ca="1">IF($A76="","",JGB_AI($AE76,$AK76,$AF76))</f>
      </c>
      <c r="AO76" s="13" cm="1">
        <f t="array" aca="1" ref="AO76" ca="1">IF($A76="","",JGB_CARRY_COUPONS($AE76,$AF76,$AJ76,$AK76,$G76))</f>
      </c>
      <c r="AP76" s="13">
        <f t="shared" ca="1" si="31"/>
      </c>
      <c r="AQ76" s="9">
        <f t="shared" ca="1" si="32"/>
      </c>
      <c r="AR76" s="13">
        <f t="shared" ca="1" si="33"/>
      </c>
      <c r="AS76" s="12">
        <f t="shared" ca="1" si="34"/>
      </c>
      <c r="AT76" s="68">
        <f t="shared" ca="1" si="35"/>
      </c>
      <c r="AV76" s="66"/>
      <c r="AW76" s="13"/>
      <c r="AX76" s="12"/>
      <c r="AY76" s="1"/>
      <c r="BA76" s="9"/>
      <c r="BC76" s="12"/>
      <c r="BD76" s="64"/>
    </row>
    <row r="77" spans="1:56" x14ac:dyDescent="0.55000000000000004">
      <c r="A77" s="39"/>
      <c r="B77" s="22"/>
      <c r="C77" s="23"/>
      <c r="D77" s="24"/>
      <c r="E77" s="43"/>
      <c r="F77" s="45"/>
      <c r="G77" s="26" cm="1">
        <f t="array" aca="1" ref="G77" ca="1">IF($A77="","",IF($F77&lt;&gt;"",$F77,_xlfn.LET(_xlpm.s,_xlfn.XLOOKUP($B77,INDEX(SchemeTable,0,1),INDEX(SchemeTable,0,3),""),_xlpm.r,_xlfn.SWITCH(_xlpm.s,"Bid",IF(ISBLANK(RepoBid),"",RepoBid),"Offer",IF(ISBLANK(RepoOffer),"",RepoOffer),""),IF(_xlpm.s="","Error: set repo side for "&amp;$B77,IF(_xlpm.r="","Error: enter repo "&amp;LOWER(_xlpm.s),_xlpm.r)))))</f>
      </c>
      <c r="H77" s="27"/>
      <c r="I77" s="26">
        <f t="shared" ca="1" si="24"/>
      </c>
      <c r="J77" s="47" cm="1">
        <f t="array" aca="1" ref="J77" ca="1">IF($A77="","",JGB_PRICE($AE77,$I77,$AJ77,$AF77))</f>
      </c>
      <c r="K77" s="49"/>
      <c r="L77" s="27"/>
      <c r="M77" s="25"/>
      <c r="N77" s="27"/>
      <c r="O77" s="51"/>
      <c r="P77" s="55">
        <f t="shared" ca="1" si="25"/>
      </c>
      <c r="Q77" s="57" cm="1">
        <f t="array" aca="1" ref="Q77" ca="1">IF($A77="","",_xlfn.LET(_xlpm.n,COUNTA($K77:$O77),IF($B77="ITMBW",IF(_xlpm.n=0,"ITMBW","Error: ITMBW takes no strike input"),IF(_xlpm.n=1,_xlfn.XLOOKUP(TRUE,$K77:$O77&lt;&gt;"",{"Spot +sen","Fwd +sen","Fwd price","ATM +bp","Yield"}),IF(_xlpm.n=0,"Error: enter one strike input","Error: enter only one strike input")))))</f>
      </c>
      <c r="R77" s="26" cm="1">
        <f t="array" aca="1" ref="R77" ca="1">IF($A77="","",_xlfn.SWITCH($Q77,"Spot +sen",ROUNDDOWN(ROUND($J77+$K77/100,9),3),"Fwd +sen",ROUNDDOWN(ROUND($P77+$L77/100,9),3),"Fwd price",$M77,"ATM +bp",JGB_PRICE($AE77,$I77+$N77/100,$C77,$AF77),"Yield",JGB_PRICE($AE77,$O77,$C77,$AF77),"ITMBW",IF($BA77="",NA(),$BA77),NA()))</f>
      </c>
      <c r="S77" s="47" cm="1">
        <f t="array" aca="1" ref="S77" ca="1">IF($A77="","",JGB_YIELD($AE77,$R77,$AK77,$AF77))</f>
      </c>
      <c r="T77" s="59"/>
      <c r="U77" s="30">
        <f ca="1">IF($A77="","",IF(OR($X77&lt;&gt;"",$V77&lt;&gt;""),$W77*SQRT(VolDays),IF($T77&lt;&gt;"",$T77,$AT77)))</f>
      </c>
      <c r="V77" s="71"/>
      <c r="W77" s="31">
        <f ca="1">IF($A77="","",IF($X77&lt;&gt;"",$X77*100/(SQRT(252)*$AS77),IF($V77&lt;&gt;"",$V77,IF($T77&lt;&gt;"",$T77,$AT77)/SQRT(VolDays))))</f>
      </c>
      <c r="X77" s="73"/>
      <c r="Y77" s="61">
        <f t="shared" ca="1" si="26"/>
      </c>
      <c r="Z77" s="63">
        <f t="shared" ca="1" si="27"/>
      </c>
      <c r="AA77" s="32">
        <f t="shared" ca="1" si="28"/>
      </c>
      <c r="AB77" s="26">
        <f t="shared" ca="1" si="29"/>
      </c>
      <c r="AC77" s="16"/>
      <c r="AD77" s="65">
        <f t="shared" ca="1" si="30"/>
      </c>
      <c r="AE77" s="67" cm="1">
        <f t="array" aca="1" ref="AE77" ca="1">IF($A77="","",_xlfn.XLOOKUP($A77,INDEX(BondList,0,1),INDEX(BondList,0,2)))</f>
      </c>
      <c r="AF77" s="33" cm="1">
        <f t="array" aca="1" ref="AF77" ca="1">IF($A77="","",_xlfn.XLOOKUP($A77,INDEX(BondList,0,1),INDEX(BondList,0,3)))</f>
      </c>
      <c r="AG77" s="26" cm="1">
        <f t="array" aca="1" ref="AG77" ca="1">IF($A77="","",_xlfn.XLOOKUP($A77,INDEX(BondList,0,1),INDEX(BondList,0,4)))</f>
      </c>
      <c r="AH77" s="33" cm="1">
        <f t="array" aca="1" ref="AH77" ca="1">IF($A77="","",_xlfn.XLOOKUP($A77,INDEX(BondList,0,1),INDEX(BondList,0,5)))</f>
      </c>
      <c r="AI77" s="29" cm="1">
        <f t="array" aca="1" ref="AI77" ca="1">IF($A77="","",_xlfn.XLOOKUP($B77,INDEX(SchemeTable,0,1),INDEX(SchemeTable,0,2),NA()))</f>
      </c>
      <c r="AJ77" s="33">
        <f ca="1">IF($A77="","",WORKDAY(TradeDate,1,Holidays))</f>
      </c>
      <c r="AK77" s="33">
        <f ca="1">IF($A77="","",WORKDAY($C77,$D77,Holidays))</f>
      </c>
      <c r="AL77" s="28">
        <f ca="1">IF($A77="","",NETWORKDAYS(TradeDate,$C77-1,Holidays)/252)</f>
      </c>
      <c r="AM77" s="28" cm="1">
        <f t="array" aca="1" ref="AM77" ca="1">IF($A77="","",JGB_AI($AE77,$AJ77,$AF77))</f>
      </c>
      <c r="AN77" s="28" cm="1">
        <f t="array" aca="1" ref="AN77" ca="1">IF($A77="","",JGB_AI($AE77,$AK77,$AF77))</f>
      </c>
      <c r="AO77" s="28" cm="1">
        <f t="array" aca="1" ref="AO77" ca="1">IF($A77="","",JGB_CARRY_COUPONS($AE77,$AF77,$AJ77,$AK77,$G77))</f>
      </c>
      <c r="AP77" s="28">
        <f t="shared" ca="1" si="31"/>
      </c>
      <c r="AQ77" s="26">
        <f t="shared" ca="1" si="32"/>
      </c>
      <c r="AR77" s="28">
        <f t="shared" ca="1" si="33"/>
      </c>
      <c r="AS77" s="31">
        <f t="shared" ca="1" si="34"/>
      </c>
      <c r="AT77" s="69">
        <f t="shared" ca="1" si="35"/>
      </c>
      <c r="AV77" s="67"/>
      <c r="AW77" s="28"/>
      <c r="AX77" s="31"/>
      <c r="AY77" s="30"/>
      <c r="AZ77" s="16"/>
      <c r="BA77" s="26"/>
      <c r="BB77" s="16"/>
      <c r="BC77" s="31"/>
      <c r="BD77" s="65"/>
    </row>
    <row r="78" spans="1:56" x14ac:dyDescent="0.55000000000000004">
      <c r="A78" s="38"/>
      <c r="B78" s="4"/>
      <c r="C78" s="6"/>
      <c r="D78" s="7"/>
      <c r="E78" s="42"/>
      <c r="F78" s="44"/>
      <c r="G78" s="9" cm="1">
        <f t="array" aca="1" ref="G78" ca="1">IF($A78="","",IF($F78&lt;&gt;"",$F78,_xlfn.LET(_xlpm.s,_xlfn.XLOOKUP($B78,INDEX(SchemeTable,0,1),INDEX(SchemeTable,0,3),""),_xlpm.r,_xlfn.SWITCH(_xlpm.s,"Bid",IF(ISBLANK(RepoBid),"",RepoBid),"Offer",IF(ISBLANK(RepoOffer),"",RepoOffer),""),IF(_xlpm.s="","Error: set repo side for "&amp;$B78,IF(_xlpm.r="","Error: enter repo "&amp;LOWER(_xlpm.s),_xlpm.r)))))</f>
      </c>
      <c r="H78" s="11"/>
      <c r="I78" s="9">
        <f t="shared" ca="1" si="24"/>
      </c>
      <c r="J78" s="46" cm="1">
        <f t="array" aca="1" ref="J78" ca="1">IF($A78="","",JGB_PRICE($AE78,$I78,$AJ78,$AF78))</f>
      </c>
      <c r="K78" s="48"/>
      <c r="L78" s="11"/>
      <c r="M78" s="10"/>
      <c r="N78" s="11"/>
      <c r="O78" s="50"/>
      <c r="P78" s="54">
        <f t="shared" ca="1" si="25"/>
      </c>
      <c r="Q78" s="56" cm="1">
        <f t="array" aca="1" ref="Q78" ca="1">IF($A78="","",_xlfn.LET(_xlpm.n,COUNTA($K78:$O78),IF($B78="ITMBW",IF(_xlpm.n=0,"ITMBW","Error: ITMBW takes no strike input"),IF(_xlpm.n=1,_xlfn.XLOOKUP(TRUE,$K78:$O78&lt;&gt;"",{"Spot +sen","Fwd +sen","Fwd price","ATM +bp","Yield"}),IF(_xlpm.n=0,"Error: enter one strike input","Error: enter only one strike input")))))</f>
      </c>
      <c r="R78" s="9" cm="1">
        <f t="array" aca="1" ref="R78" ca="1">IF($A78="","",_xlfn.SWITCH($Q78,"Spot +sen",ROUNDDOWN(ROUND($J78+$K78/100,9),3),"Fwd +sen",ROUNDDOWN(ROUND($P78+$L78/100,9),3),"Fwd price",$M78,"ATM +bp",JGB_PRICE($AE78,$I78+$N78/100,$C78,$AF78),"Yield",JGB_PRICE($AE78,$O78,$C78,$AF78),"ITMBW",IF($BA78="",NA(),$BA78),NA()))</f>
      </c>
      <c r="S78" s="46" cm="1">
        <f t="array" aca="1" ref="S78" ca="1">IF($A78="","",JGB_YIELD($AE78,$R78,$AK78,$AF78))</f>
      </c>
      <c r="T78" s="58"/>
      <c r="U78" s="1">
        <f ca="1">IF($A78="","",IF(OR($X78&lt;&gt;"",$V78&lt;&gt;""),$W78*SQRT(VolDays),IF($T78&lt;&gt;"",$T78,$AT78)))</f>
      </c>
      <c r="V78" s="70"/>
      <c r="W78" s="12">
        <f ca="1">IF($A78="","",IF($X78&lt;&gt;"",$X78*100/(SQRT(252)*$AS78),IF($V78&lt;&gt;"",$V78,IF($T78&lt;&gt;"",$T78,$AT78)/SQRT(VolDays))))</f>
      </c>
      <c r="X78" s="72"/>
      <c r="Y78" s="60">
        <f t="shared" ca="1" si="26"/>
      </c>
      <c r="Z78" s="62">
        <f t="shared" ca="1" si="27"/>
      </c>
      <c r="AA78" s="8">
        <f t="shared" ca="1" si="28"/>
      </c>
      <c r="AB78" s="9">
        <f t="shared" ca="1" si="29"/>
      </c>
      <c r="AD78" s="64">
        <f t="shared" ca="1" si="30"/>
      </c>
      <c r="AE78" s="66" cm="1">
        <f t="array" aca="1" ref="AE78" ca="1">IF($A78="","",_xlfn.XLOOKUP($A78,INDEX(BondList,0,1),INDEX(BondList,0,2)))</f>
      </c>
      <c r="AF78" s="3" cm="1">
        <f t="array" aca="1" ref="AF78" ca="1">IF($A78="","",_xlfn.XLOOKUP($A78,INDEX(BondList,0,1),INDEX(BondList,0,3)))</f>
      </c>
      <c r="AG78" s="9" cm="1">
        <f t="array" aca="1" ref="AG78" ca="1">IF($A78="","",_xlfn.XLOOKUP($A78,INDEX(BondList,0,1),INDEX(BondList,0,4)))</f>
      </c>
      <c r="AH78" s="3" cm="1">
        <f t="array" aca="1" ref="AH78" ca="1">IF($A78="","",_xlfn.XLOOKUP($A78,INDEX(BondList,0,1),INDEX(BondList,0,5)))</f>
      </c>
      <c r="AI78" s="20" cm="1">
        <f t="array" aca="1" ref="AI78" ca="1">IF($A78="","",_xlfn.XLOOKUP($B78,INDEX(SchemeTable,0,1),INDEX(SchemeTable,0,2),NA()))</f>
      </c>
      <c r="AJ78" s="3">
        <f ca="1">IF($A78="","",WORKDAY(TradeDate,1,Holidays))</f>
      </c>
      <c r="AK78" s="3">
        <f ca="1">IF($A78="","",WORKDAY($C78,$D78,Holidays))</f>
      </c>
      <c r="AL78" s="13">
        <f ca="1">IF($A78="","",NETWORKDAYS(TradeDate,$C78-1,Holidays)/252)</f>
      </c>
      <c r="AM78" s="13" cm="1">
        <f t="array" aca="1" ref="AM78" ca="1">IF($A78="","",JGB_AI($AE78,$AJ78,$AF78))</f>
      </c>
      <c r="AN78" s="13" cm="1">
        <f t="array" aca="1" ref="AN78" ca="1">IF($A78="","",JGB_AI($AE78,$AK78,$AF78))</f>
      </c>
      <c r="AO78" s="13" cm="1">
        <f t="array" aca="1" ref="AO78" ca="1">IF($A78="","",JGB_CARRY_COUPONS($AE78,$AF78,$AJ78,$AK78,$G78))</f>
      </c>
      <c r="AP78" s="13">
        <f t="shared" ca="1" si="31"/>
      </c>
      <c r="AQ78" s="9">
        <f t="shared" ca="1" si="32"/>
      </c>
      <c r="AR78" s="13">
        <f t="shared" ca="1" si="33"/>
      </c>
      <c r="AS78" s="12">
        <f t="shared" ca="1" si="34"/>
      </c>
      <c r="AT78" s="68">
        <f t="shared" ca="1" si="35"/>
      </c>
      <c r="AV78" s="66"/>
      <c r="AW78" s="13"/>
      <c r="AX78" s="12"/>
      <c r="AY78" s="1"/>
      <c r="BA78" s="9"/>
      <c r="BC78" s="12"/>
      <c r="BD78" s="64"/>
    </row>
    <row r="79" spans="1:56" x14ac:dyDescent="0.55000000000000004">
      <c r="A79" s="38"/>
      <c r="B79" s="4"/>
      <c r="C79" s="6"/>
      <c r="D79" s="7"/>
      <c r="E79" s="42"/>
      <c r="F79" s="44"/>
      <c r="G79" s="9" cm="1">
        <f t="array" aca="1" ref="G79" ca="1">IF($A79="","",IF($F79&lt;&gt;"",$F79,_xlfn.LET(_xlpm.s,_xlfn.XLOOKUP($B79,INDEX(SchemeTable,0,1),INDEX(SchemeTable,0,3),""),_xlpm.r,_xlfn.SWITCH(_xlpm.s,"Bid",IF(ISBLANK(RepoBid),"",RepoBid),"Offer",IF(ISBLANK(RepoOffer),"",RepoOffer),""),IF(_xlpm.s="","Error: set repo side for "&amp;$B79,IF(_xlpm.r="","Error: enter repo "&amp;LOWER(_xlpm.s),_xlpm.r)))))</f>
      </c>
      <c r="H79" s="11"/>
      <c r="I79" s="9">
        <f t="shared" ca="1" si="24"/>
      </c>
      <c r="J79" s="46" cm="1">
        <f t="array" aca="1" ref="J79" ca="1">IF($A79="","",JGB_PRICE($AE79,$I79,$AJ79,$AF79))</f>
      </c>
      <c r="K79" s="48"/>
      <c r="L79" s="11"/>
      <c r="M79" s="10"/>
      <c r="N79" s="11"/>
      <c r="O79" s="50"/>
      <c r="P79" s="54">
        <f t="shared" ca="1" si="25"/>
      </c>
      <c r="Q79" s="56" cm="1">
        <f t="array" aca="1" ref="Q79" ca="1">IF($A79="","",_xlfn.LET(_xlpm.n,COUNTA($K79:$O79),IF($B79="ITMBW",IF(_xlpm.n=0,"ITMBW","Error: ITMBW takes no strike input"),IF(_xlpm.n=1,_xlfn.XLOOKUP(TRUE,$K79:$O79&lt;&gt;"",{"Spot +sen","Fwd +sen","Fwd price","ATM +bp","Yield"}),IF(_xlpm.n=0,"Error: enter one strike input","Error: enter only one strike input")))))</f>
      </c>
      <c r="R79" s="9" cm="1">
        <f t="array" aca="1" ref="R79" ca="1">IF($A79="","",_xlfn.SWITCH($Q79,"Spot +sen",ROUNDDOWN(ROUND($J79+$K79/100,9),3),"Fwd +sen",ROUNDDOWN(ROUND($P79+$L79/100,9),3),"Fwd price",$M79,"ATM +bp",JGB_PRICE($AE79,$I79+$N79/100,$C79,$AF79),"Yield",JGB_PRICE($AE79,$O79,$C79,$AF79),"ITMBW",IF($BA79="",NA(),$BA79),NA()))</f>
      </c>
      <c r="S79" s="46" cm="1">
        <f t="array" aca="1" ref="S79" ca="1">IF($A79="","",JGB_YIELD($AE79,$R79,$AK79,$AF79))</f>
      </c>
      <c r="T79" s="58"/>
      <c r="U79" s="1">
        <f ca="1">IF($A79="","",IF(OR($X79&lt;&gt;"",$V79&lt;&gt;""),$W79*SQRT(VolDays),IF($T79&lt;&gt;"",$T79,$AT79)))</f>
      </c>
      <c r="V79" s="70"/>
      <c r="W79" s="12">
        <f ca="1">IF($A79="","",IF($X79&lt;&gt;"",$X79*100/(SQRT(252)*$AS79),IF($V79&lt;&gt;"",$V79,IF($T79&lt;&gt;"",$T79,$AT79)/SQRT(VolDays))))</f>
      </c>
      <c r="X79" s="72"/>
      <c r="Y79" s="60">
        <f t="shared" ca="1" si="26"/>
      </c>
      <c r="Z79" s="62">
        <f t="shared" ca="1" si="27"/>
      </c>
      <c r="AA79" s="8">
        <f t="shared" ca="1" si="28"/>
      </c>
      <c r="AB79" s="9">
        <f t="shared" ca="1" si="29"/>
      </c>
      <c r="AD79" s="64">
        <f t="shared" ca="1" si="30"/>
      </c>
      <c r="AE79" s="66" cm="1">
        <f t="array" aca="1" ref="AE79" ca="1">IF($A79="","",_xlfn.XLOOKUP($A79,INDEX(BondList,0,1),INDEX(BondList,0,2)))</f>
      </c>
      <c r="AF79" s="3" cm="1">
        <f t="array" aca="1" ref="AF79" ca="1">IF($A79="","",_xlfn.XLOOKUP($A79,INDEX(BondList,0,1),INDEX(BondList,0,3)))</f>
      </c>
      <c r="AG79" s="9" cm="1">
        <f t="array" aca="1" ref="AG79" ca="1">IF($A79="","",_xlfn.XLOOKUP($A79,INDEX(BondList,0,1),INDEX(BondList,0,4)))</f>
      </c>
      <c r="AH79" s="3" cm="1">
        <f t="array" aca="1" ref="AH79" ca="1">IF($A79="","",_xlfn.XLOOKUP($A79,INDEX(BondList,0,1),INDEX(BondList,0,5)))</f>
      </c>
      <c r="AI79" s="20" cm="1">
        <f t="array" aca="1" ref="AI79" ca="1">IF($A79="","",_xlfn.XLOOKUP($B79,INDEX(SchemeTable,0,1),INDEX(SchemeTable,0,2),NA()))</f>
      </c>
      <c r="AJ79" s="3">
        <f ca="1">IF($A79="","",WORKDAY(TradeDate,1,Holidays))</f>
      </c>
      <c r="AK79" s="3">
        <f ca="1">IF($A79="","",WORKDAY($C79,$D79,Holidays))</f>
      </c>
      <c r="AL79" s="13">
        <f ca="1">IF($A79="","",NETWORKDAYS(TradeDate,$C79-1,Holidays)/252)</f>
      </c>
      <c r="AM79" s="13" cm="1">
        <f t="array" aca="1" ref="AM79" ca="1">IF($A79="","",JGB_AI($AE79,$AJ79,$AF79))</f>
      </c>
      <c r="AN79" s="13" cm="1">
        <f t="array" aca="1" ref="AN79" ca="1">IF($A79="","",JGB_AI($AE79,$AK79,$AF79))</f>
      </c>
      <c r="AO79" s="13" cm="1">
        <f t="array" aca="1" ref="AO79" ca="1">IF($A79="","",JGB_CARRY_COUPONS($AE79,$AF79,$AJ79,$AK79,$G79))</f>
      </c>
      <c r="AP79" s="13">
        <f t="shared" ca="1" si="31"/>
      </c>
      <c r="AQ79" s="9">
        <f t="shared" ca="1" si="32"/>
      </c>
      <c r="AR79" s="13">
        <f t="shared" ca="1" si="33"/>
      </c>
      <c r="AS79" s="12">
        <f t="shared" ca="1" si="34"/>
      </c>
      <c r="AT79" s="68">
        <f t="shared" ca="1" si="35"/>
      </c>
      <c r="AV79" s="66"/>
      <c r="AW79" s="13"/>
      <c r="AX79" s="12"/>
      <c r="AY79" s="1"/>
      <c r="BA79" s="9"/>
      <c r="BC79" s="12"/>
      <c r="BD79" s="64"/>
    </row>
    <row r="80" spans="1:56" x14ac:dyDescent="0.55000000000000004">
      <c r="A80" s="38"/>
      <c r="B80" s="4"/>
      <c r="C80" s="6"/>
      <c r="D80" s="7"/>
      <c r="E80" s="42"/>
      <c r="F80" s="44"/>
      <c r="G80" s="9" cm="1">
        <f t="array" aca="1" ref="G80" ca="1">IF($A80="","",IF($F80&lt;&gt;"",$F80,_xlfn.LET(_xlpm.s,_xlfn.XLOOKUP($B80,INDEX(SchemeTable,0,1),INDEX(SchemeTable,0,3),""),_xlpm.r,_xlfn.SWITCH(_xlpm.s,"Bid",IF(ISBLANK(RepoBid),"",RepoBid),"Offer",IF(ISBLANK(RepoOffer),"",RepoOffer),""),IF(_xlpm.s="","Error: set repo side for "&amp;$B80,IF(_xlpm.r="","Error: enter repo "&amp;LOWER(_xlpm.s),_xlpm.r)))))</f>
      </c>
      <c r="H80" s="11"/>
      <c r="I80" s="9">
        <f t="shared" ca="1" si="24"/>
      </c>
      <c r="J80" s="46" cm="1">
        <f t="array" aca="1" ref="J80" ca="1">IF($A80="","",JGB_PRICE($AE80,$I80,$AJ80,$AF80))</f>
      </c>
      <c r="K80" s="48"/>
      <c r="L80" s="11"/>
      <c r="M80" s="10"/>
      <c r="N80" s="11"/>
      <c r="O80" s="50"/>
      <c r="P80" s="54">
        <f t="shared" ca="1" si="25"/>
      </c>
      <c r="Q80" s="56" cm="1">
        <f t="array" aca="1" ref="Q80" ca="1">IF($A80="","",_xlfn.LET(_xlpm.n,COUNTA($K80:$O80),IF($B80="ITMBW",IF(_xlpm.n=0,"ITMBW","Error: ITMBW takes no strike input"),IF(_xlpm.n=1,_xlfn.XLOOKUP(TRUE,$K80:$O80&lt;&gt;"",{"Spot +sen","Fwd +sen","Fwd price","ATM +bp","Yield"}),IF(_xlpm.n=0,"Error: enter one strike input","Error: enter only one strike input")))))</f>
      </c>
      <c r="R80" s="9" cm="1">
        <f t="array" aca="1" ref="R80" ca="1">IF($A80="","",_xlfn.SWITCH($Q80,"Spot +sen",ROUNDDOWN(ROUND($J80+$K80/100,9),3),"Fwd +sen",ROUNDDOWN(ROUND($P80+$L80/100,9),3),"Fwd price",$M80,"ATM +bp",JGB_PRICE($AE80,$I80+$N80/100,$C80,$AF80),"Yield",JGB_PRICE($AE80,$O80,$C80,$AF80),"ITMBW",IF($BA80="",NA(),$BA80),NA()))</f>
      </c>
      <c r="S80" s="46" cm="1">
        <f t="array" aca="1" ref="S80" ca="1">IF($A80="","",JGB_YIELD($AE80,$R80,$AK80,$AF80))</f>
      </c>
      <c r="T80" s="58"/>
      <c r="U80" s="1">
        <f ca="1">IF($A80="","",IF(OR($X80&lt;&gt;"",$V80&lt;&gt;""),$W80*SQRT(VolDays),IF($T80&lt;&gt;"",$T80,$AT80)))</f>
      </c>
      <c r="V80" s="70"/>
      <c r="W80" s="12">
        <f ca="1">IF($A80="","",IF($X80&lt;&gt;"",$X80*100/(SQRT(252)*$AS80),IF($V80&lt;&gt;"",$V80,IF($T80&lt;&gt;"",$T80,$AT80)/SQRT(VolDays))))</f>
      </c>
      <c r="X80" s="72"/>
      <c r="Y80" s="60">
        <f t="shared" ca="1" si="26"/>
      </c>
      <c r="Z80" s="62">
        <f t="shared" ca="1" si="27"/>
      </c>
      <c r="AA80" s="8">
        <f t="shared" ca="1" si="28"/>
      </c>
      <c r="AB80" s="9">
        <f t="shared" ca="1" si="29"/>
      </c>
      <c r="AD80" s="64">
        <f t="shared" ca="1" si="30"/>
      </c>
      <c r="AE80" s="66" cm="1">
        <f t="array" aca="1" ref="AE80" ca="1">IF($A80="","",_xlfn.XLOOKUP($A80,INDEX(BondList,0,1),INDEX(BondList,0,2)))</f>
      </c>
      <c r="AF80" s="3" cm="1">
        <f t="array" aca="1" ref="AF80" ca="1">IF($A80="","",_xlfn.XLOOKUP($A80,INDEX(BondList,0,1),INDEX(BondList,0,3)))</f>
      </c>
      <c r="AG80" s="9" cm="1">
        <f t="array" aca="1" ref="AG80" ca="1">IF($A80="","",_xlfn.XLOOKUP($A80,INDEX(BondList,0,1),INDEX(BondList,0,4)))</f>
      </c>
      <c r="AH80" s="3" cm="1">
        <f t="array" aca="1" ref="AH80" ca="1">IF($A80="","",_xlfn.XLOOKUP($A80,INDEX(BondList,0,1),INDEX(BondList,0,5)))</f>
      </c>
      <c r="AI80" s="20" cm="1">
        <f t="array" aca="1" ref="AI80" ca="1">IF($A80="","",_xlfn.XLOOKUP($B80,INDEX(SchemeTable,0,1),INDEX(SchemeTable,0,2),NA()))</f>
      </c>
      <c r="AJ80" s="3">
        <f ca="1">IF($A80="","",WORKDAY(TradeDate,1,Holidays))</f>
      </c>
      <c r="AK80" s="3">
        <f ca="1">IF($A80="","",WORKDAY($C80,$D80,Holidays))</f>
      </c>
      <c r="AL80" s="13">
        <f ca="1">IF($A80="","",NETWORKDAYS(TradeDate,$C80-1,Holidays)/252)</f>
      </c>
      <c r="AM80" s="13" cm="1">
        <f t="array" aca="1" ref="AM80" ca="1">IF($A80="","",JGB_AI($AE80,$AJ80,$AF80))</f>
      </c>
      <c r="AN80" s="13" cm="1">
        <f t="array" aca="1" ref="AN80" ca="1">IF($A80="","",JGB_AI($AE80,$AK80,$AF80))</f>
      </c>
      <c r="AO80" s="13" cm="1">
        <f t="array" aca="1" ref="AO80" ca="1">IF($A80="","",JGB_CARRY_COUPONS($AE80,$AF80,$AJ80,$AK80,$G80))</f>
      </c>
      <c r="AP80" s="13">
        <f t="shared" ca="1" si="31"/>
      </c>
      <c r="AQ80" s="9">
        <f t="shared" ca="1" si="32"/>
      </c>
      <c r="AR80" s="13">
        <f t="shared" ca="1" si="33"/>
      </c>
      <c r="AS80" s="12">
        <f t="shared" ca="1" si="34"/>
      </c>
      <c r="AT80" s="68">
        <f t="shared" ca="1" si="35"/>
      </c>
      <c r="AV80" s="66"/>
      <c r="AW80" s="13"/>
      <c r="AX80" s="12"/>
      <c r="AY80" s="1"/>
      <c r="BA80" s="9"/>
      <c r="BC80" s="12"/>
      <c r="BD80" s="64"/>
    </row>
    <row r="81" spans="1:56" x14ac:dyDescent="0.55000000000000004">
      <c r="A81" s="38"/>
      <c r="B81" s="4"/>
      <c r="C81" s="6"/>
      <c r="D81" s="7"/>
      <c r="E81" s="42"/>
      <c r="F81" s="44"/>
      <c r="G81" s="9" cm="1">
        <f t="array" aca="1" ref="G81" ca="1">IF($A81="","",IF($F81&lt;&gt;"",$F81,_xlfn.LET(_xlpm.s,_xlfn.XLOOKUP($B81,INDEX(SchemeTable,0,1),INDEX(SchemeTable,0,3),""),_xlpm.r,_xlfn.SWITCH(_xlpm.s,"Bid",IF(ISBLANK(RepoBid),"",RepoBid),"Offer",IF(ISBLANK(RepoOffer),"",RepoOffer),""),IF(_xlpm.s="","Error: set repo side for "&amp;$B81,IF(_xlpm.r="","Error: enter repo "&amp;LOWER(_xlpm.s),_xlpm.r)))))</f>
      </c>
      <c r="H81" s="11"/>
      <c r="I81" s="9">
        <f t="shared" ca="1" si="24"/>
      </c>
      <c r="J81" s="46" cm="1">
        <f t="array" aca="1" ref="J81" ca="1">IF($A81="","",JGB_PRICE($AE81,$I81,$AJ81,$AF81))</f>
      </c>
      <c r="K81" s="48"/>
      <c r="L81" s="11"/>
      <c r="M81" s="10"/>
      <c r="N81" s="11"/>
      <c r="O81" s="50"/>
      <c r="P81" s="54">
        <f t="shared" ca="1" si="25"/>
      </c>
      <c r="Q81" s="56" cm="1">
        <f t="array" aca="1" ref="Q81" ca="1">IF($A81="","",_xlfn.LET(_xlpm.n,COUNTA($K81:$O81),IF($B81="ITMBW",IF(_xlpm.n=0,"ITMBW","Error: ITMBW takes no strike input"),IF(_xlpm.n=1,_xlfn.XLOOKUP(TRUE,$K81:$O81&lt;&gt;"",{"Spot +sen","Fwd +sen","Fwd price","ATM +bp","Yield"}),IF(_xlpm.n=0,"Error: enter one strike input","Error: enter only one strike input")))))</f>
      </c>
      <c r="R81" s="9" cm="1">
        <f t="array" aca="1" ref="R81" ca="1">IF($A81="","",_xlfn.SWITCH($Q81,"Spot +sen",ROUNDDOWN(ROUND($J81+$K81/100,9),3),"Fwd +sen",ROUNDDOWN(ROUND($P81+$L81/100,9),3),"Fwd price",$M81,"ATM +bp",JGB_PRICE($AE81,$I81+$N81/100,$C81,$AF81),"Yield",JGB_PRICE($AE81,$O81,$C81,$AF81),"ITMBW",IF($BA81="",NA(),$BA81),NA()))</f>
      </c>
      <c r="S81" s="46" cm="1">
        <f t="array" aca="1" ref="S81" ca="1">IF($A81="","",JGB_YIELD($AE81,$R81,$AK81,$AF81))</f>
      </c>
      <c r="T81" s="58"/>
      <c r="U81" s="1">
        <f ca="1">IF($A81="","",IF(OR($X81&lt;&gt;"",$V81&lt;&gt;""),$W81*SQRT(VolDays),IF($T81&lt;&gt;"",$T81,$AT81)))</f>
      </c>
      <c r="V81" s="70"/>
      <c r="W81" s="12">
        <f ca="1">IF($A81="","",IF($X81&lt;&gt;"",$X81*100/(SQRT(252)*$AS81),IF($V81&lt;&gt;"",$V81,IF($T81&lt;&gt;"",$T81,$AT81)/SQRT(VolDays))))</f>
      </c>
      <c r="X81" s="72"/>
      <c r="Y81" s="60">
        <f t="shared" ca="1" si="26"/>
      </c>
      <c r="Z81" s="62">
        <f t="shared" ca="1" si="27"/>
      </c>
      <c r="AA81" s="8">
        <f t="shared" ca="1" si="28"/>
      </c>
      <c r="AB81" s="9">
        <f t="shared" ca="1" si="29"/>
      </c>
      <c r="AD81" s="64">
        <f t="shared" ca="1" si="30"/>
      </c>
      <c r="AE81" s="66" cm="1">
        <f t="array" aca="1" ref="AE81" ca="1">IF($A81="","",_xlfn.XLOOKUP($A81,INDEX(BondList,0,1),INDEX(BondList,0,2)))</f>
      </c>
      <c r="AF81" s="3" cm="1">
        <f t="array" aca="1" ref="AF81" ca="1">IF($A81="","",_xlfn.XLOOKUP($A81,INDEX(BondList,0,1),INDEX(BondList,0,3)))</f>
      </c>
      <c r="AG81" s="9" cm="1">
        <f t="array" aca="1" ref="AG81" ca="1">IF($A81="","",_xlfn.XLOOKUP($A81,INDEX(BondList,0,1),INDEX(BondList,0,4)))</f>
      </c>
      <c r="AH81" s="3" cm="1">
        <f t="array" aca="1" ref="AH81" ca="1">IF($A81="","",_xlfn.XLOOKUP($A81,INDEX(BondList,0,1),INDEX(BondList,0,5)))</f>
      </c>
      <c r="AI81" s="20" cm="1">
        <f t="array" aca="1" ref="AI81" ca="1">IF($A81="","",_xlfn.XLOOKUP($B81,INDEX(SchemeTable,0,1),INDEX(SchemeTable,0,2),NA()))</f>
      </c>
      <c r="AJ81" s="3">
        <f ca="1">IF($A81="","",WORKDAY(TradeDate,1,Holidays))</f>
      </c>
      <c r="AK81" s="3">
        <f ca="1">IF($A81="","",WORKDAY($C81,$D81,Holidays))</f>
      </c>
      <c r="AL81" s="13">
        <f ca="1">IF($A81="","",NETWORKDAYS(TradeDate,$C81-1,Holidays)/252)</f>
      </c>
      <c r="AM81" s="13" cm="1">
        <f t="array" aca="1" ref="AM81" ca="1">IF($A81="","",JGB_AI($AE81,$AJ81,$AF81))</f>
      </c>
      <c r="AN81" s="13" cm="1">
        <f t="array" aca="1" ref="AN81" ca="1">IF($A81="","",JGB_AI($AE81,$AK81,$AF81))</f>
      </c>
      <c r="AO81" s="13" cm="1">
        <f t="array" aca="1" ref="AO81" ca="1">IF($A81="","",JGB_CARRY_COUPONS($AE81,$AF81,$AJ81,$AK81,$G81))</f>
      </c>
      <c r="AP81" s="13">
        <f t="shared" ca="1" si="31"/>
      </c>
      <c r="AQ81" s="9">
        <f t="shared" ca="1" si="32"/>
      </c>
      <c r="AR81" s="13">
        <f t="shared" ca="1" si="33"/>
      </c>
      <c r="AS81" s="12">
        <f t="shared" ca="1" si="34"/>
      </c>
      <c r="AT81" s="68">
        <f t="shared" ca="1" si="35"/>
      </c>
      <c r="AV81" s="66"/>
      <c r="AW81" s="13"/>
      <c r="AX81" s="12"/>
      <c r="AY81" s="1"/>
      <c r="BA81" s="9"/>
      <c r="BC81" s="12"/>
      <c r="BD81" s="64"/>
    </row>
    <row r="82" spans="1:56" x14ac:dyDescent="0.55000000000000004">
      <c r="A82" s="39"/>
      <c r="B82" s="22"/>
      <c r="C82" s="23"/>
      <c r="D82" s="24"/>
      <c r="E82" s="43"/>
      <c r="F82" s="45"/>
      <c r="G82" s="26" cm="1">
        <f t="array" aca="1" ref="G82" ca="1">IF($A82="","",IF($F82&lt;&gt;"",$F82,_xlfn.LET(_xlpm.s,_xlfn.XLOOKUP($B82,INDEX(SchemeTable,0,1),INDEX(SchemeTable,0,3),""),_xlpm.r,_xlfn.SWITCH(_xlpm.s,"Bid",IF(ISBLANK(RepoBid),"",RepoBid),"Offer",IF(ISBLANK(RepoOffer),"",RepoOffer),""),IF(_xlpm.s="","Error: set repo side for "&amp;$B82,IF(_xlpm.r="","Error: enter repo "&amp;LOWER(_xlpm.s),_xlpm.r)))))</f>
      </c>
      <c r="H82" s="27"/>
      <c r="I82" s="26">
        <f t="shared" ca="1" si="24"/>
      </c>
      <c r="J82" s="47" cm="1">
        <f t="array" aca="1" ref="J82" ca="1">IF($A82="","",JGB_PRICE($AE82,$I82,$AJ82,$AF82))</f>
      </c>
      <c r="K82" s="49"/>
      <c r="L82" s="27"/>
      <c r="M82" s="25"/>
      <c r="N82" s="27"/>
      <c r="O82" s="51"/>
      <c r="P82" s="55">
        <f t="shared" ca="1" si="25"/>
      </c>
      <c r="Q82" s="57" cm="1">
        <f t="array" aca="1" ref="Q82" ca="1">IF($A82="","",_xlfn.LET(_xlpm.n,COUNTA($K82:$O82),IF($B82="ITMBW",IF(_xlpm.n=0,"ITMBW","Error: ITMBW takes no strike input"),IF(_xlpm.n=1,_xlfn.XLOOKUP(TRUE,$K82:$O82&lt;&gt;"",{"Spot +sen","Fwd +sen","Fwd price","ATM +bp","Yield"}),IF(_xlpm.n=0,"Error: enter one strike input","Error: enter only one strike input")))))</f>
      </c>
      <c r="R82" s="26" cm="1">
        <f t="array" aca="1" ref="R82" ca="1">IF($A82="","",_xlfn.SWITCH($Q82,"Spot +sen",ROUNDDOWN(ROUND($J82+$K82/100,9),3),"Fwd +sen",ROUNDDOWN(ROUND($P82+$L82/100,9),3),"Fwd price",$M82,"ATM +bp",JGB_PRICE($AE82,$I82+$N82/100,$C82,$AF82),"Yield",JGB_PRICE($AE82,$O82,$C82,$AF82),"ITMBW",IF($BA82="",NA(),$BA82),NA()))</f>
      </c>
      <c r="S82" s="47" cm="1">
        <f t="array" aca="1" ref="S82" ca="1">IF($A82="","",JGB_YIELD($AE82,$R82,$AK82,$AF82))</f>
      </c>
      <c r="T82" s="59"/>
      <c r="U82" s="30">
        <f ca="1">IF($A82="","",IF(OR($X82&lt;&gt;"",$V82&lt;&gt;""),$W82*SQRT(VolDays),IF($T82&lt;&gt;"",$T82,$AT82)))</f>
      </c>
      <c r="V82" s="71"/>
      <c r="W82" s="31">
        <f ca="1">IF($A82="","",IF($X82&lt;&gt;"",$X82*100/(SQRT(252)*$AS82),IF($V82&lt;&gt;"",$V82,IF($T82&lt;&gt;"",$T82,$AT82)/SQRT(VolDays))))</f>
      </c>
      <c r="X82" s="73"/>
      <c r="Y82" s="61">
        <f t="shared" ca="1" si="26"/>
      </c>
      <c r="Z82" s="63">
        <f t="shared" ca="1" si="27"/>
      </c>
      <c r="AA82" s="32">
        <f t="shared" ca="1" si="28"/>
      </c>
      <c r="AB82" s="26">
        <f t="shared" ca="1" si="29"/>
      </c>
      <c r="AC82" s="16"/>
      <c r="AD82" s="65">
        <f t="shared" ca="1" si="30"/>
      </c>
      <c r="AE82" s="67" cm="1">
        <f t="array" aca="1" ref="AE82" ca="1">IF($A82="","",_xlfn.XLOOKUP($A82,INDEX(BondList,0,1),INDEX(BondList,0,2)))</f>
      </c>
      <c r="AF82" s="33" cm="1">
        <f t="array" aca="1" ref="AF82" ca="1">IF($A82="","",_xlfn.XLOOKUP($A82,INDEX(BondList,0,1),INDEX(BondList,0,3)))</f>
      </c>
      <c r="AG82" s="26" cm="1">
        <f t="array" aca="1" ref="AG82" ca="1">IF($A82="","",_xlfn.XLOOKUP($A82,INDEX(BondList,0,1),INDEX(BondList,0,4)))</f>
      </c>
      <c r="AH82" s="33" cm="1">
        <f t="array" aca="1" ref="AH82" ca="1">IF($A82="","",_xlfn.XLOOKUP($A82,INDEX(BondList,0,1),INDEX(BondList,0,5)))</f>
      </c>
      <c r="AI82" s="29" cm="1">
        <f t="array" aca="1" ref="AI82" ca="1">IF($A82="","",_xlfn.XLOOKUP($B82,INDEX(SchemeTable,0,1),INDEX(SchemeTable,0,2),NA()))</f>
      </c>
      <c r="AJ82" s="33">
        <f ca="1">IF($A82="","",WORKDAY(TradeDate,1,Holidays))</f>
      </c>
      <c r="AK82" s="33">
        <f ca="1">IF($A82="","",WORKDAY($C82,$D82,Holidays))</f>
      </c>
      <c r="AL82" s="28">
        <f ca="1">IF($A82="","",NETWORKDAYS(TradeDate,$C82-1,Holidays)/252)</f>
      </c>
      <c r="AM82" s="28" cm="1">
        <f t="array" aca="1" ref="AM82" ca="1">IF($A82="","",JGB_AI($AE82,$AJ82,$AF82))</f>
      </c>
      <c r="AN82" s="28" cm="1">
        <f t="array" aca="1" ref="AN82" ca="1">IF($A82="","",JGB_AI($AE82,$AK82,$AF82))</f>
      </c>
      <c r="AO82" s="28" cm="1">
        <f t="array" aca="1" ref="AO82" ca="1">IF($A82="","",JGB_CARRY_COUPONS($AE82,$AF82,$AJ82,$AK82,$G82))</f>
      </c>
      <c r="AP82" s="28">
        <f t="shared" ca="1" si="31"/>
      </c>
      <c r="AQ82" s="26">
        <f t="shared" ca="1" si="32"/>
      </c>
      <c r="AR82" s="28">
        <f t="shared" ca="1" si="33"/>
      </c>
      <c r="AS82" s="31">
        <f t="shared" ca="1" si="34"/>
      </c>
      <c r="AT82" s="69">
        <f t="shared" ca="1" si="35"/>
      </c>
      <c r="AV82" s="67"/>
      <c r="AW82" s="28"/>
      <c r="AX82" s="31"/>
      <c r="AY82" s="30"/>
      <c r="AZ82" s="16"/>
      <c r="BA82" s="26"/>
      <c r="BB82" s="16"/>
      <c r="BC82" s="31"/>
      <c r="BD82" s="65"/>
    </row>
    <row r="83" spans="1:56" x14ac:dyDescent="0.55000000000000004">
      <c r="A83" s="38"/>
      <c r="B83" s="4"/>
      <c r="C83" s="6"/>
      <c r="D83" s="7"/>
      <c r="E83" s="42"/>
      <c r="F83" s="44"/>
      <c r="G83" s="9" cm="1">
        <f t="array" aca="1" ref="G83" ca="1">IF($A83="","",IF($F83&lt;&gt;"",$F83,_xlfn.LET(_xlpm.s,_xlfn.XLOOKUP($B83,INDEX(SchemeTable,0,1),INDEX(SchemeTable,0,3),""),_xlpm.r,_xlfn.SWITCH(_xlpm.s,"Bid",IF(ISBLANK(RepoBid),"",RepoBid),"Offer",IF(ISBLANK(RepoOffer),"",RepoOffer),""),IF(_xlpm.s="","Error: set repo side for "&amp;$B83,IF(_xlpm.r="","Error: enter repo "&amp;LOWER(_xlpm.s),_xlpm.r)))))</f>
      </c>
      <c r="H83" s="11"/>
      <c r="I83" s="9">
        <f t="shared" ca="1" si="24"/>
      </c>
      <c r="J83" s="46" cm="1">
        <f t="array" aca="1" ref="J83" ca="1">IF($A83="","",JGB_PRICE($AE83,$I83,$AJ83,$AF83))</f>
      </c>
      <c r="K83" s="48"/>
      <c r="L83" s="11"/>
      <c r="M83" s="10"/>
      <c r="N83" s="11"/>
      <c r="O83" s="50"/>
      <c r="P83" s="54">
        <f t="shared" ca="1" si="25"/>
      </c>
      <c r="Q83" s="56" cm="1">
        <f t="array" aca="1" ref="Q83" ca="1">IF($A83="","",_xlfn.LET(_xlpm.n,COUNTA($K83:$O83),IF($B83="ITMBW",IF(_xlpm.n=0,"ITMBW","Error: ITMBW takes no strike input"),IF(_xlpm.n=1,_xlfn.XLOOKUP(TRUE,$K83:$O83&lt;&gt;"",{"Spot +sen","Fwd +sen","Fwd price","ATM +bp","Yield"}),IF(_xlpm.n=0,"Error: enter one strike input","Error: enter only one strike input")))))</f>
      </c>
      <c r="R83" s="9" cm="1">
        <f t="array" aca="1" ref="R83" ca="1">IF($A83="","",_xlfn.SWITCH($Q83,"Spot +sen",ROUNDDOWN(ROUND($J83+$K83/100,9),3),"Fwd +sen",ROUNDDOWN(ROUND($P83+$L83/100,9),3),"Fwd price",$M83,"ATM +bp",JGB_PRICE($AE83,$I83+$N83/100,$C83,$AF83),"Yield",JGB_PRICE($AE83,$O83,$C83,$AF83),"ITMBW",IF($BA83="",NA(),$BA83),NA()))</f>
      </c>
      <c r="S83" s="46" cm="1">
        <f t="array" aca="1" ref="S83" ca="1">IF($A83="","",JGB_YIELD($AE83,$R83,$AK83,$AF83))</f>
      </c>
      <c r="T83" s="58"/>
      <c r="U83" s="1">
        <f ca="1">IF($A83="","",IF(OR($X83&lt;&gt;"",$V83&lt;&gt;""),$W83*SQRT(VolDays),IF($T83&lt;&gt;"",$T83,$AT83)))</f>
      </c>
      <c r="V83" s="70"/>
      <c r="W83" s="12">
        <f ca="1">IF($A83="","",IF($X83&lt;&gt;"",$X83*100/(SQRT(252)*$AS83),IF($V83&lt;&gt;"",$V83,IF($T83&lt;&gt;"",$T83,$AT83)/SQRT(VolDays))))</f>
      </c>
      <c r="X83" s="72"/>
      <c r="Y83" s="60">
        <f t="shared" ca="1" si="26"/>
      </c>
      <c r="Z83" s="62">
        <f t="shared" ca="1" si="27"/>
      </c>
      <c r="AA83" s="8">
        <f t="shared" ca="1" si="28"/>
      </c>
      <c r="AB83" s="9">
        <f t="shared" ca="1" si="29"/>
      </c>
      <c r="AD83" s="64">
        <f t="shared" ca="1" si="30"/>
      </c>
      <c r="AE83" s="66" cm="1">
        <f t="array" aca="1" ref="AE83" ca="1">IF($A83="","",_xlfn.XLOOKUP($A83,INDEX(BondList,0,1),INDEX(BondList,0,2)))</f>
      </c>
      <c r="AF83" s="3" cm="1">
        <f t="array" aca="1" ref="AF83" ca="1">IF($A83="","",_xlfn.XLOOKUP($A83,INDEX(BondList,0,1),INDEX(BondList,0,3)))</f>
      </c>
      <c r="AG83" s="9" cm="1">
        <f t="array" aca="1" ref="AG83" ca="1">IF($A83="","",_xlfn.XLOOKUP($A83,INDEX(BondList,0,1),INDEX(BondList,0,4)))</f>
      </c>
      <c r="AH83" s="3" cm="1">
        <f t="array" aca="1" ref="AH83" ca="1">IF($A83="","",_xlfn.XLOOKUP($A83,INDEX(BondList,0,1),INDEX(BondList,0,5)))</f>
      </c>
      <c r="AI83" s="20" cm="1">
        <f t="array" aca="1" ref="AI83" ca="1">IF($A83="","",_xlfn.XLOOKUP($B83,INDEX(SchemeTable,0,1),INDEX(SchemeTable,0,2),NA()))</f>
      </c>
      <c r="AJ83" s="3">
        <f ca="1">IF($A83="","",WORKDAY(TradeDate,1,Holidays))</f>
      </c>
      <c r="AK83" s="3">
        <f ca="1">IF($A83="","",WORKDAY($C83,$D83,Holidays))</f>
      </c>
      <c r="AL83" s="13">
        <f ca="1">IF($A83="","",NETWORKDAYS(TradeDate,$C83-1,Holidays)/252)</f>
      </c>
      <c r="AM83" s="13" cm="1">
        <f t="array" aca="1" ref="AM83" ca="1">IF($A83="","",JGB_AI($AE83,$AJ83,$AF83))</f>
      </c>
      <c r="AN83" s="13" cm="1">
        <f t="array" aca="1" ref="AN83" ca="1">IF($A83="","",JGB_AI($AE83,$AK83,$AF83))</f>
      </c>
      <c r="AO83" s="13" cm="1">
        <f t="array" aca="1" ref="AO83" ca="1">IF($A83="","",JGB_CARRY_COUPONS($AE83,$AF83,$AJ83,$AK83,$G83))</f>
      </c>
      <c r="AP83" s="13">
        <f t="shared" ca="1" si="31"/>
      </c>
      <c r="AQ83" s="9">
        <f t="shared" ca="1" si="32"/>
      </c>
      <c r="AR83" s="13">
        <f t="shared" ca="1" si="33"/>
      </c>
      <c r="AS83" s="12">
        <f t="shared" ca="1" si="34"/>
      </c>
      <c r="AT83" s="68">
        <f t="shared" ca="1" si="35"/>
      </c>
      <c r="AV83" s="66"/>
      <c r="AW83" s="13"/>
      <c r="AX83" s="12"/>
      <c r="AY83" s="1"/>
      <c r="BA83" s="9"/>
      <c r="BC83" s="12"/>
      <c r="BD83" s="64"/>
    </row>
    <row r="84" spans="1:56" x14ac:dyDescent="0.55000000000000004">
      <c r="A84" s="38"/>
      <c r="B84" s="4"/>
      <c r="C84" s="6"/>
      <c r="D84" s="7"/>
      <c r="E84" s="42"/>
      <c r="F84" s="44"/>
      <c r="G84" s="9" cm="1">
        <f t="array" aca="1" ref="G84" ca="1">IF($A84="","",IF($F84&lt;&gt;"",$F84,_xlfn.LET(_xlpm.s,_xlfn.XLOOKUP($B84,INDEX(SchemeTable,0,1),INDEX(SchemeTable,0,3),""),_xlpm.r,_xlfn.SWITCH(_xlpm.s,"Bid",IF(ISBLANK(RepoBid),"",RepoBid),"Offer",IF(ISBLANK(RepoOffer),"",RepoOffer),""),IF(_xlpm.s="","Error: set repo side for "&amp;$B84,IF(_xlpm.r="","Error: enter repo "&amp;LOWER(_xlpm.s),_xlpm.r)))))</f>
      </c>
      <c r="H84" s="11"/>
      <c r="I84" s="9">
        <f t="shared" ca="1" si="24"/>
      </c>
      <c r="J84" s="46" cm="1">
        <f t="array" aca="1" ref="J84" ca="1">IF($A84="","",JGB_PRICE($AE84,$I84,$AJ84,$AF84))</f>
      </c>
      <c r="K84" s="48"/>
      <c r="L84" s="11"/>
      <c r="M84" s="10"/>
      <c r="N84" s="11"/>
      <c r="O84" s="50"/>
      <c r="P84" s="54">
        <f t="shared" ca="1" si="25"/>
      </c>
      <c r="Q84" s="56" cm="1">
        <f t="array" aca="1" ref="Q84" ca="1">IF($A84="","",_xlfn.LET(_xlpm.n,COUNTA($K84:$O84),IF($B84="ITMBW",IF(_xlpm.n=0,"ITMBW","Error: ITMBW takes no strike input"),IF(_xlpm.n=1,_xlfn.XLOOKUP(TRUE,$K84:$O84&lt;&gt;"",{"Spot +sen","Fwd +sen","Fwd price","ATM +bp","Yield"}),IF(_xlpm.n=0,"Error: enter one strike input","Error: enter only one strike input")))))</f>
      </c>
      <c r="R84" s="9" cm="1">
        <f t="array" aca="1" ref="R84" ca="1">IF($A84="","",_xlfn.SWITCH($Q84,"Spot +sen",ROUNDDOWN(ROUND($J84+$K84/100,9),3),"Fwd +sen",ROUNDDOWN(ROUND($P84+$L84/100,9),3),"Fwd price",$M84,"ATM +bp",JGB_PRICE($AE84,$I84+$N84/100,$C84,$AF84),"Yield",JGB_PRICE($AE84,$O84,$C84,$AF84),"ITMBW",IF($BA84="",NA(),$BA84),NA()))</f>
      </c>
      <c r="S84" s="46" cm="1">
        <f t="array" aca="1" ref="S84" ca="1">IF($A84="","",JGB_YIELD($AE84,$R84,$AK84,$AF84))</f>
      </c>
      <c r="T84" s="58"/>
      <c r="U84" s="1">
        <f ca="1">IF($A84="","",IF(OR($X84&lt;&gt;"",$V84&lt;&gt;""),$W84*SQRT(VolDays),IF($T84&lt;&gt;"",$T84,$AT84)))</f>
      </c>
      <c r="V84" s="70"/>
      <c r="W84" s="12">
        <f ca="1">IF($A84="","",IF($X84&lt;&gt;"",$X84*100/(SQRT(252)*$AS84),IF($V84&lt;&gt;"",$V84,IF($T84&lt;&gt;"",$T84,$AT84)/SQRT(VolDays))))</f>
      </c>
      <c r="X84" s="72"/>
      <c r="Y84" s="60">
        <f t="shared" ca="1" si="26"/>
      </c>
      <c r="Z84" s="62">
        <f t="shared" ca="1" si="27"/>
      </c>
      <c r="AA84" s="8">
        <f t="shared" ca="1" si="28"/>
      </c>
      <c r="AB84" s="9">
        <f t="shared" ca="1" si="29"/>
      </c>
      <c r="AD84" s="64">
        <f t="shared" ca="1" si="30"/>
      </c>
      <c r="AE84" s="66" cm="1">
        <f t="array" aca="1" ref="AE84" ca="1">IF($A84="","",_xlfn.XLOOKUP($A84,INDEX(BondList,0,1),INDEX(BondList,0,2)))</f>
      </c>
      <c r="AF84" s="3" cm="1">
        <f t="array" aca="1" ref="AF84" ca="1">IF($A84="","",_xlfn.XLOOKUP($A84,INDEX(BondList,0,1),INDEX(BondList,0,3)))</f>
      </c>
      <c r="AG84" s="9" cm="1">
        <f t="array" aca="1" ref="AG84" ca="1">IF($A84="","",_xlfn.XLOOKUP($A84,INDEX(BondList,0,1),INDEX(BondList,0,4)))</f>
      </c>
      <c r="AH84" s="3" cm="1">
        <f t="array" aca="1" ref="AH84" ca="1">IF($A84="","",_xlfn.XLOOKUP($A84,INDEX(BondList,0,1),INDEX(BondList,0,5)))</f>
      </c>
      <c r="AI84" s="20" cm="1">
        <f t="array" aca="1" ref="AI84" ca="1">IF($A84="","",_xlfn.XLOOKUP($B84,INDEX(SchemeTable,0,1),INDEX(SchemeTable,0,2),NA()))</f>
      </c>
      <c r="AJ84" s="3">
        <f ca="1">IF($A84="","",WORKDAY(TradeDate,1,Holidays))</f>
      </c>
      <c r="AK84" s="3">
        <f ca="1">IF($A84="","",WORKDAY($C84,$D84,Holidays))</f>
      </c>
      <c r="AL84" s="13">
        <f ca="1">IF($A84="","",NETWORKDAYS(TradeDate,$C84-1,Holidays)/252)</f>
      </c>
      <c r="AM84" s="13" cm="1">
        <f t="array" aca="1" ref="AM84" ca="1">IF($A84="","",JGB_AI($AE84,$AJ84,$AF84))</f>
      </c>
      <c r="AN84" s="13" cm="1">
        <f t="array" aca="1" ref="AN84" ca="1">IF($A84="","",JGB_AI($AE84,$AK84,$AF84))</f>
      </c>
      <c r="AO84" s="13" cm="1">
        <f t="array" aca="1" ref="AO84" ca="1">IF($A84="","",JGB_CARRY_COUPONS($AE84,$AF84,$AJ84,$AK84,$G84))</f>
      </c>
      <c r="AP84" s="13">
        <f t="shared" ca="1" si="31"/>
      </c>
      <c r="AQ84" s="9">
        <f t="shared" ca="1" si="32"/>
      </c>
      <c r="AR84" s="13">
        <f t="shared" ca="1" si="33"/>
      </c>
      <c r="AS84" s="12">
        <f t="shared" ca="1" si="34"/>
      </c>
      <c r="AT84" s="68">
        <f t="shared" ca="1" si="35"/>
      </c>
      <c r="AV84" s="66"/>
      <c r="AW84" s="13"/>
      <c r="AX84" s="12"/>
      <c r="AY84" s="1"/>
      <c r="BA84" s="9"/>
      <c r="BC84" s="12"/>
      <c r="BD84" s="64"/>
    </row>
    <row r="85" spans="1:56" x14ac:dyDescent="0.55000000000000004">
      <c r="A85" s="38"/>
      <c r="B85" s="4"/>
      <c r="C85" s="6"/>
      <c r="D85" s="7"/>
      <c r="E85" s="42"/>
      <c r="F85" s="44"/>
      <c r="G85" s="9" cm="1">
        <f t="array" aca="1" ref="G85" ca="1">IF($A85="","",IF($F85&lt;&gt;"",$F85,_xlfn.LET(_xlpm.s,_xlfn.XLOOKUP($B85,INDEX(SchemeTable,0,1),INDEX(SchemeTable,0,3),""),_xlpm.r,_xlfn.SWITCH(_xlpm.s,"Bid",IF(ISBLANK(RepoBid),"",RepoBid),"Offer",IF(ISBLANK(RepoOffer),"",RepoOffer),""),IF(_xlpm.s="","Error: set repo side for "&amp;$B85,IF(_xlpm.r="","Error: enter repo "&amp;LOWER(_xlpm.s),_xlpm.r)))))</f>
      </c>
      <c r="H85" s="11"/>
      <c r="I85" s="9">
        <f t="shared" ca="1" si="24"/>
      </c>
      <c r="J85" s="46" cm="1">
        <f t="array" aca="1" ref="J85" ca="1">IF($A85="","",JGB_PRICE($AE85,$I85,$AJ85,$AF85))</f>
      </c>
      <c r="K85" s="48"/>
      <c r="L85" s="11"/>
      <c r="M85" s="10"/>
      <c r="N85" s="11"/>
      <c r="O85" s="50"/>
      <c r="P85" s="54">
        <f t="shared" ca="1" si="25"/>
      </c>
      <c r="Q85" s="56" cm="1">
        <f t="array" aca="1" ref="Q85" ca="1">IF($A85="","",_xlfn.LET(_xlpm.n,COUNTA($K85:$O85),IF($B85="ITMBW",IF(_xlpm.n=0,"ITMBW","Error: ITMBW takes no strike input"),IF(_xlpm.n=1,_xlfn.XLOOKUP(TRUE,$K85:$O85&lt;&gt;"",{"Spot +sen","Fwd +sen","Fwd price","ATM +bp","Yield"}),IF(_xlpm.n=0,"Error: enter one strike input","Error: enter only one strike input")))))</f>
      </c>
      <c r="R85" s="9" cm="1">
        <f t="array" aca="1" ref="R85" ca="1">IF($A85="","",_xlfn.SWITCH($Q85,"Spot +sen",ROUNDDOWN(ROUND($J85+$K85/100,9),3),"Fwd +sen",ROUNDDOWN(ROUND($P85+$L85/100,9),3),"Fwd price",$M85,"ATM +bp",JGB_PRICE($AE85,$I85+$N85/100,$C85,$AF85),"Yield",JGB_PRICE($AE85,$O85,$C85,$AF85),"ITMBW",IF($BA85="",NA(),$BA85),NA()))</f>
      </c>
      <c r="S85" s="46" cm="1">
        <f t="array" aca="1" ref="S85" ca="1">IF($A85="","",JGB_YIELD($AE85,$R85,$AK85,$AF85))</f>
      </c>
      <c r="T85" s="58"/>
      <c r="U85" s="1">
        <f ca="1">IF($A85="","",IF(OR($X85&lt;&gt;"",$V85&lt;&gt;""),$W85*SQRT(VolDays),IF($T85&lt;&gt;"",$T85,$AT85)))</f>
      </c>
      <c r="V85" s="70"/>
      <c r="W85" s="12">
        <f ca="1">IF($A85="","",IF($X85&lt;&gt;"",$X85*100/(SQRT(252)*$AS85),IF($V85&lt;&gt;"",$V85,IF($T85&lt;&gt;"",$T85,$AT85)/SQRT(VolDays))))</f>
      </c>
      <c r="X85" s="72"/>
      <c r="Y85" s="60">
        <f t="shared" ca="1" si="26"/>
      </c>
      <c r="Z85" s="62">
        <f t="shared" ca="1" si="27"/>
      </c>
      <c r="AA85" s="8">
        <f t="shared" ca="1" si="28"/>
      </c>
      <c r="AB85" s="9">
        <f t="shared" ca="1" si="29"/>
      </c>
      <c r="AD85" s="64">
        <f t="shared" ca="1" si="30"/>
      </c>
      <c r="AE85" s="66" cm="1">
        <f t="array" aca="1" ref="AE85" ca="1">IF($A85="","",_xlfn.XLOOKUP($A85,INDEX(BondList,0,1),INDEX(BondList,0,2)))</f>
      </c>
      <c r="AF85" s="3" cm="1">
        <f t="array" aca="1" ref="AF85" ca="1">IF($A85="","",_xlfn.XLOOKUP($A85,INDEX(BondList,0,1),INDEX(BondList,0,3)))</f>
      </c>
      <c r="AG85" s="9" cm="1">
        <f t="array" aca="1" ref="AG85" ca="1">IF($A85="","",_xlfn.XLOOKUP($A85,INDEX(BondList,0,1),INDEX(BondList,0,4)))</f>
      </c>
      <c r="AH85" s="3" cm="1">
        <f t="array" aca="1" ref="AH85" ca="1">IF($A85="","",_xlfn.XLOOKUP($A85,INDEX(BondList,0,1),INDEX(BondList,0,5)))</f>
      </c>
      <c r="AI85" s="20" cm="1">
        <f t="array" aca="1" ref="AI85" ca="1">IF($A85="","",_xlfn.XLOOKUP($B85,INDEX(SchemeTable,0,1),INDEX(SchemeTable,0,2),NA()))</f>
      </c>
      <c r="AJ85" s="3">
        <f ca="1">IF($A85="","",WORKDAY(TradeDate,1,Holidays))</f>
      </c>
      <c r="AK85" s="3">
        <f ca="1">IF($A85="","",WORKDAY($C85,$D85,Holidays))</f>
      </c>
      <c r="AL85" s="13">
        <f ca="1">IF($A85="","",NETWORKDAYS(TradeDate,$C85-1,Holidays)/252)</f>
      </c>
      <c r="AM85" s="13" cm="1">
        <f t="array" aca="1" ref="AM85" ca="1">IF($A85="","",JGB_AI($AE85,$AJ85,$AF85))</f>
      </c>
      <c r="AN85" s="13" cm="1">
        <f t="array" aca="1" ref="AN85" ca="1">IF($A85="","",JGB_AI($AE85,$AK85,$AF85))</f>
      </c>
      <c r="AO85" s="13" cm="1">
        <f t="array" aca="1" ref="AO85" ca="1">IF($A85="","",JGB_CARRY_COUPONS($AE85,$AF85,$AJ85,$AK85,$G85))</f>
      </c>
      <c r="AP85" s="13">
        <f t="shared" ca="1" si="31"/>
      </c>
      <c r="AQ85" s="9">
        <f t="shared" ca="1" si="32"/>
      </c>
      <c r="AR85" s="13">
        <f t="shared" ca="1" si="33"/>
      </c>
      <c r="AS85" s="12">
        <f t="shared" ca="1" si="34"/>
      </c>
      <c r="AT85" s="68">
        <f t="shared" ca="1" si="35"/>
      </c>
      <c r="AV85" s="66"/>
      <c r="AW85" s="13"/>
      <c r="AX85" s="12"/>
      <c r="AY85" s="1"/>
      <c r="BA85" s="9"/>
      <c r="BC85" s="12"/>
      <c r="BD85" s="64"/>
    </row>
    <row r="86" spans="1:56" x14ac:dyDescent="0.55000000000000004">
      <c r="A86" s="38"/>
      <c r="B86" s="4"/>
      <c r="C86" s="6"/>
      <c r="D86" s="7"/>
      <c r="E86" s="42"/>
      <c r="F86" s="44"/>
      <c r="G86" s="9" cm="1">
        <f t="array" aca="1" ref="G86" ca="1">IF($A86="","",IF($F86&lt;&gt;"",$F86,_xlfn.LET(_xlpm.s,_xlfn.XLOOKUP($B86,INDEX(SchemeTable,0,1),INDEX(SchemeTable,0,3),""),_xlpm.r,_xlfn.SWITCH(_xlpm.s,"Bid",IF(ISBLANK(RepoBid),"",RepoBid),"Offer",IF(ISBLANK(RepoOffer),"",RepoOffer),""),IF(_xlpm.s="","Error: set repo side for "&amp;$B86,IF(_xlpm.r="","Error: enter repo "&amp;LOWER(_xlpm.s),_xlpm.r)))))</f>
      </c>
      <c r="H86" s="11"/>
      <c r="I86" s="9">
        <f t="shared" ca="1" si="24"/>
      </c>
      <c r="J86" s="46" cm="1">
        <f t="array" aca="1" ref="J86" ca="1">IF($A86="","",JGB_PRICE($AE86,$I86,$AJ86,$AF86))</f>
      </c>
      <c r="K86" s="48"/>
      <c r="L86" s="11"/>
      <c r="M86" s="10"/>
      <c r="N86" s="11"/>
      <c r="O86" s="50"/>
      <c r="P86" s="54">
        <f t="shared" ca="1" si="25"/>
      </c>
      <c r="Q86" s="56" cm="1">
        <f t="array" aca="1" ref="Q86" ca="1">IF($A86="","",_xlfn.LET(_xlpm.n,COUNTA($K86:$O86),IF($B86="ITMBW",IF(_xlpm.n=0,"ITMBW","Error: ITMBW takes no strike input"),IF(_xlpm.n=1,_xlfn.XLOOKUP(TRUE,$K86:$O86&lt;&gt;"",{"Spot +sen","Fwd +sen","Fwd price","ATM +bp","Yield"}),IF(_xlpm.n=0,"Error: enter one strike input","Error: enter only one strike input")))))</f>
      </c>
      <c r="R86" s="9" cm="1">
        <f t="array" aca="1" ref="R86" ca="1">IF($A86="","",_xlfn.SWITCH($Q86,"Spot +sen",ROUNDDOWN(ROUND($J86+$K86/100,9),3),"Fwd +sen",ROUNDDOWN(ROUND($P86+$L86/100,9),3),"Fwd price",$M86,"ATM +bp",JGB_PRICE($AE86,$I86+$N86/100,$C86,$AF86),"Yield",JGB_PRICE($AE86,$O86,$C86,$AF86),"ITMBW",IF($BA86="",NA(),$BA86),NA()))</f>
      </c>
      <c r="S86" s="46" cm="1">
        <f t="array" aca="1" ref="S86" ca="1">IF($A86="","",JGB_YIELD($AE86,$R86,$AK86,$AF86))</f>
      </c>
      <c r="T86" s="58"/>
      <c r="U86" s="1">
        <f ca="1">IF($A86="","",IF(OR($X86&lt;&gt;"",$V86&lt;&gt;""),$W86*SQRT(VolDays),IF($T86&lt;&gt;"",$T86,$AT86)))</f>
      </c>
      <c r="V86" s="70"/>
      <c r="W86" s="12">
        <f ca="1">IF($A86="","",IF($X86&lt;&gt;"",$X86*100/(SQRT(252)*$AS86),IF($V86&lt;&gt;"",$V86,IF($T86&lt;&gt;"",$T86,$AT86)/SQRT(VolDays))))</f>
      </c>
      <c r="X86" s="72"/>
      <c r="Y86" s="60">
        <f t="shared" ca="1" si="26"/>
      </c>
      <c r="Z86" s="62">
        <f t="shared" ca="1" si="27"/>
      </c>
      <c r="AA86" s="8">
        <f t="shared" ca="1" si="28"/>
      </c>
      <c r="AB86" s="9">
        <f t="shared" ca="1" si="29"/>
      </c>
      <c r="AD86" s="64">
        <f t="shared" ca="1" si="30"/>
      </c>
      <c r="AE86" s="66" cm="1">
        <f t="array" aca="1" ref="AE86" ca="1">IF($A86="","",_xlfn.XLOOKUP($A86,INDEX(BondList,0,1),INDEX(BondList,0,2)))</f>
      </c>
      <c r="AF86" s="3" cm="1">
        <f t="array" aca="1" ref="AF86" ca="1">IF($A86="","",_xlfn.XLOOKUP($A86,INDEX(BondList,0,1),INDEX(BondList,0,3)))</f>
      </c>
      <c r="AG86" s="9" cm="1">
        <f t="array" aca="1" ref="AG86" ca="1">IF($A86="","",_xlfn.XLOOKUP($A86,INDEX(BondList,0,1),INDEX(BondList,0,4)))</f>
      </c>
      <c r="AH86" s="3" cm="1">
        <f t="array" aca="1" ref="AH86" ca="1">IF($A86="","",_xlfn.XLOOKUP($A86,INDEX(BondList,0,1),INDEX(BondList,0,5)))</f>
      </c>
      <c r="AI86" s="20" cm="1">
        <f t="array" aca="1" ref="AI86" ca="1">IF($A86="","",_xlfn.XLOOKUP($B86,INDEX(SchemeTable,0,1),INDEX(SchemeTable,0,2),NA()))</f>
      </c>
      <c r="AJ86" s="3">
        <f ca="1">IF($A86="","",WORKDAY(TradeDate,1,Holidays))</f>
      </c>
      <c r="AK86" s="3">
        <f ca="1">IF($A86="","",WORKDAY($C86,$D86,Holidays))</f>
      </c>
      <c r="AL86" s="13">
        <f ca="1">IF($A86="","",NETWORKDAYS(TradeDate,$C86-1,Holidays)/252)</f>
      </c>
      <c r="AM86" s="13" cm="1">
        <f t="array" aca="1" ref="AM86" ca="1">IF($A86="","",JGB_AI($AE86,$AJ86,$AF86))</f>
      </c>
      <c r="AN86" s="13" cm="1">
        <f t="array" aca="1" ref="AN86" ca="1">IF($A86="","",JGB_AI($AE86,$AK86,$AF86))</f>
      </c>
      <c r="AO86" s="13" cm="1">
        <f t="array" aca="1" ref="AO86" ca="1">IF($A86="","",JGB_CARRY_COUPONS($AE86,$AF86,$AJ86,$AK86,$G86))</f>
      </c>
      <c r="AP86" s="13">
        <f t="shared" ca="1" si="31"/>
      </c>
      <c r="AQ86" s="9">
        <f t="shared" ca="1" si="32"/>
      </c>
      <c r="AR86" s="13">
        <f t="shared" ca="1" si="33"/>
      </c>
      <c r="AS86" s="12">
        <f t="shared" ca="1" si="34"/>
      </c>
      <c r="AT86" s="68">
        <f t="shared" ca="1" si="35"/>
      </c>
      <c r="AV86" s="66"/>
      <c r="AW86" s="13"/>
      <c r="AX86" s="12"/>
      <c r="AY86" s="1"/>
      <c r="BA86" s="9"/>
      <c r="BC86" s="12"/>
      <c r="BD86" s="64"/>
    </row>
    <row r="87" spans="1:56" x14ac:dyDescent="0.55000000000000004">
      <c r="A87" s="39"/>
      <c r="B87" s="22"/>
      <c r="C87" s="23"/>
      <c r="D87" s="24"/>
      <c r="E87" s="43"/>
      <c r="F87" s="45"/>
      <c r="G87" s="26" cm="1">
        <f t="array" aca="1" ref="G87" ca="1">IF($A87="","",IF($F87&lt;&gt;"",$F87,_xlfn.LET(_xlpm.s,_xlfn.XLOOKUP($B87,INDEX(SchemeTable,0,1),INDEX(SchemeTable,0,3),""),_xlpm.r,_xlfn.SWITCH(_xlpm.s,"Bid",IF(ISBLANK(RepoBid),"",RepoBid),"Offer",IF(ISBLANK(RepoOffer),"",RepoOffer),""),IF(_xlpm.s="","Error: set repo side for "&amp;$B87,IF(_xlpm.r="","Error: enter repo "&amp;LOWER(_xlpm.s),_xlpm.r)))))</f>
      </c>
      <c r="H87" s="27"/>
      <c r="I87" s="26">
        <f t="shared" ca="1" si="24"/>
      </c>
      <c r="J87" s="47" cm="1">
        <f t="array" aca="1" ref="J87" ca="1">IF($A87="","",JGB_PRICE($AE87,$I87,$AJ87,$AF87))</f>
      </c>
      <c r="K87" s="49"/>
      <c r="L87" s="27"/>
      <c r="M87" s="25"/>
      <c r="N87" s="27"/>
      <c r="O87" s="51"/>
      <c r="P87" s="55">
        <f t="shared" ca="1" si="25"/>
      </c>
      <c r="Q87" s="57" cm="1">
        <f t="array" aca="1" ref="Q87" ca="1">IF($A87="","",_xlfn.LET(_xlpm.n,COUNTA($K87:$O87),IF($B87="ITMBW",IF(_xlpm.n=0,"ITMBW","Error: ITMBW takes no strike input"),IF(_xlpm.n=1,_xlfn.XLOOKUP(TRUE,$K87:$O87&lt;&gt;"",{"Spot +sen","Fwd +sen","Fwd price","ATM +bp","Yield"}),IF(_xlpm.n=0,"Error: enter one strike input","Error: enter only one strike input")))))</f>
      </c>
      <c r="R87" s="26" cm="1">
        <f t="array" aca="1" ref="R87" ca="1">IF($A87="","",_xlfn.SWITCH($Q87,"Spot +sen",ROUNDDOWN(ROUND($J87+$K87/100,9),3),"Fwd +sen",ROUNDDOWN(ROUND($P87+$L87/100,9),3),"Fwd price",$M87,"ATM +bp",JGB_PRICE($AE87,$I87+$N87/100,$C87,$AF87),"Yield",JGB_PRICE($AE87,$O87,$C87,$AF87),"ITMBW",IF($BA87="",NA(),$BA87),NA()))</f>
      </c>
      <c r="S87" s="47" cm="1">
        <f t="array" aca="1" ref="S87" ca="1">IF($A87="","",JGB_YIELD($AE87,$R87,$AK87,$AF87))</f>
      </c>
      <c r="T87" s="59"/>
      <c r="U87" s="30">
        <f ca="1">IF($A87="","",IF(OR($X87&lt;&gt;"",$V87&lt;&gt;""),$W87*SQRT(VolDays),IF($T87&lt;&gt;"",$T87,$AT87)))</f>
      </c>
      <c r="V87" s="71"/>
      <c r="W87" s="31">
        <f ca="1">IF($A87="","",IF($X87&lt;&gt;"",$X87*100/(SQRT(252)*$AS87),IF($V87&lt;&gt;"",$V87,IF($T87&lt;&gt;"",$T87,$AT87)/SQRT(VolDays))))</f>
      </c>
      <c r="X87" s="73"/>
      <c r="Y87" s="61">
        <f t="shared" ca="1" si="26"/>
      </c>
      <c r="Z87" s="63">
        <f t="shared" ca="1" si="27"/>
      </c>
      <c r="AA87" s="32">
        <f t="shared" ca="1" si="28"/>
      </c>
      <c r="AB87" s="26">
        <f t="shared" ca="1" si="29"/>
      </c>
      <c r="AC87" s="16"/>
      <c r="AD87" s="65">
        <f t="shared" ca="1" si="30"/>
      </c>
      <c r="AE87" s="67" cm="1">
        <f t="array" aca="1" ref="AE87" ca="1">IF($A87="","",_xlfn.XLOOKUP($A87,INDEX(BondList,0,1),INDEX(BondList,0,2)))</f>
      </c>
      <c r="AF87" s="33" cm="1">
        <f t="array" aca="1" ref="AF87" ca="1">IF($A87="","",_xlfn.XLOOKUP($A87,INDEX(BondList,0,1),INDEX(BondList,0,3)))</f>
      </c>
      <c r="AG87" s="26" cm="1">
        <f t="array" aca="1" ref="AG87" ca="1">IF($A87="","",_xlfn.XLOOKUP($A87,INDEX(BondList,0,1),INDEX(BondList,0,4)))</f>
      </c>
      <c r="AH87" s="33" cm="1">
        <f t="array" aca="1" ref="AH87" ca="1">IF($A87="","",_xlfn.XLOOKUP($A87,INDEX(BondList,0,1),INDEX(BondList,0,5)))</f>
      </c>
      <c r="AI87" s="29" cm="1">
        <f t="array" aca="1" ref="AI87" ca="1">IF($A87="","",_xlfn.XLOOKUP($B87,INDEX(SchemeTable,0,1),INDEX(SchemeTable,0,2),NA()))</f>
      </c>
      <c r="AJ87" s="33">
        <f ca="1">IF($A87="","",WORKDAY(TradeDate,1,Holidays))</f>
      </c>
      <c r="AK87" s="33">
        <f ca="1">IF($A87="","",WORKDAY($C87,$D87,Holidays))</f>
      </c>
      <c r="AL87" s="28">
        <f ca="1">IF($A87="","",NETWORKDAYS(TradeDate,$C87-1,Holidays)/252)</f>
      </c>
      <c r="AM87" s="28" cm="1">
        <f t="array" aca="1" ref="AM87" ca="1">IF($A87="","",JGB_AI($AE87,$AJ87,$AF87))</f>
      </c>
      <c r="AN87" s="28" cm="1">
        <f t="array" aca="1" ref="AN87" ca="1">IF($A87="","",JGB_AI($AE87,$AK87,$AF87))</f>
      </c>
      <c r="AO87" s="28" cm="1">
        <f t="array" aca="1" ref="AO87" ca="1">IF($A87="","",JGB_CARRY_COUPONS($AE87,$AF87,$AJ87,$AK87,$G87))</f>
      </c>
      <c r="AP87" s="28">
        <f t="shared" ca="1" si="31"/>
      </c>
      <c r="AQ87" s="26">
        <f t="shared" ca="1" si="32"/>
      </c>
      <c r="AR87" s="28">
        <f t="shared" ca="1" si="33"/>
      </c>
      <c r="AS87" s="31">
        <f t="shared" ca="1" si="34"/>
      </c>
      <c r="AT87" s="69">
        <f t="shared" ca="1" si="35"/>
      </c>
      <c r="AV87" s="67"/>
      <c r="AW87" s="28"/>
      <c r="AX87" s="31"/>
      <c r="AY87" s="30"/>
      <c r="AZ87" s="16"/>
      <c r="BA87" s="26"/>
      <c r="BB87" s="16"/>
      <c r="BC87" s="31"/>
      <c r="BD87" s="65"/>
    </row>
    <row r="88" spans="1:56" x14ac:dyDescent="0.55000000000000004">
      <c r="A88" s="38"/>
      <c r="B88" s="4"/>
      <c r="C88" s="6"/>
      <c r="D88" s="7"/>
      <c r="E88" s="42"/>
      <c r="F88" s="44"/>
      <c r="G88" s="9" cm="1">
        <f t="array" aca="1" ref="G88" ca="1">IF($A88="","",IF($F88&lt;&gt;"",$F88,_xlfn.LET(_xlpm.s,_xlfn.XLOOKUP($B88,INDEX(SchemeTable,0,1),INDEX(SchemeTable,0,3),""),_xlpm.r,_xlfn.SWITCH(_xlpm.s,"Bid",IF(ISBLANK(RepoBid),"",RepoBid),"Offer",IF(ISBLANK(RepoOffer),"",RepoOffer),""),IF(_xlpm.s="","Error: set repo side for "&amp;$B88,IF(_xlpm.r="","Error: enter repo "&amp;LOWER(_xlpm.s),_xlpm.r)))))</f>
      </c>
      <c r="H88" s="11"/>
      <c r="I88" s="9">
        <f t="shared" ca="1" si="24"/>
      </c>
      <c r="J88" s="46" cm="1">
        <f t="array" aca="1" ref="J88" ca="1">IF($A88="","",JGB_PRICE($AE88,$I88,$AJ88,$AF88))</f>
      </c>
      <c r="K88" s="48"/>
      <c r="L88" s="11"/>
      <c r="M88" s="10"/>
      <c r="N88" s="11"/>
      <c r="O88" s="50"/>
      <c r="P88" s="54">
        <f t="shared" ca="1" si="25"/>
      </c>
      <c r="Q88" s="56" cm="1">
        <f t="array" aca="1" ref="Q88" ca="1">IF($A88="","",_xlfn.LET(_xlpm.n,COUNTA($K88:$O88),IF($B88="ITMBW",IF(_xlpm.n=0,"ITMBW","Error: ITMBW takes no strike input"),IF(_xlpm.n=1,_xlfn.XLOOKUP(TRUE,$K88:$O88&lt;&gt;"",{"Spot +sen","Fwd +sen","Fwd price","ATM +bp","Yield"}),IF(_xlpm.n=0,"Error: enter one strike input","Error: enter only one strike input")))))</f>
      </c>
      <c r="R88" s="9" cm="1">
        <f t="array" aca="1" ref="R88" ca="1">IF($A88="","",_xlfn.SWITCH($Q88,"Spot +sen",ROUNDDOWN(ROUND($J88+$K88/100,9),3),"Fwd +sen",ROUNDDOWN(ROUND($P88+$L88/100,9),3),"Fwd price",$M88,"ATM +bp",JGB_PRICE($AE88,$I88+$N88/100,$C88,$AF88),"Yield",JGB_PRICE($AE88,$O88,$C88,$AF88),"ITMBW",IF($BA88="",NA(),$BA88),NA()))</f>
      </c>
      <c r="S88" s="46" cm="1">
        <f t="array" aca="1" ref="S88" ca="1">IF($A88="","",JGB_YIELD($AE88,$R88,$AK88,$AF88))</f>
      </c>
      <c r="T88" s="58"/>
      <c r="U88" s="1">
        <f ca="1">IF($A88="","",IF(OR($X88&lt;&gt;"",$V88&lt;&gt;""),$W88*SQRT(VolDays),IF($T88&lt;&gt;"",$T88,$AT88)))</f>
      </c>
      <c r="V88" s="70"/>
      <c r="W88" s="12">
        <f ca="1">IF($A88="","",IF($X88&lt;&gt;"",$X88*100/(SQRT(252)*$AS88),IF($V88&lt;&gt;"",$V88,IF($T88&lt;&gt;"",$T88,$AT88)/SQRT(VolDays))))</f>
      </c>
      <c r="X88" s="72"/>
      <c r="Y88" s="60">
        <f t="shared" ca="1" si="26"/>
      </c>
      <c r="Z88" s="62">
        <f t="shared" ca="1" si="27"/>
      </c>
      <c r="AA88" s="8">
        <f t="shared" ca="1" si="28"/>
      </c>
      <c r="AB88" s="9">
        <f t="shared" ca="1" si="29"/>
      </c>
      <c r="AD88" s="64">
        <f t="shared" ca="1" si="30"/>
      </c>
      <c r="AE88" s="66" cm="1">
        <f t="array" aca="1" ref="AE88" ca="1">IF($A88="","",_xlfn.XLOOKUP($A88,INDEX(BondList,0,1),INDEX(BondList,0,2)))</f>
      </c>
      <c r="AF88" s="3" cm="1">
        <f t="array" aca="1" ref="AF88" ca="1">IF($A88="","",_xlfn.XLOOKUP($A88,INDEX(BondList,0,1),INDEX(BondList,0,3)))</f>
      </c>
      <c r="AG88" s="9" cm="1">
        <f t="array" aca="1" ref="AG88" ca="1">IF($A88="","",_xlfn.XLOOKUP($A88,INDEX(BondList,0,1),INDEX(BondList,0,4)))</f>
      </c>
      <c r="AH88" s="3" cm="1">
        <f t="array" aca="1" ref="AH88" ca="1">IF($A88="","",_xlfn.XLOOKUP($A88,INDEX(BondList,0,1),INDEX(BondList,0,5)))</f>
      </c>
      <c r="AI88" s="20" cm="1">
        <f t="array" aca="1" ref="AI88" ca="1">IF($A88="","",_xlfn.XLOOKUP($B88,INDEX(SchemeTable,0,1),INDEX(SchemeTable,0,2),NA()))</f>
      </c>
      <c r="AJ88" s="3">
        <f ca="1">IF($A88="","",WORKDAY(TradeDate,1,Holidays))</f>
      </c>
      <c r="AK88" s="3">
        <f ca="1">IF($A88="","",WORKDAY($C88,$D88,Holidays))</f>
      </c>
      <c r="AL88" s="13">
        <f ca="1">IF($A88="","",NETWORKDAYS(TradeDate,$C88-1,Holidays)/252)</f>
      </c>
      <c r="AM88" s="13" cm="1">
        <f t="array" aca="1" ref="AM88" ca="1">IF($A88="","",JGB_AI($AE88,$AJ88,$AF88))</f>
      </c>
      <c r="AN88" s="13" cm="1">
        <f t="array" aca="1" ref="AN88" ca="1">IF($A88="","",JGB_AI($AE88,$AK88,$AF88))</f>
      </c>
      <c r="AO88" s="13" cm="1">
        <f t="array" aca="1" ref="AO88" ca="1">IF($A88="","",JGB_CARRY_COUPONS($AE88,$AF88,$AJ88,$AK88,$G88))</f>
      </c>
      <c r="AP88" s="13">
        <f t="shared" ca="1" si="31"/>
      </c>
      <c r="AQ88" s="9">
        <f t="shared" ca="1" si="32"/>
      </c>
      <c r="AR88" s="13">
        <f t="shared" ca="1" si="33"/>
      </c>
      <c r="AS88" s="12">
        <f t="shared" ca="1" si="34"/>
      </c>
      <c r="AT88" s="68">
        <f t="shared" ca="1" si="35"/>
      </c>
      <c r="AV88" s="66"/>
      <c r="AW88" s="13"/>
      <c r="AX88" s="12"/>
      <c r="AY88" s="1"/>
      <c r="BA88" s="9"/>
      <c r="BC88" s="12"/>
      <c r="BD88" s="64"/>
    </row>
    <row r="89" spans="1:56" x14ac:dyDescent="0.55000000000000004">
      <c r="A89" s="38"/>
      <c r="B89" s="4"/>
      <c r="C89" s="6"/>
      <c r="D89" s="7"/>
      <c r="E89" s="42"/>
      <c r="F89" s="44"/>
      <c r="G89" s="9" cm="1">
        <f t="array" aca="1" ref="G89" ca="1">IF($A89="","",IF($F89&lt;&gt;"",$F89,_xlfn.LET(_xlpm.s,_xlfn.XLOOKUP($B89,INDEX(SchemeTable,0,1),INDEX(SchemeTable,0,3),""),_xlpm.r,_xlfn.SWITCH(_xlpm.s,"Bid",IF(ISBLANK(RepoBid),"",RepoBid),"Offer",IF(ISBLANK(RepoOffer),"",RepoOffer),""),IF(_xlpm.s="","Error: set repo side for "&amp;$B89,IF(_xlpm.r="","Error: enter repo "&amp;LOWER(_xlpm.s),_xlpm.r)))))</f>
      </c>
      <c r="H89" s="11"/>
      <c r="I89" s="9">
        <f t="shared" ca="1" si="24"/>
      </c>
      <c r="J89" s="46" cm="1">
        <f t="array" aca="1" ref="J89" ca="1">IF($A89="","",JGB_PRICE($AE89,$I89,$AJ89,$AF89))</f>
      </c>
      <c r="K89" s="48"/>
      <c r="L89" s="11"/>
      <c r="M89" s="10"/>
      <c r="N89" s="11"/>
      <c r="O89" s="50"/>
      <c r="P89" s="54">
        <f t="shared" ca="1" si="25"/>
      </c>
      <c r="Q89" s="56" cm="1">
        <f t="array" aca="1" ref="Q89" ca="1">IF($A89="","",_xlfn.LET(_xlpm.n,COUNTA($K89:$O89),IF($B89="ITMBW",IF(_xlpm.n=0,"ITMBW","Error: ITMBW takes no strike input"),IF(_xlpm.n=1,_xlfn.XLOOKUP(TRUE,$K89:$O89&lt;&gt;"",{"Spot +sen","Fwd +sen","Fwd price","ATM +bp","Yield"}),IF(_xlpm.n=0,"Error: enter one strike input","Error: enter only one strike input")))))</f>
      </c>
      <c r="R89" s="9" cm="1">
        <f t="array" aca="1" ref="R89" ca="1">IF($A89="","",_xlfn.SWITCH($Q89,"Spot +sen",ROUNDDOWN(ROUND($J89+$K89/100,9),3),"Fwd +sen",ROUNDDOWN(ROUND($P89+$L89/100,9),3),"Fwd price",$M89,"ATM +bp",JGB_PRICE($AE89,$I89+$N89/100,$C89,$AF89),"Yield",JGB_PRICE($AE89,$O89,$C89,$AF89),"ITMBW",IF($BA89="",NA(),$BA89),NA()))</f>
      </c>
      <c r="S89" s="46" cm="1">
        <f t="array" aca="1" ref="S89" ca="1">IF($A89="","",JGB_YIELD($AE89,$R89,$AK89,$AF89))</f>
      </c>
      <c r="T89" s="58"/>
      <c r="U89" s="1">
        <f ca="1">IF($A89="","",IF(OR($X89&lt;&gt;"",$V89&lt;&gt;""),$W89*SQRT(VolDays),IF($T89&lt;&gt;"",$T89,$AT89)))</f>
      </c>
      <c r="V89" s="70"/>
      <c r="W89" s="12">
        <f ca="1">IF($A89="","",IF($X89&lt;&gt;"",$X89*100/(SQRT(252)*$AS89),IF($V89&lt;&gt;"",$V89,IF($T89&lt;&gt;"",$T89,$AT89)/SQRT(VolDays))))</f>
      </c>
      <c r="X89" s="72"/>
      <c r="Y89" s="60">
        <f t="shared" ca="1" si="26"/>
      </c>
      <c r="Z89" s="62">
        <f t="shared" ca="1" si="27"/>
      </c>
      <c r="AA89" s="8">
        <f t="shared" ca="1" si="28"/>
      </c>
      <c r="AB89" s="9">
        <f t="shared" ca="1" si="29"/>
      </c>
      <c r="AD89" s="64">
        <f t="shared" ca="1" si="30"/>
      </c>
      <c r="AE89" s="66" cm="1">
        <f t="array" aca="1" ref="AE89" ca="1">IF($A89="","",_xlfn.XLOOKUP($A89,INDEX(BondList,0,1),INDEX(BondList,0,2)))</f>
      </c>
      <c r="AF89" s="3" cm="1">
        <f t="array" aca="1" ref="AF89" ca="1">IF($A89="","",_xlfn.XLOOKUP($A89,INDEX(BondList,0,1),INDEX(BondList,0,3)))</f>
      </c>
      <c r="AG89" s="9" cm="1">
        <f t="array" aca="1" ref="AG89" ca="1">IF($A89="","",_xlfn.XLOOKUP($A89,INDEX(BondList,0,1),INDEX(BondList,0,4)))</f>
      </c>
      <c r="AH89" s="3" cm="1">
        <f t="array" aca="1" ref="AH89" ca="1">IF($A89="","",_xlfn.XLOOKUP($A89,INDEX(BondList,0,1),INDEX(BondList,0,5)))</f>
      </c>
      <c r="AI89" s="20" cm="1">
        <f t="array" aca="1" ref="AI89" ca="1">IF($A89="","",_xlfn.XLOOKUP($B89,INDEX(SchemeTable,0,1),INDEX(SchemeTable,0,2),NA()))</f>
      </c>
      <c r="AJ89" s="3">
        <f ca="1">IF($A89="","",WORKDAY(TradeDate,1,Holidays))</f>
      </c>
      <c r="AK89" s="3">
        <f ca="1">IF($A89="","",WORKDAY($C89,$D89,Holidays))</f>
      </c>
      <c r="AL89" s="13">
        <f ca="1">IF($A89="","",NETWORKDAYS(TradeDate,$C89-1,Holidays)/252)</f>
      </c>
      <c r="AM89" s="13" cm="1">
        <f t="array" aca="1" ref="AM89" ca="1">IF($A89="","",JGB_AI($AE89,$AJ89,$AF89))</f>
      </c>
      <c r="AN89" s="13" cm="1">
        <f t="array" aca="1" ref="AN89" ca="1">IF($A89="","",JGB_AI($AE89,$AK89,$AF89))</f>
      </c>
      <c r="AO89" s="13" cm="1">
        <f t="array" aca="1" ref="AO89" ca="1">IF($A89="","",JGB_CARRY_COUPONS($AE89,$AF89,$AJ89,$AK89,$G89))</f>
      </c>
      <c r="AP89" s="13">
        <f t="shared" ca="1" si="31"/>
      </c>
      <c r="AQ89" s="9">
        <f t="shared" ca="1" si="32"/>
      </c>
      <c r="AR89" s="13">
        <f t="shared" ca="1" si="33"/>
      </c>
      <c r="AS89" s="12">
        <f t="shared" ca="1" si="34"/>
      </c>
      <c r="AT89" s="68">
        <f t="shared" ca="1" si="35"/>
      </c>
      <c r="AV89" s="66"/>
      <c r="AW89" s="13"/>
      <c r="AX89" s="12"/>
      <c r="AY89" s="1"/>
      <c r="BA89" s="9"/>
      <c r="BC89" s="12"/>
      <c r="BD89" s="64"/>
    </row>
    <row r="90" spans="1:56" x14ac:dyDescent="0.55000000000000004">
      <c r="A90" s="38"/>
      <c r="B90" s="4"/>
      <c r="C90" s="6"/>
      <c r="D90" s="7"/>
      <c r="E90" s="42"/>
      <c r="F90" s="44"/>
      <c r="G90" s="9" cm="1">
        <f t="array" aca="1" ref="G90" ca="1">IF($A90="","",IF($F90&lt;&gt;"",$F90,_xlfn.LET(_xlpm.s,_xlfn.XLOOKUP($B90,INDEX(SchemeTable,0,1),INDEX(SchemeTable,0,3),""),_xlpm.r,_xlfn.SWITCH(_xlpm.s,"Bid",IF(ISBLANK(RepoBid),"",RepoBid),"Offer",IF(ISBLANK(RepoOffer),"",RepoOffer),""),IF(_xlpm.s="","Error: set repo side for "&amp;$B90,IF(_xlpm.r="","Error: enter repo "&amp;LOWER(_xlpm.s),_xlpm.r)))))</f>
      </c>
      <c r="H90" s="11"/>
      <c r="I90" s="9">
        <f t="shared" ca="1" si="24"/>
      </c>
      <c r="J90" s="46" cm="1">
        <f t="array" aca="1" ref="J90" ca="1">IF($A90="","",JGB_PRICE($AE90,$I90,$AJ90,$AF90))</f>
      </c>
      <c r="K90" s="48"/>
      <c r="L90" s="11"/>
      <c r="M90" s="10"/>
      <c r="N90" s="11"/>
      <c r="O90" s="50"/>
      <c r="P90" s="54">
        <f t="shared" ca="1" si="25"/>
      </c>
      <c r="Q90" s="56" cm="1">
        <f t="array" aca="1" ref="Q90" ca="1">IF($A90="","",_xlfn.LET(_xlpm.n,COUNTA($K90:$O90),IF($B90="ITMBW",IF(_xlpm.n=0,"ITMBW","Error: ITMBW takes no strike input"),IF(_xlpm.n=1,_xlfn.XLOOKUP(TRUE,$K90:$O90&lt;&gt;"",{"Spot +sen","Fwd +sen","Fwd price","ATM +bp","Yield"}),IF(_xlpm.n=0,"Error: enter one strike input","Error: enter only one strike input")))))</f>
      </c>
      <c r="R90" s="9" cm="1">
        <f t="array" aca="1" ref="R90" ca="1">IF($A90="","",_xlfn.SWITCH($Q90,"Spot +sen",ROUNDDOWN(ROUND($J90+$K90/100,9),3),"Fwd +sen",ROUNDDOWN(ROUND($P90+$L90/100,9),3),"Fwd price",$M90,"ATM +bp",JGB_PRICE($AE90,$I90+$N90/100,$C90,$AF90),"Yield",JGB_PRICE($AE90,$O90,$C90,$AF90),"ITMBW",IF($BA90="",NA(),$BA90),NA()))</f>
      </c>
      <c r="S90" s="46" cm="1">
        <f t="array" aca="1" ref="S90" ca="1">IF($A90="","",JGB_YIELD($AE90,$R90,$AK90,$AF90))</f>
      </c>
      <c r="T90" s="58"/>
      <c r="U90" s="1">
        <f ca="1">IF($A90="","",IF(OR($X90&lt;&gt;"",$V90&lt;&gt;""),$W90*SQRT(VolDays),IF($T90&lt;&gt;"",$T90,$AT90)))</f>
      </c>
      <c r="V90" s="70"/>
      <c r="W90" s="12">
        <f ca="1">IF($A90="","",IF($X90&lt;&gt;"",$X90*100/(SQRT(252)*$AS90),IF($V90&lt;&gt;"",$V90,IF($T90&lt;&gt;"",$T90,$AT90)/SQRT(VolDays))))</f>
      </c>
      <c r="X90" s="72"/>
      <c r="Y90" s="60">
        <f t="shared" ca="1" si="26"/>
      </c>
      <c r="Z90" s="62">
        <f t="shared" ca="1" si="27"/>
      </c>
      <c r="AA90" s="8">
        <f t="shared" ca="1" si="28"/>
      </c>
      <c r="AB90" s="9">
        <f t="shared" ca="1" si="29"/>
      </c>
      <c r="AD90" s="64">
        <f t="shared" ca="1" si="30"/>
      </c>
      <c r="AE90" s="66" cm="1">
        <f t="array" aca="1" ref="AE90" ca="1">IF($A90="","",_xlfn.XLOOKUP($A90,INDEX(BondList,0,1),INDEX(BondList,0,2)))</f>
      </c>
      <c r="AF90" s="3" cm="1">
        <f t="array" aca="1" ref="AF90" ca="1">IF($A90="","",_xlfn.XLOOKUP($A90,INDEX(BondList,0,1),INDEX(BondList,0,3)))</f>
      </c>
      <c r="AG90" s="9" cm="1">
        <f t="array" aca="1" ref="AG90" ca="1">IF($A90="","",_xlfn.XLOOKUP($A90,INDEX(BondList,0,1),INDEX(BondList,0,4)))</f>
      </c>
      <c r="AH90" s="3" cm="1">
        <f t="array" aca="1" ref="AH90" ca="1">IF($A90="","",_xlfn.XLOOKUP($A90,INDEX(BondList,0,1),INDEX(BondList,0,5)))</f>
      </c>
      <c r="AI90" s="20" cm="1">
        <f t="array" aca="1" ref="AI90" ca="1">IF($A90="","",_xlfn.XLOOKUP($B90,INDEX(SchemeTable,0,1),INDEX(SchemeTable,0,2),NA()))</f>
      </c>
      <c r="AJ90" s="3">
        <f ca="1">IF($A90="","",WORKDAY(TradeDate,1,Holidays))</f>
      </c>
      <c r="AK90" s="3">
        <f ca="1">IF($A90="","",WORKDAY($C90,$D90,Holidays))</f>
      </c>
      <c r="AL90" s="13">
        <f ca="1">IF($A90="","",NETWORKDAYS(TradeDate,$C90-1,Holidays)/252)</f>
      </c>
      <c r="AM90" s="13" cm="1">
        <f t="array" aca="1" ref="AM90" ca="1">IF($A90="","",JGB_AI($AE90,$AJ90,$AF90))</f>
      </c>
      <c r="AN90" s="13" cm="1">
        <f t="array" aca="1" ref="AN90" ca="1">IF($A90="","",JGB_AI($AE90,$AK90,$AF90))</f>
      </c>
      <c r="AO90" s="13" cm="1">
        <f t="array" aca="1" ref="AO90" ca="1">IF($A90="","",JGB_CARRY_COUPONS($AE90,$AF90,$AJ90,$AK90,$G90))</f>
      </c>
      <c r="AP90" s="13">
        <f t="shared" ca="1" si="31"/>
      </c>
      <c r="AQ90" s="9">
        <f t="shared" ca="1" si="32"/>
      </c>
      <c r="AR90" s="13">
        <f t="shared" ca="1" si="33"/>
      </c>
      <c r="AS90" s="12">
        <f t="shared" ca="1" si="34"/>
      </c>
      <c r="AT90" s="68">
        <f t="shared" ca="1" si="35"/>
      </c>
      <c r="AV90" s="66"/>
      <c r="AW90" s="13"/>
      <c r="AX90" s="12"/>
      <c r="AY90" s="1"/>
      <c r="BA90" s="9"/>
      <c r="BC90" s="12"/>
      <c r="BD90" s="64"/>
    </row>
    <row r="91" spans="1:56" x14ac:dyDescent="0.55000000000000004">
      <c r="A91" s="38"/>
      <c r="B91" s="4"/>
      <c r="C91" s="6"/>
      <c r="D91" s="7"/>
      <c r="E91" s="42"/>
      <c r="F91" s="44"/>
      <c r="G91" s="9" cm="1">
        <f t="array" aca="1" ref="G91" ca="1">IF($A91="","",IF($F91&lt;&gt;"",$F91,_xlfn.LET(_xlpm.s,_xlfn.XLOOKUP($B91,INDEX(SchemeTable,0,1),INDEX(SchemeTable,0,3),""),_xlpm.r,_xlfn.SWITCH(_xlpm.s,"Bid",IF(ISBLANK(RepoBid),"",RepoBid),"Offer",IF(ISBLANK(RepoOffer),"",RepoOffer),""),IF(_xlpm.s="","Error: set repo side for "&amp;$B91,IF(_xlpm.r="","Error: enter repo "&amp;LOWER(_xlpm.s),_xlpm.r)))))</f>
      </c>
      <c r="H91" s="11"/>
      <c r="I91" s="9">
        <f t="shared" ca="1" si="24"/>
      </c>
      <c r="J91" s="46" cm="1">
        <f t="array" aca="1" ref="J91" ca="1">IF($A91="","",JGB_PRICE($AE91,$I91,$AJ91,$AF91))</f>
      </c>
      <c r="K91" s="48"/>
      <c r="L91" s="11"/>
      <c r="M91" s="10"/>
      <c r="N91" s="11"/>
      <c r="O91" s="50"/>
      <c r="P91" s="54">
        <f t="shared" ca="1" si="25"/>
      </c>
      <c r="Q91" s="56" cm="1">
        <f t="array" aca="1" ref="Q91" ca="1">IF($A91="","",_xlfn.LET(_xlpm.n,COUNTA($K91:$O91),IF($B91="ITMBW",IF(_xlpm.n=0,"ITMBW","Error: ITMBW takes no strike input"),IF(_xlpm.n=1,_xlfn.XLOOKUP(TRUE,$K91:$O91&lt;&gt;"",{"Spot +sen","Fwd +sen","Fwd price","ATM +bp","Yield"}),IF(_xlpm.n=0,"Error: enter one strike input","Error: enter only one strike input")))))</f>
      </c>
      <c r="R91" s="9" cm="1">
        <f t="array" aca="1" ref="R91" ca="1">IF($A91="","",_xlfn.SWITCH($Q91,"Spot +sen",ROUNDDOWN(ROUND($J91+$K91/100,9),3),"Fwd +sen",ROUNDDOWN(ROUND($P91+$L91/100,9),3),"Fwd price",$M91,"ATM +bp",JGB_PRICE($AE91,$I91+$N91/100,$C91,$AF91),"Yield",JGB_PRICE($AE91,$O91,$C91,$AF91),"ITMBW",IF($BA91="",NA(),$BA91),NA()))</f>
      </c>
      <c r="S91" s="46" cm="1">
        <f t="array" aca="1" ref="S91" ca="1">IF($A91="","",JGB_YIELD($AE91,$R91,$AK91,$AF91))</f>
      </c>
      <c r="T91" s="58"/>
      <c r="U91" s="1">
        <f ca="1">IF($A91="","",IF(OR($X91&lt;&gt;"",$V91&lt;&gt;""),$W91*SQRT(VolDays),IF($T91&lt;&gt;"",$T91,$AT91)))</f>
      </c>
      <c r="V91" s="70"/>
      <c r="W91" s="12">
        <f ca="1">IF($A91="","",IF($X91&lt;&gt;"",$X91*100/(SQRT(252)*$AS91),IF($V91&lt;&gt;"",$V91,IF($T91&lt;&gt;"",$T91,$AT91)/SQRT(VolDays))))</f>
      </c>
      <c r="X91" s="72"/>
      <c r="Y91" s="60">
        <f t="shared" ca="1" si="26"/>
      </c>
      <c r="Z91" s="62">
        <f t="shared" ca="1" si="27"/>
      </c>
      <c r="AA91" s="8">
        <f t="shared" ca="1" si="28"/>
      </c>
      <c r="AB91" s="9">
        <f t="shared" ca="1" si="29"/>
      </c>
      <c r="AD91" s="64">
        <f t="shared" ca="1" si="30"/>
      </c>
      <c r="AE91" s="66" cm="1">
        <f t="array" aca="1" ref="AE91" ca="1">IF($A91="","",_xlfn.XLOOKUP($A91,INDEX(BondList,0,1),INDEX(BondList,0,2)))</f>
      </c>
      <c r="AF91" s="3" cm="1">
        <f t="array" aca="1" ref="AF91" ca="1">IF($A91="","",_xlfn.XLOOKUP($A91,INDEX(BondList,0,1),INDEX(BondList,0,3)))</f>
      </c>
      <c r="AG91" s="9" cm="1">
        <f t="array" aca="1" ref="AG91" ca="1">IF($A91="","",_xlfn.XLOOKUP($A91,INDEX(BondList,0,1),INDEX(BondList,0,4)))</f>
      </c>
      <c r="AH91" s="3" cm="1">
        <f t="array" aca="1" ref="AH91" ca="1">IF($A91="","",_xlfn.XLOOKUP($A91,INDEX(BondList,0,1),INDEX(BondList,0,5)))</f>
      </c>
      <c r="AI91" s="20" cm="1">
        <f t="array" aca="1" ref="AI91" ca="1">IF($A91="","",_xlfn.XLOOKUP($B91,INDEX(SchemeTable,0,1),INDEX(SchemeTable,0,2),NA()))</f>
      </c>
      <c r="AJ91" s="3">
        <f ca="1">IF($A91="","",WORKDAY(TradeDate,1,Holidays))</f>
      </c>
      <c r="AK91" s="3">
        <f ca="1">IF($A91="","",WORKDAY($C91,$D91,Holidays))</f>
      </c>
      <c r="AL91" s="13">
        <f ca="1">IF($A91="","",NETWORKDAYS(TradeDate,$C91-1,Holidays)/252)</f>
      </c>
      <c r="AM91" s="13" cm="1">
        <f t="array" aca="1" ref="AM91" ca="1">IF($A91="","",JGB_AI($AE91,$AJ91,$AF91))</f>
      </c>
      <c r="AN91" s="13" cm="1">
        <f t="array" aca="1" ref="AN91" ca="1">IF($A91="","",JGB_AI($AE91,$AK91,$AF91))</f>
      </c>
      <c r="AO91" s="13" cm="1">
        <f t="array" aca="1" ref="AO91" ca="1">IF($A91="","",JGB_CARRY_COUPONS($AE91,$AF91,$AJ91,$AK91,$G91))</f>
      </c>
      <c r="AP91" s="13">
        <f t="shared" ca="1" si="31"/>
      </c>
      <c r="AQ91" s="9">
        <f t="shared" ca="1" si="32"/>
      </c>
      <c r="AR91" s="13">
        <f t="shared" ca="1" si="33"/>
      </c>
      <c r="AS91" s="12">
        <f t="shared" ca="1" si="34"/>
      </c>
      <c r="AT91" s="68">
        <f t="shared" ca="1" si="35"/>
      </c>
      <c r="AV91" s="66"/>
      <c r="AW91" s="13"/>
      <c r="AX91" s="12"/>
      <c r="AY91" s="1"/>
      <c r="BA91" s="9"/>
      <c r="BC91" s="12"/>
      <c r="BD91" s="64"/>
    </row>
    <row r="92" spans="1:56" x14ac:dyDescent="0.55000000000000004">
      <c r="A92" s="39"/>
      <c r="B92" s="22"/>
      <c r="C92" s="23"/>
      <c r="D92" s="24"/>
      <c r="E92" s="43"/>
      <c r="F92" s="45"/>
      <c r="G92" s="26" cm="1">
        <f t="array" aca="1" ref="G92" ca="1">IF($A92="","",IF($F92&lt;&gt;"",$F92,_xlfn.LET(_xlpm.s,_xlfn.XLOOKUP($B92,INDEX(SchemeTable,0,1),INDEX(SchemeTable,0,3),""),_xlpm.r,_xlfn.SWITCH(_xlpm.s,"Bid",IF(ISBLANK(RepoBid),"",RepoBid),"Offer",IF(ISBLANK(RepoOffer),"",RepoOffer),""),IF(_xlpm.s="","Error: set repo side for "&amp;$B92,IF(_xlpm.r="","Error: enter repo "&amp;LOWER(_xlpm.s),_xlpm.r)))))</f>
      </c>
      <c r="H92" s="27"/>
      <c r="I92" s="26">
        <f t="shared" ca="1" si="24"/>
      </c>
      <c r="J92" s="47" cm="1">
        <f t="array" aca="1" ref="J92" ca="1">IF($A92="","",JGB_PRICE($AE92,$I92,$AJ92,$AF92))</f>
      </c>
      <c r="K92" s="49"/>
      <c r="L92" s="27"/>
      <c r="M92" s="25"/>
      <c r="N92" s="27"/>
      <c r="O92" s="51"/>
      <c r="P92" s="55">
        <f t="shared" ca="1" si="25"/>
      </c>
      <c r="Q92" s="57" cm="1">
        <f t="array" aca="1" ref="Q92" ca="1">IF($A92="","",_xlfn.LET(_xlpm.n,COUNTA($K92:$O92),IF($B92="ITMBW",IF(_xlpm.n=0,"ITMBW","Error: ITMBW takes no strike input"),IF(_xlpm.n=1,_xlfn.XLOOKUP(TRUE,$K92:$O92&lt;&gt;"",{"Spot +sen","Fwd +sen","Fwd price","ATM +bp","Yield"}),IF(_xlpm.n=0,"Error: enter one strike input","Error: enter only one strike input")))))</f>
      </c>
      <c r="R92" s="26" cm="1">
        <f t="array" aca="1" ref="R92" ca="1">IF($A92="","",_xlfn.SWITCH($Q92,"Spot +sen",ROUNDDOWN(ROUND($J92+$K92/100,9),3),"Fwd +sen",ROUNDDOWN(ROUND($P92+$L92/100,9),3),"Fwd price",$M92,"ATM +bp",JGB_PRICE($AE92,$I92+$N92/100,$C92,$AF92),"Yield",JGB_PRICE($AE92,$O92,$C92,$AF92),"ITMBW",IF($BA92="",NA(),$BA92),NA()))</f>
      </c>
      <c r="S92" s="47" cm="1">
        <f t="array" aca="1" ref="S92" ca="1">IF($A92="","",JGB_YIELD($AE92,$R92,$AK92,$AF92))</f>
      </c>
      <c r="T92" s="59"/>
      <c r="U92" s="30">
        <f ca="1">IF($A92="","",IF(OR($X92&lt;&gt;"",$V92&lt;&gt;""),$W92*SQRT(VolDays),IF($T92&lt;&gt;"",$T92,$AT92)))</f>
      </c>
      <c r="V92" s="71"/>
      <c r="W92" s="31">
        <f ca="1">IF($A92="","",IF($X92&lt;&gt;"",$X92*100/(SQRT(252)*$AS92),IF($V92&lt;&gt;"",$V92,IF($T92&lt;&gt;"",$T92,$AT92)/SQRT(VolDays))))</f>
      </c>
      <c r="X92" s="73"/>
      <c r="Y92" s="61">
        <f t="shared" ca="1" si="26"/>
      </c>
      <c r="Z92" s="63">
        <f t="shared" ca="1" si="27"/>
      </c>
      <c r="AA92" s="32">
        <f t="shared" ca="1" si="28"/>
      </c>
      <c r="AB92" s="26">
        <f t="shared" ca="1" si="29"/>
      </c>
      <c r="AC92" s="16"/>
      <c r="AD92" s="65">
        <f t="shared" ca="1" si="30"/>
      </c>
      <c r="AE92" s="67" cm="1">
        <f t="array" aca="1" ref="AE92" ca="1">IF($A92="","",_xlfn.XLOOKUP($A92,INDEX(BondList,0,1),INDEX(BondList,0,2)))</f>
      </c>
      <c r="AF92" s="33" cm="1">
        <f t="array" aca="1" ref="AF92" ca="1">IF($A92="","",_xlfn.XLOOKUP($A92,INDEX(BondList,0,1),INDEX(BondList,0,3)))</f>
      </c>
      <c r="AG92" s="26" cm="1">
        <f t="array" aca="1" ref="AG92" ca="1">IF($A92="","",_xlfn.XLOOKUP($A92,INDEX(BondList,0,1),INDEX(BondList,0,4)))</f>
      </c>
      <c r="AH92" s="33" cm="1">
        <f t="array" aca="1" ref="AH92" ca="1">IF($A92="","",_xlfn.XLOOKUP($A92,INDEX(BondList,0,1),INDEX(BondList,0,5)))</f>
      </c>
      <c r="AI92" s="29" cm="1">
        <f t="array" aca="1" ref="AI92" ca="1">IF($A92="","",_xlfn.XLOOKUP($B92,INDEX(SchemeTable,0,1),INDEX(SchemeTable,0,2),NA()))</f>
      </c>
      <c r="AJ92" s="33">
        <f ca="1">IF($A92="","",WORKDAY(TradeDate,1,Holidays))</f>
      </c>
      <c r="AK92" s="33">
        <f ca="1">IF($A92="","",WORKDAY($C92,$D92,Holidays))</f>
      </c>
      <c r="AL92" s="28">
        <f ca="1">IF($A92="","",NETWORKDAYS(TradeDate,$C92-1,Holidays)/252)</f>
      </c>
      <c r="AM92" s="28" cm="1">
        <f t="array" aca="1" ref="AM92" ca="1">IF($A92="","",JGB_AI($AE92,$AJ92,$AF92))</f>
      </c>
      <c r="AN92" s="28" cm="1">
        <f t="array" aca="1" ref="AN92" ca="1">IF($A92="","",JGB_AI($AE92,$AK92,$AF92))</f>
      </c>
      <c r="AO92" s="28" cm="1">
        <f t="array" aca="1" ref="AO92" ca="1">IF($A92="","",JGB_CARRY_COUPONS($AE92,$AF92,$AJ92,$AK92,$G92))</f>
      </c>
      <c r="AP92" s="28">
        <f t="shared" ca="1" si="31"/>
      </c>
      <c r="AQ92" s="26">
        <f t="shared" ca="1" si="32"/>
      </c>
      <c r="AR92" s="28">
        <f t="shared" ca="1" si="33"/>
      </c>
      <c r="AS92" s="31">
        <f t="shared" ca="1" si="34"/>
      </c>
      <c r="AT92" s="69">
        <f t="shared" ca="1" si="35"/>
      </c>
      <c r="AV92" s="67"/>
      <c r="AW92" s="28"/>
      <c r="AX92" s="31"/>
      <c r="AY92" s="30"/>
      <c r="AZ92" s="16"/>
      <c r="BA92" s="26"/>
      <c r="BB92" s="16"/>
      <c r="BC92" s="31"/>
      <c r="BD92" s="65"/>
    </row>
    <row r="93" spans="1:56" x14ac:dyDescent="0.55000000000000004">
      <c r="A93" s="38"/>
      <c r="B93" s="4"/>
      <c r="C93" s="6"/>
      <c r="D93" s="7"/>
      <c r="E93" s="42"/>
      <c r="F93" s="44"/>
      <c r="G93" s="9" cm="1">
        <f t="array" aca="1" ref="G93" ca="1">IF($A93="","",IF($F93&lt;&gt;"",$F93,_xlfn.LET(_xlpm.s,_xlfn.XLOOKUP($B93,INDEX(SchemeTable,0,1),INDEX(SchemeTable,0,3),""),_xlpm.r,_xlfn.SWITCH(_xlpm.s,"Bid",IF(ISBLANK(RepoBid),"",RepoBid),"Offer",IF(ISBLANK(RepoOffer),"",RepoOffer),""),IF(_xlpm.s="","Error: set repo side for "&amp;$B93,IF(_xlpm.r="","Error: enter repo "&amp;LOWER(_xlpm.s),_xlpm.r)))))</f>
      </c>
      <c r="H93" s="11"/>
      <c r="I93" s="9">
        <f t="shared" ca="1" si="24"/>
      </c>
      <c r="J93" s="46" cm="1">
        <f t="array" aca="1" ref="J93" ca="1">IF($A93="","",JGB_PRICE($AE93,$I93,$AJ93,$AF93))</f>
      </c>
      <c r="K93" s="48"/>
      <c r="L93" s="11"/>
      <c r="M93" s="10"/>
      <c r="N93" s="11"/>
      <c r="O93" s="50"/>
      <c r="P93" s="54">
        <f t="shared" ca="1" si="25"/>
      </c>
      <c r="Q93" s="56" cm="1">
        <f t="array" aca="1" ref="Q93" ca="1">IF($A93="","",_xlfn.LET(_xlpm.n,COUNTA($K93:$O93),IF($B93="ITMBW",IF(_xlpm.n=0,"ITMBW","Error: ITMBW takes no strike input"),IF(_xlpm.n=1,_xlfn.XLOOKUP(TRUE,$K93:$O93&lt;&gt;"",{"Spot +sen","Fwd +sen","Fwd price","ATM +bp","Yield"}),IF(_xlpm.n=0,"Error: enter one strike input","Error: enter only one strike input")))))</f>
      </c>
      <c r="R93" s="9" cm="1">
        <f t="array" aca="1" ref="R93" ca="1">IF($A93="","",_xlfn.SWITCH($Q93,"Spot +sen",ROUNDDOWN(ROUND($J93+$K93/100,9),3),"Fwd +sen",ROUNDDOWN(ROUND($P93+$L93/100,9),3),"Fwd price",$M93,"ATM +bp",JGB_PRICE($AE93,$I93+$N93/100,$C93,$AF93),"Yield",JGB_PRICE($AE93,$O93,$C93,$AF93),"ITMBW",IF($BA93="",NA(),$BA93),NA()))</f>
      </c>
      <c r="S93" s="46" cm="1">
        <f t="array" aca="1" ref="S93" ca="1">IF($A93="","",JGB_YIELD($AE93,$R93,$AK93,$AF93))</f>
      </c>
      <c r="T93" s="58"/>
      <c r="U93" s="1">
        <f ca="1">IF($A93="","",IF(OR($X93&lt;&gt;"",$V93&lt;&gt;""),$W93*SQRT(VolDays),IF($T93&lt;&gt;"",$T93,$AT93)))</f>
      </c>
      <c r="V93" s="70"/>
      <c r="W93" s="12">
        <f ca="1">IF($A93="","",IF($X93&lt;&gt;"",$X93*100/(SQRT(252)*$AS93),IF($V93&lt;&gt;"",$V93,IF($T93&lt;&gt;"",$T93,$AT93)/SQRT(VolDays))))</f>
      </c>
      <c r="X93" s="72"/>
      <c r="Y93" s="60">
        <f t="shared" ca="1" si="26"/>
      </c>
      <c r="Z93" s="62">
        <f t="shared" ca="1" si="27"/>
      </c>
      <c r="AA93" s="8">
        <f t="shared" ca="1" si="28"/>
      </c>
      <c r="AB93" s="9">
        <f t="shared" ca="1" si="29"/>
      </c>
      <c r="AD93" s="64">
        <f t="shared" ca="1" si="30"/>
      </c>
      <c r="AE93" s="66" cm="1">
        <f t="array" aca="1" ref="AE93" ca="1">IF($A93="","",_xlfn.XLOOKUP($A93,INDEX(BondList,0,1),INDEX(BondList,0,2)))</f>
      </c>
      <c r="AF93" s="3" cm="1">
        <f t="array" aca="1" ref="AF93" ca="1">IF($A93="","",_xlfn.XLOOKUP($A93,INDEX(BondList,0,1),INDEX(BondList,0,3)))</f>
      </c>
      <c r="AG93" s="9" cm="1">
        <f t="array" aca="1" ref="AG93" ca="1">IF($A93="","",_xlfn.XLOOKUP($A93,INDEX(BondList,0,1),INDEX(BondList,0,4)))</f>
      </c>
      <c r="AH93" s="3" cm="1">
        <f t="array" aca="1" ref="AH93" ca="1">IF($A93="","",_xlfn.XLOOKUP($A93,INDEX(BondList,0,1),INDEX(BondList,0,5)))</f>
      </c>
      <c r="AI93" s="20" cm="1">
        <f t="array" aca="1" ref="AI93" ca="1">IF($A93="","",_xlfn.XLOOKUP($B93,INDEX(SchemeTable,0,1),INDEX(SchemeTable,0,2),NA()))</f>
      </c>
      <c r="AJ93" s="3">
        <f ca="1">IF($A93="","",WORKDAY(TradeDate,1,Holidays))</f>
      </c>
      <c r="AK93" s="3">
        <f ca="1">IF($A93="","",WORKDAY($C93,$D93,Holidays))</f>
      </c>
      <c r="AL93" s="13">
        <f ca="1">IF($A93="","",NETWORKDAYS(TradeDate,$C93-1,Holidays)/252)</f>
      </c>
      <c r="AM93" s="13" cm="1">
        <f t="array" aca="1" ref="AM93" ca="1">IF($A93="","",JGB_AI($AE93,$AJ93,$AF93))</f>
      </c>
      <c r="AN93" s="13" cm="1">
        <f t="array" aca="1" ref="AN93" ca="1">IF($A93="","",JGB_AI($AE93,$AK93,$AF93))</f>
      </c>
      <c r="AO93" s="13" cm="1">
        <f t="array" aca="1" ref="AO93" ca="1">IF($A93="","",JGB_CARRY_COUPONS($AE93,$AF93,$AJ93,$AK93,$G93))</f>
      </c>
      <c r="AP93" s="13">
        <f t="shared" ca="1" si="31"/>
      </c>
      <c r="AQ93" s="9">
        <f t="shared" ca="1" si="32"/>
      </c>
      <c r="AR93" s="13">
        <f t="shared" ca="1" si="33"/>
      </c>
      <c r="AS93" s="12">
        <f t="shared" ca="1" si="34"/>
      </c>
      <c r="AT93" s="68">
        <f t="shared" ca="1" si="35"/>
      </c>
      <c r="AV93" s="66"/>
      <c r="AW93" s="13"/>
      <c r="AX93" s="12"/>
      <c r="AY93" s="1"/>
      <c r="BA93" s="9"/>
      <c r="BC93" s="12"/>
      <c r="BD93" s="64"/>
    </row>
    <row r="94" spans="1:56" x14ac:dyDescent="0.55000000000000004">
      <c r="A94" s="38"/>
      <c r="B94" s="4"/>
      <c r="C94" s="6"/>
      <c r="D94" s="7"/>
      <c r="E94" s="42"/>
      <c r="F94" s="44"/>
      <c r="G94" s="9" cm="1">
        <f t="array" aca="1" ref="G94" ca="1">IF($A94="","",IF($F94&lt;&gt;"",$F94,_xlfn.LET(_xlpm.s,_xlfn.XLOOKUP($B94,INDEX(SchemeTable,0,1),INDEX(SchemeTable,0,3),""),_xlpm.r,_xlfn.SWITCH(_xlpm.s,"Bid",IF(ISBLANK(RepoBid),"",RepoBid),"Offer",IF(ISBLANK(RepoOffer),"",RepoOffer),""),IF(_xlpm.s="","Error: set repo side for "&amp;$B94,IF(_xlpm.r="","Error: enter repo "&amp;LOWER(_xlpm.s),_xlpm.r)))))</f>
      </c>
      <c r="H94" s="11"/>
      <c r="I94" s="9">
        <f t="shared" ca="1" si="24"/>
      </c>
      <c r="J94" s="46" cm="1">
        <f t="array" aca="1" ref="J94" ca="1">IF($A94="","",JGB_PRICE($AE94,$I94,$AJ94,$AF94))</f>
      </c>
      <c r="K94" s="48"/>
      <c r="L94" s="11"/>
      <c r="M94" s="10"/>
      <c r="N94" s="11"/>
      <c r="O94" s="50"/>
      <c r="P94" s="54">
        <f t="shared" ca="1" si="25"/>
      </c>
      <c r="Q94" s="56" cm="1">
        <f t="array" aca="1" ref="Q94" ca="1">IF($A94="","",_xlfn.LET(_xlpm.n,COUNTA($K94:$O94),IF($B94="ITMBW",IF(_xlpm.n=0,"ITMBW","Error: ITMBW takes no strike input"),IF(_xlpm.n=1,_xlfn.XLOOKUP(TRUE,$K94:$O94&lt;&gt;"",{"Spot +sen","Fwd +sen","Fwd price","ATM +bp","Yield"}),IF(_xlpm.n=0,"Error: enter one strike input","Error: enter only one strike input")))))</f>
      </c>
      <c r="R94" s="9" cm="1">
        <f t="array" aca="1" ref="R94" ca="1">IF($A94="","",_xlfn.SWITCH($Q94,"Spot +sen",ROUNDDOWN(ROUND($J94+$K94/100,9),3),"Fwd +sen",ROUNDDOWN(ROUND($P94+$L94/100,9),3),"Fwd price",$M94,"ATM +bp",JGB_PRICE($AE94,$I94+$N94/100,$C94,$AF94),"Yield",JGB_PRICE($AE94,$O94,$C94,$AF94),"ITMBW",IF($BA94="",NA(),$BA94),NA()))</f>
      </c>
      <c r="S94" s="46" cm="1">
        <f t="array" aca="1" ref="S94" ca="1">IF($A94="","",JGB_YIELD($AE94,$R94,$AK94,$AF94))</f>
      </c>
      <c r="T94" s="58"/>
      <c r="U94" s="1">
        <f ca="1">IF($A94="","",IF(OR($X94&lt;&gt;"",$V94&lt;&gt;""),$W94*SQRT(VolDays),IF($T94&lt;&gt;"",$T94,$AT94)))</f>
      </c>
      <c r="V94" s="70"/>
      <c r="W94" s="12">
        <f ca="1">IF($A94="","",IF($X94&lt;&gt;"",$X94*100/(SQRT(252)*$AS94),IF($V94&lt;&gt;"",$V94,IF($T94&lt;&gt;"",$T94,$AT94)/SQRT(VolDays))))</f>
      </c>
      <c r="X94" s="72"/>
      <c r="Y94" s="60">
        <f t="shared" ca="1" si="26"/>
      </c>
      <c r="Z94" s="62">
        <f t="shared" ca="1" si="27"/>
      </c>
      <c r="AA94" s="8">
        <f t="shared" ca="1" si="28"/>
      </c>
      <c r="AB94" s="9">
        <f t="shared" ca="1" si="29"/>
      </c>
      <c r="AD94" s="64">
        <f t="shared" ca="1" si="30"/>
      </c>
      <c r="AE94" s="66" cm="1">
        <f t="array" aca="1" ref="AE94" ca="1">IF($A94="","",_xlfn.XLOOKUP($A94,INDEX(BondList,0,1),INDEX(BondList,0,2)))</f>
      </c>
      <c r="AF94" s="3" cm="1">
        <f t="array" aca="1" ref="AF94" ca="1">IF($A94="","",_xlfn.XLOOKUP($A94,INDEX(BondList,0,1),INDEX(BondList,0,3)))</f>
      </c>
      <c r="AG94" s="9" cm="1">
        <f t="array" aca="1" ref="AG94" ca="1">IF($A94="","",_xlfn.XLOOKUP($A94,INDEX(BondList,0,1),INDEX(BondList,0,4)))</f>
      </c>
      <c r="AH94" s="3" cm="1">
        <f t="array" aca="1" ref="AH94" ca="1">IF($A94="","",_xlfn.XLOOKUP($A94,INDEX(BondList,0,1),INDEX(BondList,0,5)))</f>
      </c>
      <c r="AI94" s="20" cm="1">
        <f t="array" aca="1" ref="AI94" ca="1">IF($A94="","",_xlfn.XLOOKUP($B94,INDEX(SchemeTable,0,1),INDEX(SchemeTable,0,2),NA()))</f>
      </c>
      <c r="AJ94" s="3">
        <f ca="1">IF($A94="","",WORKDAY(TradeDate,1,Holidays))</f>
      </c>
      <c r="AK94" s="3">
        <f ca="1">IF($A94="","",WORKDAY($C94,$D94,Holidays))</f>
      </c>
      <c r="AL94" s="13">
        <f ca="1">IF($A94="","",NETWORKDAYS(TradeDate,$C94-1,Holidays)/252)</f>
      </c>
      <c r="AM94" s="13" cm="1">
        <f t="array" aca="1" ref="AM94" ca="1">IF($A94="","",JGB_AI($AE94,$AJ94,$AF94))</f>
      </c>
      <c r="AN94" s="13" cm="1">
        <f t="array" aca="1" ref="AN94" ca="1">IF($A94="","",JGB_AI($AE94,$AK94,$AF94))</f>
      </c>
      <c r="AO94" s="13" cm="1">
        <f t="array" aca="1" ref="AO94" ca="1">IF($A94="","",JGB_CARRY_COUPONS($AE94,$AF94,$AJ94,$AK94,$G94))</f>
      </c>
      <c r="AP94" s="13">
        <f t="shared" ca="1" si="31"/>
      </c>
      <c r="AQ94" s="9">
        <f t="shared" ca="1" si="32"/>
      </c>
      <c r="AR94" s="13">
        <f t="shared" ca="1" si="33"/>
      </c>
      <c r="AS94" s="12">
        <f t="shared" ca="1" si="34"/>
      </c>
      <c r="AT94" s="68">
        <f t="shared" ca="1" si="35"/>
      </c>
      <c r="AV94" s="66"/>
      <c r="AW94" s="13"/>
      <c r="AX94" s="12"/>
      <c r="AY94" s="1"/>
      <c r="BA94" s="9"/>
      <c r="BC94" s="12"/>
      <c r="BD94" s="64"/>
    </row>
    <row r="95" spans="1:56" x14ac:dyDescent="0.55000000000000004">
      <c r="A95" s="38"/>
      <c r="B95" s="4"/>
      <c r="C95" s="6"/>
      <c r="D95" s="7"/>
      <c r="E95" s="42"/>
      <c r="F95" s="44"/>
      <c r="G95" s="9" cm="1">
        <f t="array" aca="1" ref="G95" ca="1">IF($A95="","",IF($F95&lt;&gt;"",$F95,_xlfn.LET(_xlpm.s,_xlfn.XLOOKUP($B95,INDEX(SchemeTable,0,1),INDEX(SchemeTable,0,3),""),_xlpm.r,_xlfn.SWITCH(_xlpm.s,"Bid",IF(ISBLANK(RepoBid),"",RepoBid),"Offer",IF(ISBLANK(RepoOffer),"",RepoOffer),""),IF(_xlpm.s="","Error: set repo side for "&amp;$B95,IF(_xlpm.r="","Error: enter repo "&amp;LOWER(_xlpm.s),_xlpm.r)))))</f>
      </c>
      <c r="H95" s="11"/>
      <c r="I95" s="9">
        <f t="shared" ca="1" si="24"/>
      </c>
      <c r="J95" s="46" cm="1">
        <f t="array" aca="1" ref="J95" ca="1">IF($A95="","",JGB_PRICE($AE95,$I95,$AJ95,$AF95))</f>
      </c>
      <c r="K95" s="48"/>
      <c r="L95" s="11"/>
      <c r="M95" s="10"/>
      <c r="N95" s="11"/>
      <c r="O95" s="50"/>
      <c r="P95" s="54">
        <f t="shared" ca="1" si="25"/>
      </c>
      <c r="Q95" s="56" cm="1">
        <f t="array" aca="1" ref="Q95" ca="1">IF($A95="","",_xlfn.LET(_xlpm.n,COUNTA($K95:$O95),IF($B95="ITMBW",IF(_xlpm.n=0,"ITMBW","Error: ITMBW takes no strike input"),IF(_xlpm.n=1,_xlfn.XLOOKUP(TRUE,$K95:$O95&lt;&gt;"",{"Spot +sen","Fwd +sen","Fwd price","ATM +bp","Yield"}),IF(_xlpm.n=0,"Error: enter one strike input","Error: enter only one strike input")))))</f>
      </c>
      <c r="R95" s="9" cm="1">
        <f t="array" aca="1" ref="R95" ca="1">IF($A95="","",_xlfn.SWITCH($Q95,"Spot +sen",ROUNDDOWN(ROUND($J95+$K95/100,9),3),"Fwd +sen",ROUNDDOWN(ROUND($P95+$L95/100,9),3),"Fwd price",$M95,"ATM +bp",JGB_PRICE($AE95,$I95+$N95/100,$C95,$AF95),"Yield",JGB_PRICE($AE95,$O95,$C95,$AF95),"ITMBW",IF($BA95="",NA(),$BA95),NA()))</f>
      </c>
      <c r="S95" s="46" cm="1">
        <f t="array" aca="1" ref="S95" ca="1">IF($A95="","",JGB_YIELD($AE95,$R95,$AK95,$AF95))</f>
      </c>
      <c r="T95" s="58"/>
      <c r="U95" s="1">
        <f ca="1">IF($A95="","",IF(OR($X95&lt;&gt;"",$V95&lt;&gt;""),$W95*SQRT(VolDays),IF($T95&lt;&gt;"",$T95,$AT95)))</f>
      </c>
      <c r="V95" s="70"/>
      <c r="W95" s="12">
        <f ca="1">IF($A95="","",IF($X95&lt;&gt;"",$X95*100/(SQRT(252)*$AS95),IF($V95&lt;&gt;"",$V95,IF($T95&lt;&gt;"",$T95,$AT95)/SQRT(VolDays))))</f>
      </c>
      <c r="X95" s="72"/>
      <c r="Y95" s="60">
        <f t="shared" ca="1" si="26"/>
      </c>
      <c r="Z95" s="62">
        <f t="shared" ca="1" si="27"/>
      </c>
      <c r="AA95" s="8">
        <f t="shared" ca="1" si="28"/>
      </c>
      <c r="AB95" s="9">
        <f t="shared" ca="1" si="29"/>
      </c>
      <c r="AD95" s="64">
        <f t="shared" ca="1" si="30"/>
      </c>
      <c r="AE95" s="66" cm="1">
        <f t="array" aca="1" ref="AE95" ca="1">IF($A95="","",_xlfn.XLOOKUP($A95,INDEX(BondList,0,1),INDEX(BondList,0,2)))</f>
      </c>
      <c r="AF95" s="3" cm="1">
        <f t="array" aca="1" ref="AF95" ca="1">IF($A95="","",_xlfn.XLOOKUP($A95,INDEX(BondList,0,1),INDEX(BondList,0,3)))</f>
      </c>
      <c r="AG95" s="9" cm="1">
        <f t="array" aca="1" ref="AG95" ca="1">IF($A95="","",_xlfn.XLOOKUP($A95,INDEX(BondList,0,1),INDEX(BondList,0,4)))</f>
      </c>
      <c r="AH95" s="3" cm="1">
        <f t="array" aca="1" ref="AH95" ca="1">IF($A95="","",_xlfn.XLOOKUP($A95,INDEX(BondList,0,1),INDEX(BondList,0,5)))</f>
      </c>
      <c r="AI95" s="20" cm="1">
        <f t="array" aca="1" ref="AI95" ca="1">IF($A95="","",_xlfn.XLOOKUP($B95,INDEX(SchemeTable,0,1),INDEX(SchemeTable,0,2),NA()))</f>
      </c>
      <c r="AJ95" s="3">
        <f ca="1">IF($A95="","",WORKDAY(TradeDate,1,Holidays))</f>
      </c>
      <c r="AK95" s="3">
        <f ca="1">IF($A95="","",WORKDAY($C95,$D95,Holidays))</f>
      </c>
      <c r="AL95" s="13">
        <f ca="1">IF($A95="","",NETWORKDAYS(TradeDate,$C95-1,Holidays)/252)</f>
      </c>
      <c r="AM95" s="13" cm="1">
        <f t="array" aca="1" ref="AM95" ca="1">IF($A95="","",JGB_AI($AE95,$AJ95,$AF95))</f>
      </c>
      <c r="AN95" s="13" cm="1">
        <f t="array" aca="1" ref="AN95" ca="1">IF($A95="","",JGB_AI($AE95,$AK95,$AF95))</f>
      </c>
      <c r="AO95" s="13" cm="1">
        <f t="array" aca="1" ref="AO95" ca="1">IF($A95="","",JGB_CARRY_COUPONS($AE95,$AF95,$AJ95,$AK95,$G95))</f>
      </c>
      <c r="AP95" s="13">
        <f t="shared" ca="1" si="31"/>
      </c>
      <c r="AQ95" s="9">
        <f t="shared" ca="1" si="32"/>
      </c>
      <c r="AR95" s="13">
        <f t="shared" ca="1" si="33"/>
      </c>
      <c r="AS95" s="12">
        <f t="shared" ca="1" si="34"/>
      </c>
      <c r="AT95" s="68">
        <f t="shared" ca="1" si="35"/>
      </c>
      <c r="AV95" s="66"/>
      <c r="AW95" s="13"/>
      <c r="AX95" s="12"/>
      <c r="AY95" s="1"/>
      <c r="BA95" s="9"/>
      <c r="BC95" s="12"/>
      <c r="BD95" s="64"/>
    </row>
    <row r="96" spans="1:56" x14ac:dyDescent="0.55000000000000004">
      <c r="A96" s="38"/>
      <c r="B96" s="4"/>
      <c r="C96" s="6"/>
      <c r="D96" s="7"/>
      <c r="E96" s="42"/>
      <c r="F96" s="44"/>
      <c r="G96" s="9" cm="1">
        <f t="array" aca="1" ref="G96" ca="1">IF($A96="","",IF($F96&lt;&gt;"",$F96,_xlfn.LET(_xlpm.s,_xlfn.XLOOKUP($B96,INDEX(SchemeTable,0,1),INDEX(SchemeTable,0,3),""),_xlpm.r,_xlfn.SWITCH(_xlpm.s,"Bid",IF(ISBLANK(RepoBid),"",RepoBid),"Offer",IF(ISBLANK(RepoOffer),"",RepoOffer),""),IF(_xlpm.s="","Error: set repo side for "&amp;$B96,IF(_xlpm.r="","Error: enter repo "&amp;LOWER(_xlpm.s),_xlpm.r)))))</f>
      </c>
      <c r="H96" s="11"/>
      <c r="I96" s="9">
        <f t="shared" ca="1" si="24"/>
      </c>
      <c r="J96" s="46" cm="1">
        <f t="array" aca="1" ref="J96" ca="1">IF($A96="","",JGB_PRICE($AE96,$I96,$AJ96,$AF96))</f>
      </c>
      <c r="K96" s="48"/>
      <c r="L96" s="11"/>
      <c r="M96" s="10"/>
      <c r="N96" s="11"/>
      <c r="O96" s="50"/>
      <c r="P96" s="54">
        <f t="shared" ca="1" si="25"/>
      </c>
      <c r="Q96" s="56" cm="1">
        <f t="array" aca="1" ref="Q96" ca="1">IF($A96="","",_xlfn.LET(_xlpm.n,COUNTA($K96:$O96),IF($B96="ITMBW",IF(_xlpm.n=0,"ITMBW","Error: ITMBW takes no strike input"),IF(_xlpm.n=1,_xlfn.XLOOKUP(TRUE,$K96:$O96&lt;&gt;"",{"Spot +sen","Fwd +sen","Fwd price","ATM +bp","Yield"}),IF(_xlpm.n=0,"Error: enter one strike input","Error: enter only one strike input")))))</f>
      </c>
      <c r="R96" s="9" cm="1">
        <f t="array" aca="1" ref="R96" ca="1">IF($A96="","",_xlfn.SWITCH($Q96,"Spot +sen",ROUNDDOWN(ROUND($J96+$K96/100,9),3),"Fwd +sen",ROUNDDOWN(ROUND($P96+$L96/100,9),3),"Fwd price",$M96,"ATM +bp",JGB_PRICE($AE96,$I96+$N96/100,$C96,$AF96),"Yield",JGB_PRICE($AE96,$O96,$C96,$AF96),"ITMBW",IF($BA96="",NA(),$BA96),NA()))</f>
      </c>
      <c r="S96" s="46" cm="1">
        <f t="array" aca="1" ref="S96" ca="1">IF($A96="","",JGB_YIELD($AE96,$R96,$AK96,$AF96))</f>
      </c>
      <c r="T96" s="58"/>
      <c r="U96" s="1">
        <f ca="1">IF($A96="","",IF(OR($X96&lt;&gt;"",$V96&lt;&gt;""),$W96*SQRT(VolDays),IF($T96&lt;&gt;"",$T96,$AT96)))</f>
      </c>
      <c r="V96" s="70"/>
      <c r="W96" s="12">
        <f ca="1">IF($A96="","",IF($X96&lt;&gt;"",$X96*100/(SQRT(252)*$AS96),IF($V96&lt;&gt;"",$V96,IF($T96&lt;&gt;"",$T96,$AT96)/SQRT(VolDays))))</f>
      </c>
      <c r="X96" s="72"/>
      <c r="Y96" s="60">
        <f t="shared" ca="1" si="26"/>
      </c>
      <c r="Z96" s="62">
        <f t="shared" ca="1" si="27"/>
      </c>
      <c r="AA96" s="8">
        <f t="shared" ca="1" si="28"/>
      </c>
      <c r="AB96" s="9">
        <f t="shared" ca="1" si="29"/>
      </c>
      <c r="AD96" s="64">
        <f t="shared" ca="1" si="30"/>
      </c>
      <c r="AE96" s="66" cm="1">
        <f t="array" aca="1" ref="AE96" ca="1">IF($A96="","",_xlfn.XLOOKUP($A96,INDEX(BondList,0,1),INDEX(BondList,0,2)))</f>
      </c>
      <c r="AF96" s="3" cm="1">
        <f t="array" aca="1" ref="AF96" ca="1">IF($A96="","",_xlfn.XLOOKUP($A96,INDEX(BondList,0,1),INDEX(BondList,0,3)))</f>
      </c>
      <c r="AG96" s="9" cm="1">
        <f t="array" aca="1" ref="AG96" ca="1">IF($A96="","",_xlfn.XLOOKUP($A96,INDEX(BondList,0,1),INDEX(BondList,0,4)))</f>
      </c>
      <c r="AH96" s="3" cm="1">
        <f t="array" aca="1" ref="AH96" ca="1">IF($A96="","",_xlfn.XLOOKUP($A96,INDEX(BondList,0,1),INDEX(BondList,0,5)))</f>
      </c>
      <c r="AI96" s="20" cm="1">
        <f t="array" aca="1" ref="AI96" ca="1">IF($A96="","",_xlfn.XLOOKUP($B96,INDEX(SchemeTable,0,1),INDEX(SchemeTable,0,2),NA()))</f>
      </c>
      <c r="AJ96" s="3">
        <f ca="1">IF($A96="","",WORKDAY(TradeDate,1,Holidays))</f>
      </c>
      <c r="AK96" s="3">
        <f ca="1">IF($A96="","",WORKDAY($C96,$D96,Holidays))</f>
      </c>
      <c r="AL96" s="13">
        <f ca="1">IF($A96="","",NETWORKDAYS(TradeDate,$C96-1,Holidays)/252)</f>
      </c>
      <c r="AM96" s="13" cm="1">
        <f t="array" aca="1" ref="AM96" ca="1">IF($A96="","",JGB_AI($AE96,$AJ96,$AF96))</f>
      </c>
      <c r="AN96" s="13" cm="1">
        <f t="array" aca="1" ref="AN96" ca="1">IF($A96="","",JGB_AI($AE96,$AK96,$AF96))</f>
      </c>
      <c r="AO96" s="13" cm="1">
        <f t="array" aca="1" ref="AO96" ca="1">IF($A96="","",JGB_CARRY_COUPONS($AE96,$AF96,$AJ96,$AK96,$G96))</f>
      </c>
      <c r="AP96" s="13">
        <f t="shared" ca="1" si="31"/>
      </c>
      <c r="AQ96" s="9">
        <f t="shared" ca="1" si="32"/>
      </c>
      <c r="AR96" s="13">
        <f t="shared" ca="1" si="33"/>
      </c>
      <c r="AS96" s="12">
        <f t="shared" ca="1" si="34"/>
      </c>
      <c r="AT96" s="68">
        <f t="shared" ca="1" si="35"/>
      </c>
      <c r="AV96" s="66"/>
      <c r="AW96" s="13"/>
      <c r="AX96" s="12"/>
      <c r="AY96" s="1"/>
      <c r="BA96" s="9"/>
      <c r="BC96" s="12"/>
      <c r="BD96" s="64"/>
    </row>
    <row r="97" spans="1:56" x14ac:dyDescent="0.55000000000000004">
      <c r="A97" s="39"/>
      <c r="B97" s="22"/>
      <c r="C97" s="23"/>
      <c r="D97" s="24"/>
      <c r="E97" s="43"/>
      <c r="F97" s="45"/>
      <c r="G97" s="26" cm="1">
        <f t="array" aca="1" ref="G97" ca="1">IF($A97="","",IF($F97&lt;&gt;"",$F97,_xlfn.LET(_xlpm.s,_xlfn.XLOOKUP($B97,INDEX(SchemeTable,0,1),INDEX(SchemeTable,0,3),""),_xlpm.r,_xlfn.SWITCH(_xlpm.s,"Bid",IF(ISBLANK(RepoBid),"",RepoBid),"Offer",IF(ISBLANK(RepoOffer),"",RepoOffer),""),IF(_xlpm.s="","Error: set repo side for "&amp;$B97,IF(_xlpm.r="","Error: enter repo "&amp;LOWER(_xlpm.s),_xlpm.r)))))</f>
      </c>
      <c r="H97" s="27"/>
      <c r="I97" s="26">
        <f t="shared" ca="1" si="24"/>
      </c>
      <c r="J97" s="47" cm="1">
        <f t="array" aca="1" ref="J97" ca="1">IF($A97="","",JGB_PRICE($AE97,$I97,$AJ97,$AF97))</f>
      </c>
      <c r="K97" s="49"/>
      <c r="L97" s="27"/>
      <c r="M97" s="25"/>
      <c r="N97" s="27"/>
      <c r="O97" s="51"/>
      <c r="P97" s="55">
        <f t="shared" ca="1" si="25"/>
      </c>
      <c r="Q97" s="57" cm="1">
        <f t="array" aca="1" ref="Q97" ca="1">IF($A97="","",_xlfn.LET(_xlpm.n,COUNTA($K97:$O97),IF($B97="ITMBW",IF(_xlpm.n=0,"ITMBW","Error: ITMBW takes no strike input"),IF(_xlpm.n=1,_xlfn.XLOOKUP(TRUE,$K97:$O97&lt;&gt;"",{"Spot +sen","Fwd +sen","Fwd price","ATM +bp","Yield"}),IF(_xlpm.n=0,"Error: enter one strike input","Error: enter only one strike input")))))</f>
      </c>
      <c r="R97" s="26" cm="1">
        <f t="array" aca="1" ref="R97" ca="1">IF($A97="","",_xlfn.SWITCH($Q97,"Spot +sen",ROUNDDOWN(ROUND($J97+$K97/100,9),3),"Fwd +sen",ROUNDDOWN(ROUND($P97+$L97/100,9),3),"Fwd price",$M97,"ATM +bp",JGB_PRICE($AE97,$I97+$N97/100,$C97,$AF97),"Yield",JGB_PRICE($AE97,$O97,$C97,$AF97),"ITMBW",IF($BA97="",NA(),$BA97),NA()))</f>
      </c>
      <c r="S97" s="47" cm="1">
        <f t="array" aca="1" ref="S97" ca="1">IF($A97="","",JGB_YIELD($AE97,$R97,$AK97,$AF97))</f>
      </c>
      <c r="T97" s="59"/>
      <c r="U97" s="30">
        <f ca="1">IF($A97="","",IF(OR($X97&lt;&gt;"",$V97&lt;&gt;""),$W97*SQRT(VolDays),IF($T97&lt;&gt;"",$T97,$AT97)))</f>
      </c>
      <c r="V97" s="71"/>
      <c r="W97" s="31">
        <f ca="1">IF($A97="","",IF($X97&lt;&gt;"",$X97*100/(SQRT(252)*$AS97),IF($V97&lt;&gt;"",$V97,IF($T97&lt;&gt;"",$T97,$AT97)/SQRT(VolDays))))</f>
      </c>
      <c r="X97" s="73"/>
      <c r="Y97" s="61">
        <f t="shared" ca="1" si="26"/>
      </c>
      <c r="Z97" s="63">
        <f t="shared" ca="1" si="27"/>
      </c>
      <c r="AA97" s="32">
        <f t="shared" ca="1" si="28"/>
      </c>
      <c r="AB97" s="26">
        <f t="shared" ca="1" si="29"/>
      </c>
      <c r="AC97" s="16"/>
      <c r="AD97" s="65">
        <f t="shared" ca="1" si="30"/>
      </c>
      <c r="AE97" s="67" cm="1">
        <f t="array" aca="1" ref="AE97" ca="1">IF($A97="","",_xlfn.XLOOKUP($A97,INDEX(BondList,0,1),INDEX(BondList,0,2)))</f>
      </c>
      <c r="AF97" s="33" cm="1">
        <f t="array" aca="1" ref="AF97" ca="1">IF($A97="","",_xlfn.XLOOKUP($A97,INDEX(BondList,0,1),INDEX(BondList,0,3)))</f>
      </c>
      <c r="AG97" s="26" cm="1">
        <f t="array" aca="1" ref="AG97" ca="1">IF($A97="","",_xlfn.XLOOKUP($A97,INDEX(BondList,0,1),INDEX(BondList,0,4)))</f>
      </c>
      <c r="AH97" s="33" cm="1">
        <f t="array" aca="1" ref="AH97" ca="1">IF($A97="","",_xlfn.XLOOKUP($A97,INDEX(BondList,0,1),INDEX(BondList,0,5)))</f>
      </c>
      <c r="AI97" s="29" cm="1">
        <f t="array" aca="1" ref="AI97" ca="1">IF($A97="","",_xlfn.XLOOKUP($B97,INDEX(SchemeTable,0,1),INDEX(SchemeTable,0,2),NA()))</f>
      </c>
      <c r="AJ97" s="33">
        <f ca="1">IF($A97="","",WORKDAY(TradeDate,1,Holidays))</f>
      </c>
      <c r="AK97" s="33">
        <f ca="1">IF($A97="","",WORKDAY($C97,$D97,Holidays))</f>
      </c>
      <c r="AL97" s="28">
        <f ca="1">IF($A97="","",NETWORKDAYS(TradeDate,$C97-1,Holidays)/252)</f>
      </c>
      <c r="AM97" s="28" cm="1">
        <f t="array" aca="1" ref="AM97" ca="1">IF($A97="","",JGB_AI($AE97,$AJ97,$AF97))</f>
      </c>
      <c r="AN97" s="28" cm="1">
        <f t="array" aca="1" ref="AN97" ca="1">IF($A97="","",JGB_AI($AE97,$AK97,$AF97))</f>
      </c>
      <c r="AO97" s="28" cm="1">
        <f t="array" aca="1" ref="AO97" ca="1">IF($A97="","",JGB_CARRY_COUPONS($AE97,$AF97,$AJ97,$AK97,$G97))</f>
      </c>
      <c r="AP97" s="28">
        <f t="shared" ca="1" si="31"/>
      </c>
      <c r="AQ97" s="26">
        <f t="shared" ca="1" si="32"/>
      </c>
      <c r="AR97" s="28">
        <f t="shared" ca="1" si="33"/>
      </c>
      <c r="AS97" s="31">
        <f t="shared" ca="1" si="34"/>
      </c>
      <c r="AT97" s="69">
        <f t="shared" ca="1" si="35"/>
      </c>
      <c r="AV97" s="67"/>
      <c r="AW97" s="28"/>
      <c r="AX97" s="31"/>
      <c r="AY97" s="30"/>
      <c r="AZ97" s="16"/>
      <c r="BA97" s="26"/>
      <c r="BB97" s="16"/>
      <c r="BC97" s="31"/>
      <c r="BD97" s="65"/>
    </row>
    <row r="98" spans="1:56" x14ac:dyDescent="0.55000000000000004">
      <c r="A98" s="38"/>
      <c r="B98" s="4"/>
      <c r="C98" s="6"/>
      <c r="D98" s="7"/>
      <c r="E98" s="42"/>
      <c r="F98" s="44"/>
      <c r="G98" s="9" cm="1">
        <f t="array" aca="1" ref="G98" ca="1">IF($A98="","",IF($F98&lt;&gt;"",$F98,_xlfn.LET(_xlpm.s,_xlfn.XLOOKUP($B98,INDEX(SchemeTable,0,1),INDEX(SchemeTable,0,3),""),_xlpm.r,_xlfn.SWITCH(_xlpm.s,"Bid",IF(ISBLANK(RepoBid),"",RepoBid),"Offer",IF(ISBLANK(RepoOffer),"",RepoOffer),""),IF(_xlpm.s="","Error: set repo side for "&amp;$B98,IF(_xlpm.r="","Error: enter repo "&amp;LOWER(_xlpm.s),_xlpm.r)))))</f>
      </c>
      <c r="H98" s="11"/>
      <c r="I98" s="9">
        <f t="shared" ca="1" si="24"/>
      </c>
      <c r="J98" s="46" cm="1">
        <f t="array" aca="1" ref="J98" ca="1">IF($A98="","",JGB_PRICE($AE98,$I98,$AJ98,$AF98))</f>
      </c>
      <c r="K98" s="48"/>
      <c r="L98" s="11"/>
      <c r="M98" s="10"/>
      <c r="N98" s="11"/>
      <c r="O98" s="50"/>
      <c r="P98" s="54">
        <f t="shared" ca="1" si="25"/>
      </c>
      <c r="Q98" s="56" cm="1">
        <f t="array" aca="1" ref="Q98" ca="1">IF($A98="","",_xlfn.LET(_xlpm.n,COUNTA($K98:$O98),IF($B98="ITMBW",IF(_xlpm.n=0,"ITMBW","Error: ITMBW takes no strike input"),IF(_xlpm.n=1,_xlfn.XLOOKUP(TRUE,$K98:$O98&lt;&gt;"",{"Spot +sen","Fwd +sen","Fwd price","ATM +bp","Yield"}),IF(_xlpm.n=0,"Error: enter one strike input","Error: enter only one strike input")))))</f>
      </c>
      <c r="R98" s="9" cm="1">
        <f t="array" aca="1" ref="R98" ca="1">IF($A98="","",_xlfn.SWITCH($Q98,"Spot +sen",ROUNDDOWN(ROUND($J98+$K98/100,9),3),"Fwd +sen",ROUNDDOWN(ROUND($P98+$L98/100,9),3),"Fwd price",$M98,"ATM +bp",JGB_PRICE($AE98,$I98+$N98/100,$C98,$AF98),"Yield",JGB_PRICE($AE98,$O98,$C98,$AF98),"ITMBW",IF($BA98="",NA(),$BA98),NA()))</f>
      </c>
      <c r="S98" s="46" cm="1">
        <f t="array" aca="1" ref="S98" ca="1">IF($A98="","",JGB_YIELD($AE98,$R98,$AK98,$AF98))</f>
      </c>
      <c r="T98" s="58"/>
      <c r="U98" s="1">
        <f ca="1">IF($A98="","",IF(OR($X98&lt;&gt;"",$V98&lt;&gt;""),$W98*SQRT(VolDays),IF($T98&lt;&gt;"",$T98,$AT98)))</f>
      </c>
      <c r="V98" s="70"/>
      <c r="W98" s="12">
        <f ca="1">IF($A98="","",IF($X98&lt;&gt;"",$X98*100/(SQRT(252)*$AS98),IF($V98&lt;&gt;"",$V98,IF($T98&lt;&gt;"",$T98,$AT98)/SQRT(VolDays))))</f>
      </c>
      <c r="X98" s="72"/>
      <c r="Y98" s="60">
        <f t="shared" ca="1" si="26"/>
      </c>
      <c r="Z98" s="62">
        <f t="shared" ca="1" si="27"/>
      </c>
      <c r="AA98" s="8">
        <f t="shared" ca="1" si="28"/>
      </c>
      <c r="AB98" s="9">
        <f t="shared" ca="1" si="29"/>
      </c>
      <c r="AD98" s="64">
        <f t="shared" ca="1" si="30"/>
      </c>
      <c r="AE98" s="66" cm="1">
        <f t="array" aca="1" ref="AE98" ca="1">IF($A98="","",_xlfn.XLOOKUP($A98,INDEX(BondList,0,1),INDEX(BondList,0,2)))</f>
      </c>
      <c r="AF98" s="3" cm="1">
        <f t="array" aca="1" ref="AF98" ca="1">IF($A98="","",_xlfn.XLOOKUP($A98,INDEX(BondList,0,1),INDEX(BondList,0,3)))</f>
      </c>
      <c r="AG98" s="9" cm="1">
        <f t="array" aca="1" ref="AG98" ca="1">IF($A98="","",_xlfn.XLOOKUP($A98,INDEX(BondList,0,1),INDEX(BondList,0,4)))</f>
      </c>
      <c r="AH98" s="3" cm="1">
        <f t="array" aca="1" ref="AH98" ca="1">IF($A98="","",_xlfn.XLOOKUP($A98,INDEX(BondList,0,1),INDEX(BondList,0,5)))</f>
      </c>
      <c r="AI98" s="20" cm="1">
        <f t="array" aca="1" ref="AI98" ca="1">IF($A98="","",_xlfn.XLOOKUP($B98,INDEX(SchemeTable,0,1),INDEX(SchemeTable,0,2),NA()))</f>
      </c>
      <c r="AJ98" s="3">
        <f ca="1">IF($A98="","",WORKDAY(TradeDate,1,Holidays))</f>
      </c>
      <c r="AK98" s="3">
        <f ca="1">IF($A98="","",WORKDAY($C98,$D98,Holidays))</f>
      </c>
      <c r="AL98" s="13">
        <f ca="1">IF($A98="","",NETWORKDAYS(TradeDate,$C98-1,Holidays)/252)</f>
      </c>
      <c r="AM98" s="13" cm="1">
        <f t="array" aca="1" ref="AM98" ca="1">IF($A98="","",JGB_AI($AE98,$AJ98,$AF98))</f>
      </c>
      <c r="AN98" s="13" cm="1">
        <f t="array" aca="1" ref="AN98" ca="1">IF($A98="","",JGB_AI($AE98,$AK98,$AF98))</f>
      </c>
      <c r="AO98" s="13" cm="1">
        <f t="array" aca="1" ref="AO98" ca="1">IF($A98="","",JGB_CARRY_COUPONS($AE98,$AF98,$AJ98,$AK98,$G98))</f>
      </c>
      <c r="AP98" s="13">
        <f t="shared" ca="1" si="31"/>
      </c>
      <c r="AQ98" s="9">
        <f t="shared" ca="1" si="32"/>
      </c>
      <c r="AR98" s="13">
        <f t="shared" ca="1" si="33"/>
      </c>
      <c r="AS98" s="12">
        <f t="shared" ca="1" si="34"/>
      </c>
      <c r="AT98" s="68">
        <f t="shared" ca="1" si="35"/>
      </c>
      <c r="AV98" s="66"/>
      <c r="AW98" s="13"/>
      <c r="AX98" s="12"/>
      <c r="AY98" s="1"/>
      <c r="BA98" s="9"/>
      <c r="BC98" s="12"/>
      <c r="BD98" s="64"/>
    </row>
    <row r="99" spans="1:56" x14ac:dyDescent="0.55000000000000004">
      <c r="A99" s="38"/>
      <c r="B99" s="4"/>
      <c r="C99" s="6"/>
      <c r="D99" s="7"/>
      <c r="E99" s="42"/>
      <c r="F99" s="44"/>
      <c r="G99" s="9" cm="1">
        <f t="array" aca="1" ref="G99" ca="1">IF($A99="","",IF($F99&lt;&gt;"",$F99,_xlfn.LET(_xlpm.s,_xlfn.XLOOKUP($B99,INDEX(SchemeTable,0,1),INDEX(SchemeTable,0,3),""),_xlpm.r,_xlfn.SWITCH(_xlpm.s,"Bid",IF(ISBLANK(RepoBid),"",RepoBid),"Offer",IF(ISBLANK(RepoOffer),"",RepoOffer),""),IF(_xlpm.s="","Error: set repo side for "&amp;$B99,IF(_xlpm.r="","Error: enter repo "&amp;LOWER(_xlpm.s),_xlpm.r)))))</f>
      </c>
      <c r="H99" s="11"/>
      <c r="I99" s="9">
        <f t="shared" ca="1" si="24"/>
      </c>
      <c r="J99" s="46" cm="1">
        <f t="array" aca="1" ref="J99" ca="1">IF($A99="","",JGB_PRICE($AE99,$I99,$AJ99,$AF99))</f>
      </c>
      <c r="K99" s="48"/>
      <c r="L99" s="11"/>
      <c r="M99" s="10"/>
      <c r="N99" s="11"/>
      <c r="O99" s="50"/>
      <c r="P99" s="54">
        <f t="shared" ca="1" si="25"/>
      </c>
      <c r="Q99" s="56" cm="1">
        <f t="array" aca="1" ref="Q99" ca="1">IF($A99="","",_xlfn.LET(_xlpm.n,COUNTA($K99:$O99),IF($B99="ITMBW",IF(_xlpm.n=0,"ITMBW","Error: ITMBW takes no strike input"),IF(_xlpm.n=1,_xlfn.XLOOKUP(TRUE,$K99:$O99&lt;&gt;"",{"Spot +sen","Fwd +sen","Fwd price","ATM +bp","Yield"}),IF(_xlpm.n=0,"Error: enter one strike input","Error: enter only one strike input")))))</f>
      </c>
      <c r="R99" s="9" cm="1">
        <f t="array" aca="1" ref="R99" ca="1">IF($A99="","",_xlfn.SWITCH($Q99,"Spot +sen",ROUNDDOWN(ROUND($J99+$K99/100,9),3),"Fwd +sen",ROUNDDOWN(ROUND($P99+$L99/100,9),3),"Fwd price",$M99,"ATM +bp",JGB_PRICE($AE99,$I99+$N99/100,$C99,$AF99),"Yield",JGB_PRICE($AE99,$O99,$C99,$AF99),"ITMBW",IF($BA99="",NA(),$BA99),NA()))</f>
      </c>
      <c r="S99" s="46" cm="1">
        <f t="array" aca="1" ref="S99" ca="1">IF($A99="","",JGB_YIELD($AE99,$R99,$AK99,$AF99))</f>
      </c>
      <c r="T99" s="58"/>
      <c r="U99" s="1">
        <f ca="1">IF($A99="","",IF(OR($X99&lt;&gt;"",$V99&lt;&gt;""),$W99*SQRT(VolDays),IF($T99&lt;&gt;"",$T99,$AT99)))</f>
      </c>
      <c r="V99" s="70"/>
      <c r="W99" s="12">
        <f ca="1">IF($A99="","",IF($X99&lt;&gt;"",$X99*100/(SQRT(252)*$AS99),IF($V99&lt;&gt;"",$V99,IF($T99&lt;&gt;"",$T99,$AT99)/SQRT(VolDays))))</f>
      </c>
      <c r="X99" s="72"/>
      <c r="Y99" s="60">
        <f t="shared" ca="1" si="26"/>
      </c>
      <c r="Z99" s="62">
        <f t="shared" ca="1" si="27"/>
      </c>
      <c r="AA99" s="8">
        <f t="shared" ca="1" si="28"/>
      </c>
      <c r="AB99" s="9">
        <f t="shared" ca="1" si="29"/>
      </c>
      <c r="AD99" s="64">
        <f t="shared" ca="1" si="30"/>
      </c>
      <c r="AE99" s="66" cm="1">
        <f t="array" aca="1" ref="AE99" ca="1">IF($A99="","",_xlfn.XLOOKUP($A99,INDEX(BondList,0,1),INDEX(BondList,0,2)))</f>
      </c>
      <c r="AF99" s="3" cm="1">
        <f t="array" aca="1" ref="AF99" ca="1">IF($A99="","",_xlfn.XLOOKUP($A99,INDEX(BondList,0,1),INDEX(BondList,0,3)))</f>
      </c>
      <c r="AG99" s="9" cm="1">
        <f t="array" aca="1" ref="AG99" ca="1">IF($A99="","",_xlfn.XLOOKUP($A99,INDEX(BondList,0,1),INDEX(BondList,0,4)))</f>
      </c>
      <c r="AH99" s="3" cm="1">
        <f t="array" aca="1" ref="AH99" ca="1">IF($A99="","",_xlfn.XLOOKUP($A99,INDEX(BondList,0,1),INDEX(BondList,0,5)))</f>
      </c>
      <c r="AI99" s="20" cm="1">
        <f t="array" aca="1" ref="AI99" ca="1">IF($A99="","",_xlfn.XLOOKUP($B99,INDEX(SchemeTable,0,1),INDEX(SchemeTable,0,2),NA()))</f>
      </c>
      <c r="AJ99" s="3">
        <f ca="1">IF($A99="","",WORKDAY(TradeDate,1,Holidays))</f>
      </c>
      <c r="AK99" s="3">
        <f ca="1">IF($A99="","",WORKDAY($C99,$D99,Holidays))</f>
      </c>
      <c r="AL99" s="13">
        <f ca="1">IF($A99="","",NETWORKDAYS(TradeDate,$C99-1,Holidays)/252)</f>
      </c>
      <c r="AM99" s="13" cm="1">
        <f t="array" aca="1" ref="AM99" ca="1">IF($A99="","",JGB_AI($AE99,$AJ99,$AF99))</f>
      </c>
      <c r="AN99" s="13" cm="1">
        <f t="array" aca="1" ref="AN99" ca="1">IF($A99="","",JGB_AI($AE99,$AK99,$AF99))</f>
      </c>
      <c r="AO99" s="13" cm="1">
        <f t="array" aca="1" ref="AO99" ca="1">IF($A99="","",JGB_CARRY_COUPONS($AE99,$AF99,$AJ99,$AK99,$G99))</f>
      </c>
      <c r="AP99" s="13">
        <f t="shared" ca="1" si="31"/>
      </c>
      <c r="AQ99" s="9">
        <f t="shared" ca="1" si="32"/>
      </c>
      <c r="AR99" s="13">
        <f t="shared" ca="1" si="33"/>
      </c>
      <c r="AS99" s="12">
        <f t="shared" ca="1" si="34"/>
      </c>
      <c r="AT99" s="68">
        <f t="shared" ca="1" si="35"/>
      </c>
      <c r="AV99" s="66"/>
      <c r="AW99" s="13"/>
      <c r="AX99" s="12"/>
      <c r="AY99" s="1"/>
      <c r="BA99" s="9"/>
      <c r="BC99" s="12"/>
      <c r="BD99" s="64"/>
    </row>
    <row r="100" spans="1:56" x14ac:dyDescent="0.55000000000000004">
      <c r="A100" s="38"/>
      <c r="B100" s="4"/>
      <c r="C100" s="6"/>
      <c r="D100" s="7"/>
      <c r="E100" s="42"/>
      <c r="F100" s="44"/>
      <c r="G100" s="9" cm="1">
        <f t="array" aca="1" ref="G100" ca="1">IF($A100="","",IF($F100&lt;&gt;"",$F100,_xlfn.LET(_xlpm.s,_xlfn.XLOOKUP($B100,INDEX(SchemeTable,0,1),INDEX(SchemeTable,0,3),""),_xlpm.r,_xlfn.SWITCH(_xlpm.s,"Bid",IF(ISBLANK(RepoBid),"",RepoBid),"Offer",IF(ISBLANK(RepoOffer),"",RepoOffer),""),IF(_xlpm.s="","Error: set repo side for "&amp;$B100,IF(_xlpm.r="","Error: enter repo "&amp;LOWER(_xlpm.s),_xlpm.r)))))</f>
      </c>
      <c r="H100" s="11"/>
      <c r="I100" s="9">
        <f t="shared" ca="1" si="24"/>
      </c>
      <c r="J100" s="46" cm="1">
        <f t="array" aca="1" ref="J100" ca="1">IF($A100="","",JGB_PRICE($AE100,$I100,$AJ100,$AF100))</f>
      </c>
      <c r="K100" s="48"/>
      <c r="L100" s="11"/>
      <c r="M100" s="10"/>
      <c r="N100" s="11"/>
      <c r="O100" s="50"/>
      <c r="P100" s="54">
        <f t="shared" ca="1" si="25"/>
      </c>
      <c r="Q100" s="56" cm="1">
        <f t="array" aca="1" ref="Q100" ca="1">IF($A100="","",_xlfn.LET(_xlpm.n,COUNTA($K100:$O100),IF($B100="ITMBW",IF(_xlpm.n=0,"ITMBW","Error: ITMBW takes no strike input"),IF(_xlpm.n=1,_xlfn.XLOOKUP(TRUE,$K100:$O100&lt;&gt;"",{"Spot +sen","Fwd +sen","Fwd price","ATM +bp","Yield"}),IF(_xlpm.n=0,"Error: enter one strike input","Error: enter only one strike input")))))</f>
      </c>
      <c r="R100" s="9" cm="1">
        <f t="array" aca="1" ref="R100" ca="1">IF($A100="","",_xlfn.SWITCH($Q100,"Spot +sen",ROUNDDOWN(ROUND($J100+$K100/100,9),3),"Fwd +sen",ROUNDDOWN(ROUND($P100+$L100/100,9),3),"Fwd price",$M100,"ATM +bp",JGB_PRICE($AE100,$I100+$N100/100,$C100,$AF100),"Yield",JGB_PRICE($AE100,$O100,$C100,$AF100),"ITMBW",IF($BA100="",NA(),$BA100),NA()))</f>
      </c>
      <c r="S100" s="46" cm="1">
        <f t="array" aca="1" ref="S100" ca="1">IF($A100="","",JGB_YIELD($AE100,$R100,$AK100,$AF100))</f>
      </c>
      <c r="T100" s="58"/>
      <c r="U100" s="1">
        <f ca="1">IF($A100="","",IF(OR($X100&lt;&gt;"",$V100&lt;&gt;""),$W100*SQRT(VolDays),IF($T100&lt;&gt;"",$T100,$AT100)))</f>
      </c>
      <c r="V100" s="70"/>
      <c r="W100" s="12">
        <f ca="1">IF($A100="","",IF($X100&lt;&gt;"",$X100*100/(SQRT(252)*$AS100),IF($V100&lt;&gt;"",$V100,IF($T100&lt;&gt;"",$T100,$AT100)/SQRT(VolDays))))</f>
      </c>
      <c r="X100" s="72"/>
      <c r="Y100" s="60">
        <f t="shared" ca="1" si="26"/>
      </c>
      <c r="Z100" s="62">
        <f t="shared" ca="1" si="27"/>
      </c>
      <c r="AA100" s="8">
        <f t="shared" ca="1" si="28"/>
      </c>
      <c r="AB100" s="9">
        <f t="shared" ca="1" si="29"/>
      </c>
      <c r="AD100" s="64">
        <f t="shared" ca="1" si="30"/>
      </c>
      <c r="AE100" s="66" cm="1">
        <f t="array" aca="1" ref="AE100" ca="1">IF($A100="","",_xlfn.XLOOKUP($A100,INDEX(BondList,0,1),INDEX(BondList,0,2)))</f>
      </c>
      <c r="AF100" s="3" cm="1">
        <f t="array" aca="1" ref="AF100" ca="1">IF($A100="","",_xlfn.XLOOKUP($A100,INDEX(BondList,0,1),INDEX(BondList,0,3)))</f>
      </c>
      <c r="AG100" s="9" cm="1">
        <f t="array" aca="1" ref="AG100" ca="1">IF($A100="","",_xlfn.XLOOKUP($A100,INDEX(BondList,0,1),INDEX(BondList,0,4)))</f>
      </c>
      <c r="AH100" s="3" cm="1">
        <f t="array" aca="1" ref="AH100" ca="1">IF($A100="","",_xlfn.XLOOKUP($A100,INDEX(BondList,0,1),INDEX(BondList,0,5)))</f>
      </c>
      <c r="AI100" s="20" cm="1">
        <f t="array" aca="1" ref="AI100" ca="1">IF($A100="","",_xlfn.XLOOKUP($B100,INDEX(SchemeTable,0,1),INDEX(SchemeTable,0,2),NA()))</f>
      </c>
      <c r="AJ100" s="3">
        <f ca="1">IF($A100="","",WORKDAY(TradeDate,1,Holidays))</f>
      </c>
      <c r="AK100" s="3">
        <f ca="1">IF($A100="","",WORKDAY($C100,$D100,Holidays))</f>
      </c>
      <c r="AL100" s="13">
        <f ca="1">IF($A100="","",NETWORKDAYS(TradeDate,$C100-1,Holidays)/252)</f>
      </c>
      <c r="AM100" s="13" cm="1">
        <f t="array" aca="1" ref="AM100" ca="1">IF($A100="","",JGB_AI($AE100,$AJ100,$AF100))</f>
      </c>
      <c r="AN100" s="13" cm="1">
        <f t="array" aca="1" ref="AN100" ca="1">IF($A100="","",JGB_AI($AE100,$AK100,$AF100))</f>
      </c>
      <c r="AO100" s="13" cm="1">
        <f t="array" aca="1" ref="AO100" ca="1">IF($A100="","",JGB_CARRY_COUPONS($AE100,$AF100,$AJ100,$AK100,$G100))</f>
      </c>
      <c r="AP100" s="13">
        <f t="shared" ca="1" si="31"/>
      </c>
      <c r="AQ100" s="9">
        <f t="shared" ca="1" si="32"/>
      </c>
      <c r="AR100" s="13">
        <f t="shared" ca="1" si="33"/>
      </c>
      <c r="AS100" s="12">
        <f t="shared" ca="1" si="34"/>
      </c>
      <c r="AT100" s="68">
        <f t="shared" ca="1" si="35"/>
      </c>
      <c r="AV100" s="66"/>
      <c r="AW100" s="13"/>
      <c r="AX100" s="12"/>
      <c r="AY100" s="1"/>
      <c r="BA100" s="9"/>
      <c r="BC100" s="12"/>
      <c r="BD100" s="64"/>
    </row>
    <row r="101" spans="1:56" x14ac:dyDescent="0.55000000000000004">
      <c r="A101" s="38"/>
      <c r="B101" s="4"/>
      <c r="C101" s="6"/>
      <c r="D101" s="7"/>
      <c r="E101" s="42"/>
      <c r="F101" s="44"/>
      <c r="G101" s="9" cm="1">
        <f t="array" aca="1" ref="G101" ca="1">IF($A101="","",IF($F101&lt;&gt;"",$F101,_xlfn.LET(_xlpm.s,_xlfn.XLOOKUP($B101,INDEX(SchemeTable,0,1),INDEX(SchemeTable,0,3),""),_xlpm.r,_xlfn.SWITCH(_xlpm.s,"Bid",IF(ISBLANK(RepoBid),"",RepoBid),"Offer",IF(ISBLANK(RepoOffer),"",RepoOffer),""),IF(_xlpm.s="","Error: set repo side for "&amp;$B101,IF(_xlpm.r="","Error: enter repo "&amp;LOWER(_xlpm.s),_xlpm.r)))))</f>
      </c>
      <c r="H101" s="11"/>
      <c r="I101" s="9">
        <f t="shared" ca="1" si="24"/>
      </c>
      <c r="J101" s="46" cm="1">
        <f t="array" aca="1" ref="J101" ca="1">IF($A101="","",JGB_PRICE($AE101,$I101,$AJ101,$AF101))</f>
      </c>
      <c r="K101" s="48"/>
      <c r="L101" s="11"/>
      <c r="M101" s="10"/>
      <c r="N101" s="11"/>
      <c r="O101" s="50"/>
      <c r="P101" s="54">
        <f t="shared" ca="1" si="25"/>
      </c>
      <c r="Q101" s="56" cm="1">
        <f t="array" aca="1" ref="Q101" ca="1">IF($A101="","",_xlfn.LET(_xlpm.n,COUNTA($K101:$O101),IF($B101="ITMBW",IF(_xlpm.n=0,"ITMBW","Error: ITMBW takes no strike input"),IF(_xlpm.n=1,_xlfn.XLOOKUP(TRUE,$K101:$O101&lt;&gt;"",{"Spot +sen","Fwd +sen","Fwd price","ATM +bp","Yield"}),IF(_xlpm.n=0,"Error: enter one strike input","Error: enter only one strike input")))))</f>
      </c>
      <c r="R101" s="9" cm="1">
        <f t="array" aca="1" ref="R101" ca="1">IF($A101="","",_xlfn.SWITCH($Q101,"Spot +sen",ROUNDDOWN(ROUND($J101+$K101/100,9),3),"Fwd +sen",ROUNDDOWN(ROUND($P101+$L101/100,9),3),"Fwd price",$M101,"ATM +bp",JGB_PRICE($AE101,$I101+$N101/100,$C101,$AF101),"Yield",JGB_PRICE($AE101,$O101,$C101,$AF101),"ITMBW",IF($BA101="",NA(),$BA101),NA()))</f>
      </c>
      <c r="S101" s="46" cm="1">
        <f t="array" aca="1" ref="S101" ca="1">IF($A101="","",JGB_YIELD($AE101,$R101,$AK101,$AF101))</f>
      </c>
      <c r="T101" s="58"/>
      <c r="U101" s="1">
        <f ca="1">IF($A101="","",IF(OR($X101&lt;&gt;"",$V101&lt;&gt;""),$W101*SQRT(VolDays),IF($T101&lt;&gt;"",$T101,$AT101)))</f>
      </c>
      <c r="V101" s="70"/>
      <c r="W101" s="12">
        <f ca="1">IF($A101="","",IF($X101&lt;&gt;"",$X101*100/(SQRT(252)*$AS101),IF($V101&lt;&gt;"",$V101,IF($T101&lt;&gt;"",$T101,$AT101)/SQRT(VolDays))))</f>
      </c>
      <c r="X101" s="72"/>
      <c r="Y101" s="60">
        <f t="shared" ca="1" si="26"/>
      </c>
      <c r="Z101" s="62">
        <f t="shared" ca="1" si="27"/>
      </c>
      <c r="AA101" s="8">
        <f t="shared" ca="1" si="28"/>
      </c>
      <c r="AB101" s="9">
        <f t="shared" ca="1" si="29"/>
      </c>
      <c r="AD101" s="64">
        <f t="shared" ca="1" si="30"/>
      </c>
      <c r="AE101" s="66" cm="1">
        <f t="array" aca="1" ref="AE101" ca="1">IF($A101="","",_xlfn.XLOOKUP($A101,INDEX(BondList,0,1),INDEX(BondList,0,2)))</f>
      </c>
      <c r="AF101" s="3" cm="1">
        <f t="array" aca="1" ref="AF101" ca="1">IF($A101="","",_xlfn.XLOOKUP($A101,INDEX(BondList,0,1),INDEX(BondList,0,3)))</f>
      </c>
      <c r="AG101" s="9" cm="1">
        <f t="array" aca="1" ref="AG101" ca="1">IF($A101="","",_xlfn.XLOOKUP($A101,INDEX(BondList,0,1),INDEX(BondList,0,4)))</f>
      </c>
      <c r="AH101" s="3" cm="1">
        <f t="array" aca="1" ref="AH101" ca="1">IF($A101="","",_xlfn.XLOOKUP($A101,INDEX(BondList,0,1),INDEX(BondList,0,5)))</f>
      </c>
      <c r="AI101" s="20" cm="1">
        <f t="array" aca="1" ref="AI101" ca="1">IF($A101="","",_xlfn.XLOOKUP($B101,INDEX(SchemeTable,0,1),INDEX(SchemeTable,0,2),NA()))</f>
      </c>
      <c r="AJ101" s="3">
        <f ca="1">IF($A101="","",WORKDAY(TradeDate,1,Holidays))</f>
      </c>
      <c r="AK101" s="3">
        <f ca="1">IF($A101="","",WORKDAY($C101,$D101,Holidays))</f>
      </c>
      <c r="AL101" s="13">
        <f ca="1">IF($A101="","",NETWORKDAYS(TradeDate,$C101-1,Holidays)/252)</f>
      </c>
      <c r="AM101" s="13" cm="1">
        <f t="array" aca="1" ref="AM101" ca="1">IF($A101="","",JGB_AI($AE101,$AJ101,$AF101))</f>
      </c>
      <c r="AN101" s="13" cm="1">
        <f t="array" aca="1" ref="AN101" ca="1">IF($A101="","",JGB_AI($AE101,$AK101,$AF101))</f>
      </c>
      <c r="AO101" s="13" cm="1">
        <f t="array" aca="1" ref="AO101" ca="1">IF($A101="","",JGB_CARRY_COUPONS($AE101,$AF101,$AJ101,$AK101,$G101))</f>
      </c>
      <c r="AP101" s="13">
        <f t="shared" ca="1" si="31"/>
      </c>
      <c r="AQ101" s="9">
        <f t="shared" ca="1" si="32"/>
      </c>
      <c r="AR101" s="13">
        <f t="shared" ca="1" si="33"/>
      </c>
      <c r="AS101" s="12">
        <f t="shared" ca="1" si="34"/>
      </c>
      <c r="AT101" s="68">
        <f t="shared" ca="1" si="35"/>
      </c>
      <c r="AV101" s="66"/>
      <c r="AW101" s="13"/>
      <c r="AX101" s="12"/>
      <c r="AY101" s="1"/>
      <c r="BA101" s="9"/>
      <c r="BC101" s="12"/>
      <c r="BD101" s="64"/>
    </row>
    <row r="102" spans="1:56" x14ac:dyDescent="0.55000000000000004">
      <c r="A102" s="39"/>
      <c r="B102" s="22"/>
      <c r="C102" s="23"/>
      <c r="D102" s="24"/>
      <c r="E102" s="43"/>
      <c r="F102" s="45"/>
      <c r="G102" s="26" cm="1">
        <f t="array" aca="1" ref="G102" ca="1">IF($A102="","",IF($F102&lt;&gt;"",$F102,_xlfn.LET(_xlpm.s,_xlfn.XLOOKUP($B102,INDEX(SchemeTable,0,1),INDEX(SchemeTable,0,3),""),_xlpm.r,_xlfn.SWITCH(_xlpm.s,"Bid",IF(ISBLANK(RepoBid),"",RepoBid),"Offer",IF(ISBLANK(RepoOffer),"",RepoOffer),""),IF(_xlpm.s="","Error: set repo side for "&amp;$B102,IF(_xlpm.r="","Error: enter repo "&amp;LOWER(_xlpm.s),_xlpm.r)))))</f>
      </c>
      <c r="H102" s="27"/>
      <c r="I102" s="26">
        <f t="shared" ca="1" si="24"/>
      </c>
      <c r="J102" s="47" cm="1">
        <f t="array" aca="1" ref="J102" ca="1">IF($A102="","",JGB_PRICE($AE102,$I102,$AJ102,$AF102))</f>
      </c>
      <c r="K102" s="49"/>
      <c r="L102" s="27"/>
      <c r="M102" s="25"/>
      <c r="N102" s="27"/>
      <c r="O102" s="51"/>
      <c r="P102" s="55">
        <f t="shared" ca="1" si="25"/>
      </c>
      <c r="Q102" s="57" cm="1">
        <f t="array" aca="1" ref="Q102" ca="1">IF($A102="","",_xlfn.LET(_xlpm.n,COUNTA($K102:$O102),IF($B102="ITMBW",IF(_xlpm.n=0,"ITMBW","Error: ITMBW takes no strike input"),IF(_xlpm.n=1,_xlfn.XLOOKUP(TRUE,$K102:$O102&lt;&gt;"",{"Spot +sen","Fwd +sen","Fwd price","ATM +bp","Yield"}),IF(_xlpm.n=0,"Error: enter one strike input","Error: enter only one strike input")))))</f>
      </c>
      <c r="R102" s="26" cm="1">
        <f t="array" aca="1" ref="R102" ca="1">IF($A102="","",_xlfn.SWITCH($Q102,"Spot +sen",ROUNDDOWN(ROUND($J102+$K102/100,9),3),"Fwd +sen",ROUNDDOWN(ROUND($P102+$L102/100,9),3),"Fwd price",$M102,"ATM +bp",JGB_PRICE($AE102,$I102+$N102/100,$C102,$AF102),"Yield",JGB_PRICE($AE102,$O102,$C102,$AF102),"ITMBW",IF($BA102="",NA(),$BA102),NA()))</f>
      </c>
      <c r="S102" s="47" cm="1">
        <f t="array" aca="1" ref="S102" ca="1">IF($A102="","",JGB_YIELD($AE102,$R102,$AK102,$AF102))</f>
      </c>
      <c r="T102" s="59"/>
      <c r="U102" s="30">
        <f ca="1">IF($A102="","",IF(OR($X102&lt;&gt;"",$V102&lt;&gt;""),$W102*SQRT(VolDays),IF($T102&lt;&gt;"",$T102,$AT102)))</f>
      </c>
      <c r="V102" s="71"/>
      <c r="W102" s="31">
        <f ca="1">IF($A102="","",IF($X102&lt;&gt;"",$X102*100/(SQRT(252)*$AS102),IF($V102&lt;&gt;"",$V102,IF($T102&lt;&gt;"",$T102,$AT102)/SQRT(VolDays))))</f>
      </c>
      <c r="X102" s="73"/>
      <c r="Y102" s="61">
        <f t="shared" ca="1" si="26"/>
      </c>
      <c r="Z102" s="63">
        <f t="shared" ca="1" si="27"/>
      </c>
      <c r="AA102" s="32">
        <f t="shared" ca="1" si="28"/>
      </c>
      <c r="AB102" s="26">
        <f t="shared" ca="1" si="29"/>
      </c>
      <c r="AC102" s="16"/>
      <c r="AD102" s="65">
        <f t="shared" ca="1" si="30"/>
      </c>
      <c r="AE102" s="67" cm="1">
        <f t="array" aca="1" ref="AE102" ca="1">IF($A102="","",_xlfn.XLOOKUP($A102,INDEX(BondList,0,1),INDEX(BondList,0,2)))</f>
      </c>
      <c r="AF102" s="33" cm="1">
        <f t="array" aca="1" ref="AF102" ca="1">IF($A102="","",_xlfn.XLOOKUP($A102,INDEX(BondList,0,1),INDEX(BondList,0,3)))</f>
      </c>
      <c r="AG102" s="26" cm="1">
        <f t="array" aca="1" ref="AG102" ca="1">IF($A102="","",_xlfn.XLOOKUP($A102,INDEX(BondList,0,1),INDEX(BondList,0,4)))</f>
      </c>
      <c r="AH102" s="33" cm="1">
        <f t="array" aca="1" ref="AH102" ca="1">IF($A102="","",_xlfn.XLOOKUP($A102,INDEX(BondList,0,1),INDEX(BondList,0,5)))</f>
      </c>
      <c r="AI102" s="29" cm="1">
        <f t="array" aca="1" ref="AI102" ca="1">IF($A102="","",_xlfn.XLOOKUP($B102,INDEX(SchemeTable,0,1),INDEX(SchemeTable,0,2),NA()))</f>
      </c>
      <c r="AJ102" s="33">
        <f ca="1">IF($A102="","",WORKDAY(TradeDate,1,Holidays))</f>
      </c>
      <c r="AK102" s="33">
        <f ca="1">IF($A102="","",WORKDAY($C102,$D102,Holidays))</f>
      </c>
      <c r="AL102" s="28">
        <f ca="1">IF($A102="","",NETWORKDAYS(TradeDate,$C102-1,Holidays)/252)</f>
      </c>
      <c r="AM102" s="28" cm="1">
        <f t="array" aca="1" ref="AM102" ca="1">IF($A102="","",JGB_AI($AE102,$AJ102,$AF102))</f>
      </c>
      <c r="AN102" s="28" cm="1">
        <f t="array" aca="1" ref="AN102" ca="1">IF($A102="","",JGB_AI($AE102,$AK102,$AF102))</f>
      </c>
      <c r="AO102" s="28" cm="1">
        <f t="array" aca="1" ref="AO102" ca="1">IF($A102="","",JGB_CARRY_COUPONS($AE102,$AF102,$AJ102,$AK102,$G102))</f>
      </c>
      <c r="AP102" s="28">
        <f t="shared" ca="1" si="31"/>
      </c>
      <c r="AQ102" s="26">
        <f t="shared" ca="1" si="32"/>
      </c>
      <c r="AR102" s="28">
        <f t="shared" ca="1" si="33"/>
      </c>
      <c r="AS102" s="31">
        <f t="shared" ca="1" si="34"/>
      </c>
      <c r="AT102" s="69">
        <f t="shared" ca="1" si="35"/>
      </c>
      <c r="AV102" s="67"/>
      <c r="AW102" s="28"/>
      <c r="AX102" s="31"/>
      <c r="AY102" s="30"/>
      <c r="AZ102" s="16"/>
      <c r="BA102" s="26"/>
      <c r="BB102" s="16"/>
      <c r="BC102" s="31"/>
      <c r="BD102" s="65"/>
    </row>
    <row r="103" spans="1:56" x14ac:dyDescent="0.55000000000000004">
      <c r="A103" s="38"/>
      <c r="B103" s="4"/>
      <c r="C103" s="6"/>
      <c r="D103" s="7"/>
      <c r="E103" s="42"/>
      <c r="F103" s="44"/>
      <c r="G103" s="9" cm="1">
        <f t="array" aca="1" ref="G103" ca="1">IF($A103="","",IF($F103&lt;&gt;"",$F103,_xlfn.LET(_xlpm.s,_xlfn.XLOOKUP($B103,INDEX(SchemeTable,0,1),INDEX(SchemeTable,0,3),""),_xlpm.r,_xlfn.SWITCH(_xlpm.s,"Bid",IF(ISBLANK(RepoBid),"",RepoBid),"Offer",IF(ISBLANK(RepoOffer),"",RepoOffer),""),IF(_xlpm.s="","Error: set repo side for "&amp;$B103,IF(_xlpm.r="","Error: enter repo "&amp;LOWER(_xlpm.s),_xlpm.r)))))</f>
      </c>
      <c r="H103" s="11"/>
      <c r="I103" s="9">
        <f t="shared" ca="1" si="24"/>
      </c>
      <c r="J103" s="46" cm="1">
        <f t="array" aca="1" ref="J103" ca="1">IF($A103="","",JGB_PRICE($AE103,$I103,$AJ103,$AF103))</f>
      </c>
      <c r="K103" s="48"/>
      <c r="L103" s="11"/>
      <c r="M103" s="10"/>
      <c r="N103" s="11"/>
      <c r="O103" s="50"/>
      <c r="P103" s="54">
        <f t="shared" ca="1" si="25"/>
      </c>
      <c r="Q103" s="56" cm="1">
        <f t="array" aca="1" ref="Q103" ca="1">IF($A103="","",_xlfn.LET(_xlpm.n,COUNTA($K103:$O103),IF($B103="ITMBW",IF(_xlpm.n=0,"ITMBW","Error: ITMBW takes no strike input"),IF(_xlpm.n=1,_xlfn.XLOOKUP(TRUE,$K103:$O103&lt;&gt;"",{"Spot +sen","Fwd +sen","Fwd price","ATM +bp","Yield"}),IF(_xlpm.n=0,"Error: enter one strike input","Error: enter only one strike input")))))</f>
      </c>
      <c r="R103" s="9" cm="1">
        <f t="array" aca="1" ref="R103" ca="1">IF($A103="","",_xlfn.SWITCH($Q103,"Spot +sen",ROUNDDOWN(ROUND($J103+$K103/100,9),3),"Fwd +sen",ROUNDDOWN(ROUND($P103+$L103/100,9),3),"Fwd price",$M103,"ATM +bp",JGB_PRICE($AE103,$I103+$N103/100,$C103,$AF103),"Yield",JGB_PRICE($AE103,$O103,$C103,$AF103),"ITMBW",IF($BA103="",NA(),$BA103),NA()))</f>
      </c>
      <c r="S103" s="46" cm="1">
        <f t="array" aca="1" ref="S103" ca="1">IF($A103="","",JGB_YIELD($AE103,$R103,$AK103,$AF103))</f>
      </c>
      <c r="T103" s="58"/>
      <c r="U103" s="1">
        <f ca="1">IF($A103="","",IF(OR($X103&lt;&gt;"",$V103&lt;&gt;""),$W103*SQRT(VolDays),IF($T103&lt;&gt;"",$T103,$AT103)))</f>
      </c>
      <c r="V103" s="70"/>
      <c r="W103" s="12">
        <f ca="1">IF($A103="","",IF($X103&lt;&gt;"",$X103*100/(SQRT(252)*$AS103),IF($V103&lt;&gt;"",$V103,IF($T103&lt;&gt;"",$T103,$AT103)/SQRT(VolDays))))</f>
      </c>
      <c r="X103" s="72"/>
      <c r="Y103" s="60">
        <f t="shared" ca="1" si="26"/>
      </c>
      <c r="Z103" s="62">
        <f t="shared" ca="1" si="27"/>
      </c>
      <c r="AA103" s="8">
        <f t="shared" ca="1" si="28"/>
      </c>
      <c r="AB103" s="9">
        <f t="shared" ca="1" si="29"/>
      </c>
      <c r="AD103" s="64">
        <f t="shared" ca="1" si="30"/>
      </c>
      <c r="AE103" s="66" cm="1">
        <f t="array" aca="1" ref="AE103" ca="1">IF($A103="","",_xlfn.XLOOKUP($A103,INDEX(BondList,0,1),INDEX(BondList,0,2)))</f>
      </c>
      <c r="AF103" s="3" cm="1">
        <f t="array" aca="1" ref="AF103" ca="1">IF($A103="","",_xlfn.XLOOKUP($A103,INDEX(BondList,0,1),INDEX(BondList,0,3)))</f>
      </c>
      <c r="AG103" s="9" cm="1">
        <f t="array" aca="1" ref="AG103" ca="1">IF($A103="","",_xlfn.XLOOKUP($A103,INDEX(BondList,0,1),INDEX(BondList,0,4)))</f>
      </c>
      <c r="AH103" s="3" cm="1">
        <f t="array" aca="1" ref="AH103" ca="1">IF($A103="","",_xlfn.XLOOKUP($A103,INDEX(BondList,0,1),INDEX(BondList,0,5)))</f>
      </c>
      <c r="AI103" s="20" cm="1">
        <f t="array" aca="1" ref="AI103" ca="1">IF($A103="","",_xlfn.XLOOKUP($B103,INDEX(SchemeTable,0,1),INDEX(SchemeTable,0,2),NA()))</f>
      </c>
      <c r="AJ103" s="3">
        <f ca="1">IF($A103="","",WORKDAY(TradeDate,1,Holidays))</f>
      </c>
      <c r="AK103" s="3">
        <f ca="1">IF($A103="","",WORKDAY($C103,$D103,Holidays))</f>
      </c>
      <c r="AL103" s="13">
        <f ca="1">IF($A103="","",NETWORKDAYS(TradeDate,$C103-1,Holidays)/252)</f>
      </c>
      <c r="AM103" s="13" cm="1">
        <f t="array" aca="1" ref="AM103" ca="1">IF($A103="","",JGB_AI($AE103,$AJ103,$AF103))</f>
      </c>
      <c r="AN103" s="13" cm="1">
        <f t="array" aca="1" ref="AN103" ca="1">IF($A103="","",JGB_AI($AE103,$AK103,$AF103))</f>
      </c>
      <c r="AO103" s="13" cm="1">
        <f t="array" aca="1" ref="AO103" ca="1">IF($A103="","",JGB_CARRY_COUPONS($AE103,$AF103,$AJ103,$AK103,$G103))</f>
      </c>
      <c r="AP103" s="13">
        <f t="shared" ca="1" si="31"/>
      </c>
      <c r="AQ103" s="9">
        <f t="shared" ca="1" si="32"/>
      </c>
      <c r="AR103" s="13">
        <f t="shared" ca="1" si="33"/>
      </c>
      <c r="AS103" s="12">
        <f t="shared" ca="1" si="34"/>
      </c>
      <c r="AT103" s="68">
        <f t="shared" ca="1" si="35"/>
      </c>
      <c r="AV103" s="66"/>
      <c r="AW103" s="13"/>
      <c r="AX103" s="12"/>
      <c r="AY103" s="1"/>
      <c r="BA103" s="9"/>
      <c r="BC103" s="12"/>
      <c r="BD103" s="64"/>
    </row>
    <row r="104" spans="1:56" x14ac:dyDescent="0.55000000000000004">
      <c r="A104" s="38"/>
      <c r="B104" s="4"/>
      <c r="C104" s="6"/>
      <c r="D104" s="7"/>
      <c r="E104" s="42"/>
      <c r="F104" s="44"/>
      <c r="G104" s="9" cm="1">
        <f t="array" aca="1" ref="G104" ca="1">IF($A104="","",IF($F104&lt;&gt;"",$F104,_xlfn.LET(_xlpm.s,_xlfn.XLOOKUP($B104,INDEX(SchemeTable,0,1),INDEX(SchemeTable,0,3),""),_xlpm.r,_xlfn.SWITCH(_xlpm.s,"Bid",IF(ISBLANK(RepoBid),"",RepoBid),"Offer",IF(ISBLANK(RepoOffer),"",RepoOffer),""),IF(_xlpm.s="","Error: set repo side for "&amp;$B104,IF(_xlpm.r="","Error: enter repo "&amp;LOWER(_xlpm.s),_xlpm.r)))))</f>
      </c>
      <c r="H104" s="11"/>
      <c r="I104" s="9">
        <f t="shared" ca="1" si="24"/>
      </c>
      <c r="J104" s="46" cm="1">
        <f t="array" aca="1" ref="J104" ca="1">IF($A104="","",JGB_PRICE($AE104,$I104,$AJ104,$AF104))</f>
      </c>
      <c r="K104" s="48"/>
      <c r="L104" s="11"/>
      <c r="M104" s="10"/>
      <c r="N104" s="11"/>
      <c r="O104" s="50"/>
      <c r="P104" s="54">
        <f t="shared" ca="1" si="25"/>
      </c>
      <c r="Q104" s="56" cm="1">
        <f t="array" aca="1" ref="Q104" ca="1">IF($A104="","",_xlfn.LET(_xlpm.n,COUNTA($K104:$O104),IF($B104="ITMBW",IF(_xlpm.n=0,"ITMBW","Error: ITMBW takes no strike input"),IF(_xlpm.n=1,_xlfn.XLOOKUP(TRUE,$K104:$O104&lt;&gt;"",{"Spot +sen","Fwd +sen","Fwd price","ATM +bp","Yield"}),IF(_xlpm.n=0,"Error: enter one strike input","Error: enter only one strike input")))))</f>
      </c>
      <c r="R104" s="9" cm="1">
        <f t="array" aca="1" ref="R104" ca="1">IF($A104="","",_xlfn.SWITCH($Q104,"Spot +sen",ROUNDDOWN(ROUND($J104+$K104/100,9),3),"Fwd +sen",ROUNDDOWN(ROUND($P104+$L104/100,9),3),"Fwd price",$M104,"ATM +bp",JGB_PRICE($AE104,$I104+$N104/100,$C104,$AF104),"Yield",JGB_PRICE($AE104,$O104,$C104,$AF104),"ITMBW",IF($BA104="",NA(),$BA104),NA()))</f>
      </c>
      <c r="S104" s="46" cm="1">
        <f t="array" aca="1" ref="S104" ca="1">IF($A104="","",JGB_YIELD($AE104,$R104,$AK104,$AF104))</f>
      </c>
      <c r="T104" s="58"/>
      <c r="U104" s="1">
        <f ca="1">IF($A104="","",IF(OR($X104&lt;&gt;"",$V104&lt;&gt;""),$W104*SQRT(VolDays),IF($T104&lt;&gt;"",$T104,$AT104)))</f>
      </c>
      <c r="V104" s="70"/>
      <c r="W104" s="12">
        <f ca="1">IF($A104="","",IF($X104&lt;&gt;"",$X104*100/(SQRT(252)*$AS104),IF($V104&lt;&gt;"",$V104,IF($T104&lt;&gt;"",$T104,$AT104)/SQRT(VolDays))))</f>
      </c>
      <c r="X104" s="72"/>
      <c r="Y104" s="60">
        <f t="shared" ca="1" si="26"/>
      </c>
      <c r="Z104" s="62">
        <f t="shared" ca="1" si="27"/>
      </c>
      <c r="AA104" s="8">
        <f t="shared" ca="1" si="28"/>
      </c>
      <c r="AB104" s="9">
        <f t="shared" ca="1" si="29"/>
      </c>
      <c r="AD104" s="64">
        <f t="shared" ca="1" si="30"/>
      </c>
      <c r="AE104" s="66" cm="1">
        <f t="array" aca="1" ref="AE104" ca="1">IF($A104="","",_xlfn.XLOOKUP($A104,INDEX(BondList,0,1),INDEX(BondList,0,2)))</f>
      </c>
      <c r="AF104" s="3" cm="1">
        <f t="array" aca="1" ref="AF104" ca="1">IF($A104="","",_xlfn.XLOOKUP($A104,INDEX(BondList,0,1),INDEX(BondList,0,3)))</f>
      </c>
      <c r="AG104" s="9" cm="1">
        <f t="array" aca="1" ref="AG104" ca="1">IF($A104="","",_xlfn.XLOOKUP($A104,INDEX(BondList,0,1),INDEX(BondList,0,4)))</f>
      </c>
      <c r="AH104" s="3" cm="1">
        <f t="array" aca="1" ref="AH104" ca="1">IF($A104="","",_xlfn.XLOOKUP($A104,INDEX(BondList,0,1),INDEX(BondList,0,5)))</f>
      </c>
      <c r="AI104" s="20" cm="1">
        <f t="array" aca="1" ref="AI104" ca="1">IF($A104="","",_xlfn.XLOOKUP($B104,INDEX(SchemeTable,0,1),INDEX(SchemeTable,0,2),NA()))</f>
      </c>
      <c r="AJ104" s="3">
        <f ca="1">IF($A104="","",WORKDAY(TradeDate,1,Holidays))</f>
      </c>
      <c r="AK104" s="3">
        <f ca="1">IF($A104="","",WORKDAY($C104,$D104,Holidays))</f>
      </c>
      <c r="AL104" s="13">
        <f ca="1">IF($A104="","",NETWORKDAYS(TradeDate,$C104-1,Holidays)/252)</f>
      </c>
      <c r="AM104" s="13" cm="1">
        <f t="array" aca="1" ref="AM104" ca="1">IF($A104="","",JGB_AI($AE104,$AJ104,$AF104))</f>
      </c>
      <c r="AN104" s="13" cm="1">
        <f t="array" aca="1" ref="AN104" ca="1">IF($A104="","",JGB_AI($AE104,$AK104,$AF104))</f>
      </c>
      <c r="AO104" s="13" cm="1">
        <f t="array" aca="1" ref="AO104" ca="1">IF($A104="","",JGB_CARRY_COUPONS($AE104,$AF104,$AJ104,$AK104,$G104))</f>
      </c>
      <c r="AP104" s="13">
        <f t="shared" ca="1" si="31"/>
      </c>
      <c r="AQ104" s="9">
        <f t="shared" ca="1" si="32"/>
      </c>
      <c r="AR104" s="13">
        <f t="shared" ca="1" si="33"/>
      </c>
      <c r="AS104" s="12">
        <f t="shared" ca="1" si="34"/>
      </c>
      <c r="AT104" s="68">
        <f t="shared" ca="1" si="35"/>
      </c>
      <c r="AV104" s="66"/>
      <c r="AW104" s="13"/>
      <c r="AX104" s="12"/>
      <c r="AY104" s="1"/>
      <c r="BA104" s="9"/>
      <c r="BC104" s="12"/>
      <c r="BD104" s="64"/>
    </row>
    <row r="105" spans="1:56" x14ac:dyDescent="0.55000000000000004">
      <c r="A105" s="38"/>
      <c r="B105" s="4"/>
      <c r="C105" s="6"/>
      <c r="D105" s="7"/>
      <c r="E105" s="42"/>
      <c r="F105" s="44"/>
      <c r="G105" s="9" cm="1">
        <f t="array" aca="1" ref="G105" ca="1">IF($A105="","",IF($F105&lt;&gt;"",$F105,_xlfn.LET(_xlpm.s,_xlfn.XLOOKUP($B105,INDEX(SchemeTable,0,1),INDEX(SchemeTable,0,3),""),_xlpm.r,_xlfn.SWITCH(_xlpm.s,"Bid",IF(ISBLANK(RepoBid),"",RepoBid),"Offer",IF(ISBLANK(RepoOffer),"",RepoOffer),""),IF(_xlpm.s="","Error: set repo side for "&amp;$B105,IF(_xlpm.r="","Error: enter repo "&amp;LOWER(_xlpm.s),_xlpm.r)))))</f>
      </c>
      <c r="H105" s="11"/>
      <c r="I105" s="9">
        <f t="shared" ca="1" si="24"/>
      </c>
      <c r="J105" s="46" cm="1">
        <f t="array" aca="1" ref="J105" ca="1">IF($A105="","",JGB_PRICE($AE105,$I105,$AJ105,$AF105))</f>
      </c>
      <c r="K105" s="48"/>
      <c r="L105" s="11"/>
      <c r="M105" s="10"/>
      <c r="N105" s="11"/>
      <c r="O105" s="50"/>
      <c r="P105" s="54">
        <f t="shared" ca="1" si="25"/>
      </c>
      <c r="Q105" s="56" cm="1">
        <f t="array" aca="1" ref="Q105" ca="1">IF($A105="","",_xlfn.LET(_xlpm.n,COUNTA($K105:$O105),IF($B105="ITMBW",IF(_xlpm.n=0,"ITMBW","Error: ITMBW takes no strike input"),IF(_xlpm.n=1,_xlfn.XLOOKUP(TRUE,$K105:$O105&lt;&gt;"",{"Spot +sen","Fwd +sen","Fwd price","ATM +bp","Yield"}),IF(_xlpm.n=0,"Error: enter one strike input","Error: enter only one strike input")))))</f>
      </c>
      <c r="R105" s="9" cm="1">
        <f t="array" aca="1" ref="R105" ca="1">IF($A105="","",_xlfn.SWITCH($Q105,"Spot +sen",ROUNDDOWN(ROUND($J105+$K105/100,9),3),"Fwd +sen",ROUNDDOWN(ROUND($P105+$L105/100,9),3),"Fwd price",$M105,"ATM +bp",JGB_PRICE($AE105,$I105+$N105/100,$C105,$AF105),"Yield",JGB_PRICE($AE105,$O105,$C105,$AF105),"ITMBW",IF($BA105="",NA(),$BA105),NA()))</f>
      </c>
      <c r="S105" s="46" cm="1">
        <f t="array" aca="1" ref="S105" ca="1">IF($A105="","",JGB_YIELD($AE105,$R105,$AK105,$AF105))</f>
      </c>
      <c r="T105" s="58"/>
      <c r="U105" s="1">
        <f ca="1">IF($A105="","",IF(OR($X105&lt;&gt;"",$V105&lt;&gt;""),$W105*SQRT(VolDays),IF($T105&lt;&gt;"",$T105,$AT105)))</f>
      </c>
      <c r="V105" s="70"/>
      <c r="W105" s="12">
        <f ca="1">IF($A105="","",IF($X105&lt;&gt;"",$X105*100/(SQRT(252)*$AS105),IF($V105&lt;&gt;"",$V105,IF($T105&lt;&gt;"",$T105,$AT105)/SQRT(VolDays))))</f>
      </c>
      <c r="X105" s="72"/>
      <c r="Y105" s="60">
        <f t="shared" ca="1" si="26"/>
      </c>
      <c r="Z105" s="62">
        <f t="shared" ca="1" si="27"/>
      </c>
      <c r="AA105" s="8">
        <f t="shared" ca="1" si="28"/>
      </c>
      <c r="AB105" s="9">
        <f t="shared" ca="1" si="29"/>
      </c>
      <c r="AD105" s="64">
        <f t="shared" ca="1" si="30"/>
      </c>
      <c r="AE105" s="66" cm="1">
        <f t="array" aca="1" ref="AE105" ca="1">IF($A105="","",_xlfn.XLOOKUP($A105,INDEX(BondList,0,1),INDEX(BondList,0,2)))</f>
      </c>
      <c r="AF105" s="3" cm="1">
        <f t="array" aca="1" ref="AF105" ca="1">IF($A105="","",_xlfn.XLOOKUP($A105,INDEX(BondList,0,1),INDEX(BondList,0,3)))</f>
      </c>
      <c r="AG105" s="9" cm="1">
        <f t="array" aca="1" ref="AG105" ca="1">IF($A105="","",_xlfn.XLOOKUP($A105,INDEX(BondList,0,1),INDEX(BondList,0,4)))</f>
      </c>
      <c r="AH105" s="3" cm="1">
        <f t="array" aca="1" ref="AH105" ca="1">IF($A105="","",_xlfn.XLOOKUP($A105,INDEX(BondList,0,1),INDEX(BondList,0,5)))</f>
      </c>
      <c r="AI105" s="20" cm="1">
        <f t="array" aca="1" ref="AI105" ca="1">IF($A105="","",_xlfn.XLOOKUP($B105,INDEX(SchemeTable,0,1),INDEX(SchemeTable,0,2),NA()))</f>
      </c>
      <c r="AJ105" s="3">
        <f ca="1">IF($A105="","",WORKDAY(TradeDate,1,Holidays))</f>
      </c>
      <c r="AK105" s="3">
        <f ca="1">IF($A105="","",WORKDAY($C105,$D105,Holidays))</f>
      </c>
      <c r="AL105" s="13">
        <f ca="1">IF($A105="","",NETWORKDAYS(TradeDate,$C105-1,Holidays)/252)</f>
      </c>
      <c r="AM105" s="13" cm="1">
        <f t="array" aca="1" ref="AM105" ca="1">IF($A105="","",JGB_AI($AE105,$AJ105,$AF105))</f>
      </c>
      <c r="AN105" s="13" cm="1">
        <f t="array" aca="1" ref="AN105" ca="1">IF($A105="","",JGB_AI($AE105,$AK105,$AF105))</f>
      </c>
      <c r="AO105" s="13" cm="1">
        <f t="array" aca="1" ref="AO105" ca="1">IF($A105="","",JGB_CARRY_COUPONS($AE105,$AF105,$AJ105,$AK105,$G105))</f>
      </c>
      <c r="AP105" s="13">
        <f t="shared" ca="1" si="31"/>
      </c>
      <c r="AQ105" s="9">
        <f t="shared" ca="1" si="32"/>
      </c>
      <c r="AR105" s="13">
        <f t="shared" ca="1" si="33"/>
      </c>
      <c r="AS105" s="12">
        <f t="shared" ca="1" si="34"/>
      </c>
      <c r="AT105" s="68">
        <f t="shared" ca="1" si="35"/>
      </c>
      <c r="AV105" s="66"/>
      <c r="AW105" s="13"/>
      <c r="AX105" s="12"/>
      <c r="AY105" s="1"/>
      <c r="BA105" s="9"/>
      <c r="BC105" s="12"/>
      <c r="BD105" s="64"/>
    </row>
    <row r="106" spans="1:56" x14ac:dyDescent="0.55000000000000004">
      <c r="A106" s="38"/>
      <c r="B106" s="4"/>
      <c r="C106" s="6"/>
      <c r="D106" s="7"/>
      <c r="E106" s="42"/>
      <c r="F106" s="44"/>
      <c r="G106" s="9" cm="1">
        <f t="array" aca="1" ref="G106" ca="1">IF($A106="","",IF($F106&lt;&gt;"",$F106,_xlfn.LET(_xlpm.s,_xlfn.XLOOKUP($B106,INDEX(SchemeTable,0,1),INDEX(SchemeTable,0,3),""),_xlpm.r,_xlfn.SWITCH(_xlpm.s,"Bid",IF(ISBLANK(RepoBid),"",RepoBid),"Offer",IF(ISBLANK(RepoOffer),"",RepoOffer),""),IF(_xlpm.s="","Error: set repo side for "&amp;$B106,IF(_xlpm.r="","Error: enter repo "&amp;LOWER(_xlpm.s),_xlpm.r)))))</f>
      </c>
      <c r="H106" s="11"/>
      <c r="I106" s="9">
        <f t="shared" ca="1" si="24"/>
      </c>
      <c r="J106" s="46" cm="1">
        <f t="array" aca="1" ref="J106" ca="1">IF($A106="","",JGB_PRICE($AE106,$I106,$AJ106,$AF106))</f>
      </c>
      <c r="K106" s="48"/>
      <c r="L106" s="11"/>
      <c r="M106" s="10"/>
      <c r="N106" s="11"/>
      <c r="O106" s="50"/>
      <c r="P106" s="54">
        <f t="shared" ca="1" si="25"/>
      </c>
      <c r="Q106" s="56" cm="1">
        <f t="array" aca="1" ref="Q106" ca="1">IF($A106="","",_xlfn.LET(_xlpm.n,COUNTA($K106:$O106),IF($B106="ITMBW",IF(_xlpm.n=0,"ITMBW","Error: ITMBW takes no strike input"),IF(_xlpm.n=1,_xlfn.XLOOKUP(TRUE,$K106:$O106&lt;&gt;"",{"Spot +sen","Fwd +sen","Fwd price","ATM +bp","Yield"}),IF(_xlpm.n=0,"Error: enter one strike input","Error: enter only one strike input")))))</f>
      </c>
      <c r="R106" s="9" cm="1">
        <f t="array" aca="1" ref="R106" ca="1">IF($A106="","",_xlfn.SWITCH($Q106,"Spot +sen",ROUNDDOWN(ROUND($J106+$K106/100,9),3),"Fwd +sen",ROUNDDOWN(ROUND($P106+$L106/100,9),3),"Fwd price",$M106,"ATM +bp",JGB_PRICE($AE106,$I106+$N106/100,$C106,$AF106),"Yield",JGB_PRICE($AE106,$O106,$C106,$AF106),"ITMBW",IF($BA106="",NA(),$BA106),NA()))</f>
      </c>
      <c r="S106" s="46" cm="1">
        <f t="array" aca="1" ref="S106" ca="1">IF($A106="","",JGB_YIELD($AE106,$R106,$AK106,$AF106))</f>
      </c>
      <c r="T106" s="58"/>
      <c r="U106" s="1">
        <f ca="1">IF($A106="","",IF(OR($X106&lt;&gt;"",$V106&lt;&gt;""),$W106*SQRT(VolDays),IF($T106&lt;&gt;"",$T106,$AT106)))</f>
      </c>
      <c r="V106" s="70"/>
      <c r="W106" s="12">
        <f ca="1">IF($A106="","",IF($X106&lt;&gt;"",$X106*100/(SQRT(252)*$AS106),IF($V106&lt;&gt;"",$V106,IF($T106&lt;&gt;"",$T106,$AT106)/SQRT(VolDays))))</f>
      </c>
      <c r="X106" s="72"/>
      <c r="Y106" s="60">
        <f t="shared" ca="1" si="26"/>
      </c>
      <c r="Z106" s="62">
        <f t="shared" ca="1" si="27"/>
      </c>
      <c r="AA106" s="8">
        <f t="shared" ca="1" si="28"/>
      </c>
      <c r="AB106" s="9">
        <f t="shared" ca="1" si="29"/>
      </c>
      <c r="AD106" s="64">
        <f t="shared" ca="1" si="30"/>
      </c>
      <c r="AE106" s="66" cm="1">
        <f t="array" aca="1" ref="AE106" ca="1">IF($A106="","",_xlfn.XLOOKUP($A106,INDEX(BondList,0,1),INDEX(BondList,0,2)))</f>
      </c>
      <c r="AF106" s="3" cm="1">
        <f t="array" aca="1" ref="AF106" ca="1">IF($A106="","",_xlfn.XLOOKUP($A106,INDEX(BondList,0,1),INDEX(BondList,0,3)))</f>
      </c>
      <c r="AG106" s="9" cm="1">
        <f t="array" aca="1" ref="AG106" ca="1">IF($A106="","",_xlfn.XLOOKUP($A106,INDEX(BondList,0,1),INDEX(BondList,0,4)))</f>
      </c>
      <c r="AH106" s="3" cm="1">
        <f t="array" aca="1" ref="AH106" ca="1">IF($A106="","",_xlfn.XLOOKUP($A106,INDEX(BondList,0,1),INDEX(BondList,0,5)))</f>
      </c>
      <c r="AI106" s="20" cm="1">
        <f t="array" aca="1" ref="AI106" ca="1">IF($A106="","",_xlfn.XLOOKUP($B106,INDEX(SchemeTable,0,1),INDEX(SchemeTable,0,2),NA()))</f>
      </c>
      <c r="AJ106" s="3">
        <f ca="1">IF($A106="","",WORKDAY(TradeDate,1,Holidays))</f>
      </c>
      <c r="AK106" s="3">
        <f ca="1">IF($A106="","",WORKDAY($C106,$D106,Holidays))</f>
      </c>
      <c r="AL106" s="13">
        <f ca="1">IF($A106="","",NETWORKDAYS(TradeDate,$C106-1,Holidays)/252)</f>
      </c>
      <c r="AM106" s="13" cm="1">
        <f t="array" aca="1" ref="AM106" ca="1">IF($A106="","",JGB_AI($AE106,$AJ106,$AF106))</f>
      </c>
      <c r="AN106" s="13" cm="1">
        <f t="array" aca="1" ref="AN106" ca="1">IF($A106="","",JGB_AI($AE106,$AK106,$AF106))</f>
      </c>
      <c r="AO106" s="13" cm="1">
        <f t="array" aca="1" ref="AO106" ca="1">IF($A106="","",JGB_CARRY_COUPONS($AE106,$AF106,$AJ106,$AK106,$G106))</f>
      </c>
      <c r="AP106" s="13">
        <f t="shared" ca="1" si="31"/>
      </c>
      <c r="AQ106" s="9">
        <f t="shared" ca="1" si="32"/>
      </c>
      <c r="AR106" s="13">
        <f t="shared" ca="1" si="33"/>
      </c>
      <c r="AS106" s="12">
        <f t="shared" ca="1" si="34"/>
      </c>
      <c r="AT106" s="68">
        <f t="shared" ca="1" si="35"/>
      </c>
      <c r="AV106" s="66"/>
      <c r="AW106" s="13"/>
      <c r="AX106" s="12"/>
      <c r="AY106" s="1"/>
      <c r="BA106" s="9"/>
      <c r="BC106" s="12"/>
      <c r="BD106" s="64"/>
    </row>
    <row r="107" spans="1:56" x14ac:dyDescent="0.55000000000000004">
      <c r="A107" s="39"/>
      <c r="B107" s="22"/>
      <c r="C107" s="23"/>
      <c r="D107" s="24"/>
      <c r="E107" s="43"/>
      <c r="F107" s="45"/>
      <c r="G107" s="26" cm="1">
        <f t="array" aca="1" ref="G107" ca="1">IF($A107="","",IF($F107&lt;&gt;"",$F107,_xlfn.LET(_xlpm.s,_xlfn.XLOOKUP($B107,INDEX(SchemeTable,0,1),INDEX(SchemeTable,0,3),""),_xlpm.r,_xlfn.SWITCH(_xlpm.s,"Bid",IF(ISBLANK(RepoBid),"",RepoBid),"Offer",IF(ISBLANK(RepoOffer),"",RepoOffer),""),IF(_xlpm.s="","Error: set repo side for "&amp;$B107,IF(_xlpm.r="","Error: enter repo "&amp;LOWER(_xlpm.s),_xlpm.r)))))</f>
      </c>
      <c r="H107" s="27"/>
      <c r="I107" s="26">
        <f t="shared" ca="1" si="24"/>
      </c>
      <c r="J107" s="47" cm="1">
        <f t="array" aca="1" ref="J107" ca="1">IF($A107="","",JGB_PRICE($AE107,$I107,$AJ107,$AF107))</f>
      </c>
      <c r="K107" s="49"/>
      <c r="L107" s="27"/>
      <c r="M107" s="25"/>
      <c r="N107" s="27"/>
      <c r="O107" s="51"/>
      <c r="P107" s="55">
        <f t="shared" ca="1" si="25"/>
      </c>
      <c r="Q107" s="57" cm="1">
        <f t="array" aca="1" ref="Q107" ca="1">IF($A107="","",_xlfn.LET(_xlpm.n,COUNTA($K107:$O107),IF($B107="ITMBW",IF(_xlpm.n=0,"ITMBW","Error: ITMBW takes no strike input"),IF(_xlpm.n=1,_xlfn.XLOOKUP(TRUE,$K107:$O107&lt;&gt;"",{"Spot +sen","Fwd +sen","Fwd price","ATM +bp","Yield"}),IF(_xlpm.n=0,"Error: enter one strike input","Error: enter only one strike input")))))</f>
      </c>
      <c r="R107" s="26" cm="1">
        <f t="array" aca="1" ref="R107" ca="1">IF($A107="","",_xlfn.SWITCH($Q107,"Spot +sen",ROUNDDOWN(ROUND($J107+$K107/100,9),3),"Fwd +sen",ROUNDDOWN(ROUND($P107+$L107/100,9),3),"Fwd price",$M107,"ATM +bp",JGB_PRICE($AE107,$I107+$N107/100,$C107,$AF107),"Yield",JGB_PRICE($AE107,$O107,$C107,$AF107),"ITMBW",IF($BA107="",NA(),$BA107),NA()))</f>
      </c>
      <c r="S107" s="47" cm="1">
        <f t="array" aca="1" ref="S107" ca="1">IF($A107="","",JGB_YIELD($AE107,$R107,$AK107,$AF107))</f>
      </c>
      <c r="T107" s="59"/>
      <c r="U107" s="30">
        <f ca="1">IF($A107="","",IF(OR($X107&lt;&gt;"",$V107&lt;&gt;""),$W107*SQRT(VolDays),IF($T107&lt;&gt;"",$T107,$AT107)))</f>
      </c>
      <c r="V107" s="71"/>
      <c r="W107" s="31">
        <f ca="1">IF($A107="","",IF($X107&lt;&gt;"",$X107*100/(SQRT(252)*$AS107),IF($V107&lt;&gt;"",$V107,IF($T107&lt;&gt;"",$T107,$AT107)/SQRT(VolDays))))</f>
      </c>
      <c r="X107" s="73"/>
      <c r="Y107" s="61">
        <f t="shared" ca="1" si="26"/>
      </c>
      <c r="Z107" s="63">
        <f t="shared" ca="1" si="27"/>
      </c>
      <c r="AA107" s="32">
        <f t="shared" ca="1" si="28"/>
      </c>
      <c r="AB107" s="26">
        <f t="shared" ca="1" si="29"/>
      </c>
      <c r="AC107" s="16"/>
      <c r="AD107" s="65">
        <f t="shared" ca="1" si="30"/>
      </c>
      <c r="AE107" s="67" cm="1">
        <f t="array" aca="1" ref="AE107" ca="1">IF($A107="","",_xlfn.XLOOKUP($A107,INDEX(BondList,0,1),INDEX(BondList,0,2)))</f>
      </c>
      <c r="AF107" s="33" cm="1">
        <f t="array" aca="1" ref="AF107" ca="1">IF($A107="","",_xlfn.XLOOKUP($A107,INDEX(BondList,0,1),INDEX(BondList,0,3)))</f>
      </c>
      <c r="AG107" s="26" cm="1">
        <f t="array" aca="1" ref="AG107" ca="1">IF($A107="","",_xlfn.XLOOKUP($A107,INDEX(BondList,0,1),INDEX(BondList,0,4)))</f>
      </c>
      <c r="AH107" s="33" cm="1">
        <f t="array" aca="1" ref="AH107" ca="1">IF($A107="","",_xlfn.XLOOKUP($A107,INDEX(BondList,0,1),INDEX(BondList,0,5)))</f>
      </c>
      <c r="AI107" s="29" cm="1">
        <f t="array" aca="1" ref="AI107" ca="1">IF($A107="","",_xlfn.XLOOKUP($B107,INDEX(SchemeTable,0,1),INDEX(SchemeTable,0,2),NA()))</f>
      </c>
      <c r="AJ107" s="33">
        <f ca="1">IF($A107="","",WORKDAY(TradeDate,1,Holidays))</f>
      </c>
      <c r="AK107" s="33">
        <f ca="1">IF($A107="","",WORKDAY($C107,$D107,Holidays))</f>
      </c>
      <c r="AL107" s="28">
        <f ca="1">IF($A107="","",NETWORKDAYS(TradeDate,$C107-1,Holidays)/252)</f>
      </c>
      <c r="AM107" s="28" cm="1">
        <f t="array" aca="1" ref="AM107" ca="1">IF($A107="","",JGB_AI($AE107,$AJ107,$AF107))</f>
      </c>
      <c r="AN107" s="28" cm="1">
        <f t="array" aca="1" ref="AN107" ca="1">IF($A107="","",JGB_AI($AE107,$AK107,$AF107))</f>
      </c>
      <c r="AO107" s="28" cm="1">
        <f t="array" aca="1" ref="AO107" ca="1">IF($A107="","",JGB_CARRY_COUPONS($AE107,$AF107,$AJ107,$AK107,$G107))</f>
      </c>
      <c r="AP107" s="28">
        <f t="shared" ca="1" si="31"/>
      </c>
      <c r="AQ107" s="26">
        <f t="shared" ca="1" si="32"/>
      </c>
      <c r="AR107" s="28">
        <f t="shared" ca="1" si="33"/>
      </c>
      <c r="AS107" s="31">
        <f t="shared" ca="1" si="34"/>
      </c>
      <c r="AT107" s="69">
        <f t="shared" ca="1" si="35"/>
      </c>
      <c r="AV107" s="67"/>
      <c r="AW107" s="28"/>
      <c r="AX107" s="31"/>
      <c r="AY107" s="30"/>
      <c r="AZ107" s="16"/>
      <c r="BA107" s="26"/>
      <c r="BB107" s="16"/>
      <c r="BC107" s="31"/>
      <c r="BD107" s="65"/>
    </row>
  </sheetData>
  <phoneticPr fontId="2"/>
  <dataValidations count="4">
    <dataValidation type="list" allowBlank="1" showInputMessage="1" showErrorMessage="1" sqref="B1" xr:uid="{36C5E859-5BF1-49D1-B35C-FF27FD53EBD2}">
      <formula1>"Live,Fixed"</formula1>
    </dataValidation>
    <dataValidation type="list" allowBlank="1" showInputMessage="1" showErrorMessage="1" sqref="D8:D107" xr:uid="{A21BB52E-2AD1-4CF3-ADBE-EC6F9A6EC50A}">
      <formula1>"1,2"</formula1>
    </dataValidation>
    <dataValidation type="list" allowBlank="1" showInputMessage="1" showErrorMessage="1" sqref="I2:I5" xr:uid="{CC9A1A1B-8D6E-46D7-BDDD-69ACFF583747}">
      <formula1>"Bid,Offer"</formula1>
    </dataValidation>
    <dataValidation type="list" allowBlank="1" showInputMessage="1" showErrorMessage="1" sqref="B8:B107" xr:uid="{DCFBEC43-BBB3-4DCA-AC01-732D5C2AEA71}">
      <formula1>$G$2:$G$5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B73EC-82AC-49F2-AD48-CA0EA5E9EA29}">
  <sheetPr codeName="Sheet2"/>
  <dimension ref="A1:G3"/>
  <sheetViews>
    <sheetView workbookViewId="0"/>
  </sheetViews>
  <sheetFormatPr defaultRowHeight="18" x14ac:dyDescent="0.55000000000000004"/>
  <cols>
    <col min="1" max="1" width="12.58203125" customWidth="1"/>
    <col min="2" max="2" width="12.58203125" style="9" customWidth="1"/>
    <col min="3" max="3" width="12.58203125" style="3" customWidth="1"/>
    <col min="4" max="4" width="12.58203125" style="9" customWidth="1"/>
    <col min="5" max="5" width="12.58203125" style="3" customWidth="1"/>
    <col min="6" max="7" width="12.58203125" customWidth="1"/>
  </cols>
  <sheetData>
    <row r="1" spans="1:7" x14ac:dyDescent="0.55000000000000004">
      <c r="A1" t="s">
        <v>38</v>
      </c>
    </row>
    <row r="2" spans="1:7" x14ac:dyDescent="0.55000000000000004">
      <c r="A2" s="2" t="s">
        <v>39</v>
      </c>
      <c r="B2" s="14" t="s">
        <v>16</v>
      </c>
      <c r="C2" s="15" t="s">
        <v>17</v>
      </c>
      <c r="D2" s="14" t="s">
        <v>18</v>
      </c>
      <c r="E2" s="15" t="s">
        <v>19</v>
      </c>
      <c r="F2" s="2" t="s">
        <v>40</v>
      </c>
      <c r="G2" s="2" t="s">
        <v>41</v>
      </c>
    </row>
    <row r="3" spans="1:7" x14ac:dyDescent="0.55000000000000004">
      <c r="A3" cm="1">
        <f t="array" aca="1" ref="A3" ca="1">JgbMaster(TradeDate)</f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8DA92-6FED-47C6-AD2C-41E5944A0C69}">
  <sheetPr codeName="Sheet3"/>
  <dimension ref="A1:A3"/>
  <sheetViews>
    <sheetView workbookViewId="0"/>
  </sheetViews>
  <sheetFormatPr defaultRowHeight="18" x14ac:dyDescent="0.55000000000000004"/>
  <cols>
    <col min="1" max="1" width="12.58203125" style="3" customWidth="1"/>
  </cols>
  <sheetData>
    <row r="1" spans="1:1" x14ac:dyDescent="0.55000000000000004">
      <c r="A1" s="3" t="s">
        <v>42</v>
      </c>
    </row>
    <row r="2" spans="1:1" x14ac:dyDescent="0.55000000000000004">
      <c r="A2" s="15" t="s">
        <v>43</v>
      </c>
    </row>
    <row r="3" spans="1:1" x14ac:dyDescent="0.55000000000000004">
      <c r="A3" s="3" cm="1">
        <f t="array" aca="1" ref="A3" ca="1">JapanHolidays(DATE(YEAR(TradeDate)-1,1,1),DATE(YEAR(TradeDate)+21,12,31))</f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5</vt:i4>
      </vt:variant>
    </vt:vector>
  </HeadingPairs>
  <TitlesOfParts>
    <vt:vector size="8" baseType="lpstr">
      <vt:lpstr>Option</vt:lpstr>
      <vt:lpstr>Bonds</vt:lpstr>
      <vt:lpstr>Holidays</vt:lpstr>
      <vt:lpstr>RepoBid</vt:lpstr>
      <vt:lpstr>RepoOffer</vt:lpstr>
      <vt:lpstr>SchemeTable</vt:lpstr>
      <vt:lpstr>TradeDate</vt:lpstr>
      <vt:lpstr>VolDays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2026-10-04T12:24:17Z</dcterms:created>
  <dcterms:modified xsi:type="dcterms:W3CDTF">2026-10-21T13:13:34Z</dcterms:modified>
</cp:coreProperties>
</file>