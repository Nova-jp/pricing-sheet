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analy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yyyy-mm-dd"/>
    <numFmt numFmtId="165" formatCode="YYYY/MM/DD"/>
    <numFmt numFmtId="166" formatCode="0.000%"/>
    <numFmt numFmtId="167" formatCode="0.0000%"/>
    <numFmt numFmtId="168" formatCode="0.0000000"/>
    <numFmt numFmtId="169" formatCode="+0.0000%;-0.0000%;0.0000%"/>
    <numFmt numFmtId="170" formatCode="+0.00;-0.00;0.00"/>
  </numFmts>
  <fonts count="11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C00000"/>
      <sz val="10"/>
    </font>
    <font>
      <i val="1"/>
      <color rgb="00595959"/>
      <sz val="9"/>
    </font>
    <font>
      <b val="1"/>
      <color rgb="00FFFFFF"/>
      <sz val="11"/>
    </font>
    <font>
      <b val="1"/>
      <color rgb="00FFFFFF"/>
      <sz val="10"/>
    </font>
    <font>
      <color rgb="00000000"/>
      <sz val="10"/>
    </font>
    <font>
      <color rgb="00595959"/>
      <sz val="9"/>
    </font>
    <font>
      <b val="1"/>
      <color rgb="00FFFFFF"/>
      <sz val="13"/>
    </font>
    <font>
      <b val="1"/>
      <color rgb="00000000"/>
      <sz val="11"/>
    </font>
    <font>
      <color rgb="00404040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E699"/>
      </patternFill>
    </fill>
    <fill>
      <patternFill patternType="solid">
        <fgColor rgb="00FFF2CC"/>
      </patternFill>
    </fill>
    <fill>
      <patternFill patternType="solid">
        <fgColor rgb="002E75B6"/>
      </patternFill>
    </fill>
    <fill>
      <patternFill patternType="solid">
        <fgColor rgb="00EBF3FB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165" fontId="0" fillId="4" borderId="0" pivotButton="0" quotePrefix="0" xfId="0"/>
    <xf numFmtId="0" fontId="3" fillId="0" borderId="0" pivotButton="0" quotePrefix="0" xfId="0"/>
    <xf numFmtId="0" fontId="4" fillId="5" borderId="0" applyAlignment="1" pivotButton="0" quotePrefix="0" xfId="0">
      <alignment horizontal="center"/>
    </xf>
    <xf numFmtId="0" fontId="5" fillId="5" borderId="1" applyAlignment="1" pivotButton="0" quotePrefix="0" xfId="0">
      <alignment horizontal="center" wrapText="1"/>
    </xf>
    <xf numFmtId="0" fontId="6" fillId="0" borderId="1" pivotButton="0" quotePrefix="0" xfId="0"/>
    <xf numFmtId="166" fontId="0" fillId="4" borderId="1" pivotButton="0" quotePrefix="0" xfId="0"/>
    <xf numFmtId="165" fontId="0" fillId="4" borderId="1" pivotButton="0" quotePrefix="0" xfId="0"/>
    <xf numFmtId="0" fontId="0" fillId="6" borderId="1" pivotButton="0" quotePrefix="0" xfId="0"/>
    <xf numFmtId="0" fontId="7" fillId="0" borderId="1" pivotButton="0" quotePrefix="0" xfId="0"/>
    <xf numFmtId="0" fontId="5" fillId="5" borderId="1" applyAlignment="1" pivotButton="0" quotePrefix="0" xfId="0">
      <alignment horizontal="center"/>
    </xf>
    <xf numFmtId="0" fontId="0" fillId="4" borderId="1" pivotButton="0" quotePrefix="0" xfId="0"/>
    <xf numFmtId="0" fontId="0" fillId="0" borderId="1" pivotButton="0" quotePrefix="0" xfId="0"/>
    <xf numFmtId="0" fontId="3" fillId="0" borderId="1" pivotButton="0" quotePrefix="0" xfId="0"/>
    <xf numFmtId="0" fontId="8" fillId="2" borderId="0" applyAlignment="1" pivotButton="0" quotePrefix="0" xfId="0">
      <alignment horizontal="center" vertical="center"/>
    </xf>
    <xf numFmtId="165" fontId="0" fillId="0" borderId="0" pivotButton="0" quotePrefix="0" xfId="0"/>
    <xf numFmtId="0" fontId="9" fillId="7" borderId="0" pivotButton="0" quotePrefix="0" xfId="0"/>
    <xf numFmtId="0" fontId="9" fillId="0" borderId="1" pivotButton="0" quotePrefix="0" xfId="0"/>
    <xf numFmtId="165" fontId="0" fillId="6" borderId="1" pivotButton="0" quotePrefix="0" xfId="0"/>
    <xf numFmtId="167" fontId="0" fillId="6" borderId="1" pivotButton="0" quotePrefix="0" xfId="0"/>
    <xf numFmtId="168" fontId="0" fillId="6" borderId="1" pivotButton="0" quotePrefix="0" xfId="0"/>
    <xf numFmtId="167" fontId="0" fillId="4" borderId="1" pivotButton="0" quotePrefix="0" xfId="0"/>
    <xf numFmtId="169" fontId="0" fillId="6" borderId="1" pivotButton="0" quotePrefix="0" xfId="0"/>
    <xf numFmtId="170" fontId="0" fillId="6" borderId="1" pivotButton="0" quotePrefix="0" xfId="0"/>
    <xf numFmtId="0" fontId="6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OIS曲線: インプライドスポット vs 実スポット金利</a:t>
            </a:r>
          </a:p>
        </rich>
      </tx>
    </title>
    <plotArea>
      <lineChart>
        <grouping val="standard"/>
        <ser>
          <idx val="0"/>
          <order val="0"/>
          <tx>
            <strRef>
              <f>'analysis'!K18</f>
            </strRef>
          </tx>
          <spPr>
            <a:ln xmlns:a="http://schemas.openxmlformats.org/drawingml/2006/main">
              <a:solidFill>
                <a:srgbClr val="2E75B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'analysis'!$J$19:$J$31</f>
            </numRef>
          </cat>
          <val>
            <numRef>
              <f>'analysis'!$K$19:$K$31</f>
            </numRef>
          </val>
        </ser>
        <ser>
          <idx val="1"/>
          <order val="1"/>
          <tx>
            <strRef>
              <f>'analysis'!L18</f>
            </strRef>
          </tx>
          <spPr>
            <a:ln xmlns:a="http://schemas.openxmlformats.org/drawingml/2006/main">
              <a:solidFill>
                <a:srgbClr val="70AD4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'analysis'!$J$19:$J$31</f>
            </numRef>
          </cat>
          <val>
            <numRef>
              <f>'analysis'!$L$19:$L$31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テナー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金利 (小数表示)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歪み: 実スポット − インプライドスポット (bps)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'analysis'!M18</f>
            </strRef>
          </tx>
          <spPr>
            <a:solidFill xmlns:a="http://schemas.openxmlformats.org/drawingml/2006/main">
              <a:srgbClr val="ED7D31"/>
            </a:solidFill>
            <a:ln xmlns:a="http://schemas.openxmlformats.org/drawingml/2006/main">
              <a:prstDash val="solid"/>
            </a:ln>
          </spPr>
          <cat>
            <numRef>
              <f>'analysis'!$J$19:$J$31</f>
            </numRef>
          </cat>
          <val>
            <numRef>
              <f>'analysis'!$M$19:$M$31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テナー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bps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8</col>
      <colOff>0</colOff>
      <row>1</row>
      <rowOff>0</rowOff>
    </from>
    <ext cx="792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8</col>
      <colOff>0</colOff>
      <row>18</row>
      <rowOff>0</rowOff>
    </from>
    <ext cx="7920000" cy="39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16" customWidth="1" min="3" max="3"/>
    <col width="18" customWidth="1" min="4" max="4"/>
    <col width="28" customWidth="1" min="5" max="5"/>
  </cols>
  <sheetData>
    <row r="1" ht="22" customHeight="1">
      <c r="A1" s="1" t="inlineStr">
        <is>
          <t>BOJ Swap Distortion – データ入力シート（黄色セル = LSEG RTDフィード）</t>
        </is>
      </c>
    </row>
    <row r="2">
      <c r="A2" s="2" t="inlineStr">
        <is>
          <t>⚠ 現在はダミーデータです。LSEGのRTD / Add-in でValue列を自動更新してください。</t>
        </is>
      </c>
    </row>
    <row r="4">
      <c r="A4" t="inlineStr">
        <is>
          <t>トレード日</t>
        </is>
      </c>
      <c r="B4" s="3" t="n">
        <v>46103</v>
      </c>
    </row>
    <row r="5">
      <c r="A5" t="inlineStr">
        <is>
          <t>スポット日（T+2BD）</t>
        </is>
      </c>
      <c r="B5" s="3" t="n">
        <v>46107</v>
      </c>
      <c r="C5" s="4" t="inlineStr">
        <is>
          <t>※ 実際はT+2BD、土日祝考慮。手動更新</t>
        </is>
      </c>
    </row>
    <row r="7">
      <c r="A7" s="5" t="inlineStr">
        <is>
          <t>■ BOJスワップ フォワード金利（JPBOJ1-8ONI=TRDT）</t>
        </is>
      </c>
    </row>
    <row r="8" ht="28" customHeight="1">
      <c r="A8" s="6" t="inlineStr">
        <is>
          <t>LSEGティッカー</t>
        </is>
      </c>
      <c r="B8" s="6" t="inlineStr">
        <is>
          <t>フォワード金利（%）</t>
        </is>
      </c>
      <c r="C8" s="6" t="inlineStr">
        <is>
          <t>MPM実効日（ダミー）</t>
        </is>
      </c>
      <c r="D8" s="6" t="inlineStr">
        <is>
          <t>累積日数
Spot→MPM_i</t>
        </is>
      </c>
      <c r="E8" s="6" t="inlineStr">
        <is>
          <t>備考（MPM会合日）</t>
        </is>
      </c>
    </row>
    <row r="9">
      <c r="A9" s="7" t="inlineStr">
        <is>
          <t>JPBOJ1ONI=TRDT</t>
        </is>
      </c>
      <c r="B9" s="8" t="n">
        <v>0.00495</v>
      </c>
      <c r="C9" s="9" t="n">
        <v>46141</v>
      </c>
      <c r="D9" s="10">
        <f>C9-$B$5</f>
        <v/>
      </c>
      <c r="E9" s="11" t="inlineStr">
        <is>
          <t>会合1: 2026/04/28 → 実効日:2026/04/29</t>
        </is>
      </c>
    </row>
    <row r="10">
      <c r="A10" s="7" t="inlineStr">
        <is>
          <t>JPBOJ2ONI=TRDT</t>
        </is>
      </c>
      <c r="B10" s="8" t="n">
        <v>0.005</v>
      </c>
      <c r="C10" s="9" t="n">
        <v>46190</v>
      </c>
      <c r="D10" s="10">
        <f>C10-$B$5</f>
        <v/>
      </c>
      <c r="E10" s="11" t="inlineStr">
        <is>
          <t>会合2: 2026/06/16 → 実効日:2026/06/17</t>
        </is>
      </c>
    </row>
    <row r="11">
      <c r="A11" s="7" t="inlineStr">
        <is>
          <t>JPBOJ3ONI=TRDT</t>
        </is>
      </c>
      <c r="B11" s="8" t="n">
        <v>0.0051</v>
      </c>
      <c r="C11" s="9" t="n">
        <v>46235</v>
      </c>
      <c r="D11" s="10">
        <f>C11-$B$5</f>
        <v/>
      </c>
      <c r="E11" s="11" t="inlineStr">
        <is>
          <t>会合3: 2026/07/31 → 実効日:2026/08/01</t>
        </is>
      </c>
    </row>
    <row r="12">
      <c r="A12" s="7" t="inlineStr">
        <is>
          <t>JPBOJ4ONI=TRDT</t>
        </is>
      </c>
      <c r="B12" s="8" t="n">
        <v>0.0053</v>
      </c>
      <c r="C12" s="9" t="n">
        <v>46284</v>
      </c>
      <c r="D12" s="10">
        <f>C12-$B$5</f>
        <v/>
      </c>
      <c r="E12" s="11" t="inlineStr">
        <is>
          <t>会合4: 2026/09/18 → 実効日:2026/09/19</t>
        </is>
      </c>
    </row>
    <row r="13">
      <c r="A13" s="7" t="inlineStr">
        <is>
          <t>JPBOJ5ONI=TRDT</t>
        </is>
      </c>
      <c r="B13" s="8" t="n">
        <v>0.00535</v>
      </c>
      <c r="C13" s="9" t="n">
        <v>46326</v>
      </c>
      <c r="D13" s="10">
        <f>C13-$B$5</f>
        <v/>
      </c>
      <c r="E13" s="11" t="inlineStr">
        <is>
          <t>会合5: 2026/10/30 → 実効日:2026/10/31</t>
        </is>
      </c>
    </row>
    <row r="14">
      <c r="A14" s="7" t="inlineStr">
        <is>
          <t>JPBOJ6ONI=TRDT</t>
        </is>
      </c>
      <c r="B14" s="8" t="n">
        <v>0.0057</v>
      </c>
      <c r="C14" s="9" t="n">
        <v>46375</v>
      </c>
      <c r="D14" s="10">
        <f>C14-$B$5</f>
        <v/>
      </c>
      <c r="E14" s="11" t="inlineStr">
        <is>
          <t>会合6: 2026/12/18 → 実効日:2026/12/19</t>
        </is>
      </c>
    </row>
    <row r="15">
      <c r="A15" s="7" t="inlineStr">
        <is>
          <t>JPBOJ7ONI=TRDT</t>
        </is>
      </c>
      <c r="B15" s="8" t="n">
        <v>0.0059</v>
      </c>
      <c r="C15" s="9" t="n">
        <v>46416</v>
      </c>
      <c r="D15" s="10">
        <f>C15-$B$5</f>
        <v/>
      </c>
      <c r="E15" s="11" t="inlineStr">
        <is>
          <t>会合7: 2027/01/28 → 実効日:2027/01/29</t>
        </is>
      </c>
    </row>
    <row r="16">
      <c r="A16" s="7" t="inlineStr">
        <is>
          <t>JPBOJ8ONI=TRDT</t>
        </is>
      </c>
      <c r="B16" s="8" t="n">
        <v>0.0062</v>
      </c>
      <c r="C16" s="9" t="n">
        <v>46465</v>
      </c>
      <c r="D16" s="10">
        <f>C16-$B$5</f>
        <v/>
      </c>
      <c r="E16" s="11" t="inlineStr">
        <is>
          <t>会合8: 2027/03/18 → 実効日:2027/03/19</t>
        </is>
      </c>
    </row>
    <row r="18">
      <c r="A18" s="5" t="inlineStr">
        <is>
          <t>■ スポット金利 直接クォート（JPYOIS1-12M, 15M = ICAP）</t>
        </is>
      </c>
    </row>
    <row r="19">
      <c r="A19" s="12" t="inlineStr">
        <is>
          <t>LSEGティッカー</t>
        </is>
      </c>
      <c r="B19" s="12" t="inlineStr">
        <is>
          <t>スポット金利（%）</t>
        </is>
      </c>
      <c r="C19" s="12" t="inlineStr">
        <is>
          <t>実日数（ACT/MF）</t>
        </is>
      </c>
      <c r="D19" s="12" t="inlineStr">
        <is>
          <t>テナー</t>
        </is>
      </c>
      <c r="E19" s="12" t="inlineStr">
        <is>
          <t>備考</t>
        </is>
      </c>
    </row>
    <row r="20">
      <c r="A20" s="7" t="inlineStr">
        <is>
          <t>JPYOIS1M=ICAP</t>
        </is>
      </c>
      <c r="B20" s="8" t="n">
        <v>0.00485</v>
      </c>
      <c r="C20" s="13" t="n">
        <v>31</v>
      </c>
      <c r="D20" s="14" t="inlineStr">
        <is>
          <t>1M</t>
        </is>
      </c>
      <c r="E20" s="15" t="inlineStr">
        <is>
          <t>← LSEGより（MF適用後の実日数）</t>
        </is>
      </c>
    </row>
    <row r="21">
      <c r="A21" s="7" t="inlineStr">
        <is>
          <t>JPYOIS2M=ICAP</t>
        </is>
      </c>
      <c r="B21" s="8" t="n">
        <v>0.0049</v>
      </c>
      <c r="C21" s="13" t="n">
        <v>62</v>
      </c>
      <c r="D21" s="14" t="inlineStr">
        <is>
          <t>2M</t>
        </is>
      </c>
      <c r="E21" s="15" t="inlineStr">
        <is>
          <t>← LSEGより（MF適用後の実日数）</t>
        </is>
      </c>
    </row>
    <row r="22">
      <c r="A22" s="7" t="inlineStr">
        <is>
          <t>JPYOIS3M=ICAP</t>
        </is>
      </c>
      <c r="B22" s="8" t="n">
        <v>0.00498</v>
      </c>
      <c r="C22" s="13" t="n">
        <v>91</v>
      </c>
      <c r="D22" s="14" t="inlineStr">
        <is>
          <t>3M</t>
        </is>
      </c>
      <c r="E22" s="15" t="inlineStr">
        <is>
          <t>← LSEGより（MF適用後の実日数）</t>
        </is>
      </c>
    </row>
    <row r="23">
      <c r="A23" s="7" t="inlineStr">
        <is>
          <t>JPYOIS4M=ICAP</t>
        </is>
      </c>
      <c r="B23" s="8" t="n">
        <v>0.0051</v>
      </c>
      <c r="C23" s="13" t="n">
        <v>122</v>
      </c>
      <c r="D23" s="14" t="inlineStr">
        <is>
          <t>4M</t>
        </is>
      </c>
      <c r="E23" s="15" t="inlineStr">
        <is>
          <t>← LSEGより（MF適用後の実日数）</t>
        </is>
      </c>
    </row>
    <row r="24">
      <c r="A24" s="7" t="inlineStr">
        <is>
          <t>JPYOIS5M=ICAP</t>
        </is>
      </c>
      <c r="B24" s="8" t="n">
        <v>0.0052</v>
      </c>
      <c r="C24" s="13" t="n">
        <v>153</v>
      </c>
      <c r="D24" s="14" t="inlineStr">
        <is>
          <t>5M</t>
        </is>
      </c>
      <c r="E24" s="15" t="inlineStr">
        <is>
          <t>← LSEGより（MF適用後の実日数）</t>
        </is>
      </c>
    </row>
    <row r="25">
      <c r="A25" s="7" t="inlineStr">
        <is>
          <t>JPYOIS6M=ICAP</t>
        </is>
      </c>
      <c r="B25" s="8" t="n">
        <v>0.00535</v>
      </c>
      <c r="C25" s="13" t="n">
        <v>184</v>
      </c>
      <c r="D25" s="14" t="inlineStr">
        <is>
          <t>6M</t>
        </is>
      </c>
      <c r="E25" s="15" t="inlineStr">
        <is>
          <t>← LSEGより（MF適用後の実日数）</t>
        </is>
      </c>
    </row>
    <row r="26">
      <c r="A26" s="7" t="inlineStr">
        <is>
          <t>JPYOIS7M=ICAP</t>
        </is>
      </c>
      <c r="B26" s="8" t="n">
        <v>0.00548</v>
      </c>
      <c r="C26" s="13" t="n">
        <v>214</v>
      </c>
      <c r="D26" s="14" t="inlineStr">
        <is>
          <t>7M</t>
        </is>
      </c>
      <c r="E26" s="15" t="inlineStr">
        <is>
          <t>← LSEGより（MF適用後の実日数）</t>
        </is>
      </c>
    </row>
    <row r="27">
      <c r="A27" s="7" t="inlineStr">
        <is>
          <t>JPYOIS8M=ICAP</t>
        </is>
      </c>
      <c r="B27" s="8" t="n">
        <v>0.00558</v>
      </c>
      <c r="C27" s="13" t="n">
        <v>245</v>
      </c>
      <c r="D27" s="14" t="inlineStr">
        <is>
          <t>8M</t>
        </is>
      </c>
      <c r="E27" s="15" t="inlineStr">
        <is>
          <t>← LSEGより（MF適用後の実日数）</t>
        </is>
      </c>
    </row>
    <row r="28">
      <c r="A28" s="7" t="inlineStr">
        <is>
          <t>JPYOIS9M=ICAP</t>
        </is>
      </c>
      <c r="B28" s="8" t="n">
        <v>0.00565</v>
      </c>
      <c r="C28" s="13" t="n">
        <v>275</v>
      </c>
      <c r="D28" s="14" t="inlineStr">
        <is>
          <t>9M</t>
        </is>
      </c>
      <c r="E28" s="15" t="inlineStr">
        <is>
          <t>← LSEGより（MF適用後の実日数）</t>
        </is>
      </c>
    </row>
    <row r="29">
      <c r="A29" s="7" t="inlineStr">
        <is>
          <t>JPYOIS10M=ICAP</t>
        </is>
      </c>
      <c r="B29" s="8" t="n">
        <v>0.0057</v>
      </c>
      <c r="C29" s="13" t="n">
        <v>306</v>
      </c>
      <c r="D29" s="14" t="inlineStr">
        <is>
          <t>10M</t>
        </is>
      </c>
      <c r="E29" s="15" t="inlineStr">
        <is>
          <t>← LSEGより（MF適用後の実日数）</t>
        </is>
      </c>
    </row>
    <row r="30">
      <c r="A30" s="7" t="inlineStr">
        <is>
          <t>JPYOIS11M=ICAP</t>
        </is>
      </c>
      <c r="B30" s="8" t="n">
        <v>0.00575</v>
      </c>
      <c r="C30" s="13" t="n">
        <v>337</v>
      </c>
      <c r="D30" s="14" t="inlineStr">
        <is>
          <t>11M</t>
        </is>
      </c>
      <c r="E30" s="15" t="inlineStr">
        <is>
          <t>← LSEGより（MF適用後の実日数）</t>
        </is>
      </c>
    </row>
    <row r="31">
      <c r="A31" s="7" t="inlineStr">
        <is>
          <t>JPY1YOIS=ICAP</t>
        </is>
      </c>
      <c r="B31" s="8" t="n">
        <v>0.0058</v>
      </c>
      <c r="C31" s="13" t="n">
        <v>368</v>
      </c>
      <c r="D31" s="14" t="inlineStr">
        <is>
          <t>12M</t>
        </is>
      </c>
      <c r="E31" s="15" t="inlineStr">
        <is>
          <t>← LSEGより（MF適用後の実日数）</t>
        </is>
      </c>
    </row>
    <row r="32">
      <c r="A32" s="7" t="inlineStr">
        <is>
          <t>JPYOIS15M=ICAP</t>
        </is>
      </c>
      <c r="B32" s="8" t="n">
        <v>0.00595</v>
      </c>
      <c r="C32" s="13" t="n">
        <v>459</v>
      </c>
      <c r="D32" s="14" t="inlineStr">
        <is>
          <t>15M</t>
        </is>
      </c>
      <c r="E32" s="15" t="inlineStr">
        <is>
          <t>← LSEGより（MF適用後の実日数）</t>
        </is>
      </c>
    </row>
  </sheetData>
  <mergeCells count="4">
    <mergeCell ref="A2:E2"/>
    <mergeCell ref="A1:E1"/>
    <mergeCell ref="A18:E18"/>
    <mergeCell ref="A7:E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8" customWidth="1" min="7" max="7"/>
    <col width="20" customWidth="1" min="8" max="8"/>
    <col hidden="1" width="13" customWidth="1" min="10" max="10"/>
    <col hidden="1" width="13" customWidth="1" min="11" max="11"/>
    <col hidden="1" width="13" customWidth="1" min="12" max="12"/>
    <col hidden="1" width="13" customWidth="1" min="13" max="13"/>
  </cols>
  <sheetData>
    <row r="1" ht="22" customHeight="1">
      <c r="A1" s="16" t="inlineStr">
        <is>
          <t>BOJスワップ → インプライドスポット金利 逆算・歪み分析</t>
        </is>
      </c>
    </row>
    <row r="3">
      <c r="A3" t="inlineStr">
        <is>
          <t>トレード日</t>
        </is>
      </c>
      <c r="B3" s="17">
        <f>data!B4</f>
        <v/>
      </c>
    </row>
    <row r="4">
      <c r="A4" t="inlineStr">
        <is>
          <t>スポット日</t>
        </is>
      </c>
      <c r="B4" s="17">
        <f>data!B5</f>
        <v/>
      </c>
    </row>
    <row r="6">
      <c r="A6" s="18" t="inlineStr">
        <is>
          <t>【Step 1】 ブートストラップ: BOJフォワード金利 → 累積FV（割引係数の逆数）</t>
        </is>
      </c>
    </row>
    <row r="7" ht="32" customHeight="1">
      <c r="A7" s="6" t="inlineStr">
        <is>
          <t>テナー</t>
        </is>
      </c>
      <c r="B7" s="6" t="inlineStr">
        <is>
          <t>MPM実効日</t>
        </is>
      </c>
      <c r="C7" s="6" t="inlineStr">
        <is>
          <t>累積日数
D_i</t>
        </is>
      </c>
      <c r="D7" s="6" t="inlineStr">
        <is>
          <t>期間日数
ΔD_i</t>
        </is>
      </c>
      <c r="E7" s="6" t="inlineStr">
        <is>
          <t>フォワードM_i
(小数)</t>
        </is>
      </c>
      <c r="F7" s="6" t="inlineStr">
        <is>
          <t>累積FV_i
=1/DF_i</t>
        </is>
      </c>
      <c r="G7" s="6" t="inlineStr">
        <is>
          <t>割引係数
DF_i</t>
        </is>
      </c>
      <c r="H7" s="6" t="inlineStr">
        <is>
          <t>ゼロレート検証
(FV_i-1)×365/D_i</t>
        </is>
      </c>
    </row>
    <row r="8">
      <c r="A8" s="19" t="inlineStr">
        <is>
          <t>M1</t>
        </is>
      </c>
      <c r="B8" s="20">
        <f>data!C9</f>
        <v/>
      </c>
      <c r="C8" s="10">
        <f>data!D9</f>
        <v/>
      </c>
      <c r="D8" s="10">
        <f>C8</f>
        <v/>
      </c>
      <c r="E8" s="21">
        <f>data!B9</f>
        <v/>
      </c>
      <c r="F8" s="22">
        <f>1+E8*D8/365</f>
        <v/>
      </c>
      <c r="G8" s="22">
        <f>1/F8</f>
        <v/>
      </c>
      <c r="H8" s="21">
        <f>(F8-1)*365/C8</f>
        <v/>
      </c>
    </row>
    <row r="9">
      <c r="A9" s="19" t="inlineStr">
        <is>
          <t>M2</t>
        </is>
      </c>
      <c r="B9" s="20">
        <f>data!C10</f>
        <v/>
      </c>
      <c r="C9" s="10">
        <f>data!D10</f>
        <v/>
      </c>
      <c r="D9" s="10">
        <f>C9-C8</f>
        <v/>
      </c>
      <c r="E9" s="21">
        <f>data!B10</f>
        <v/>
      </c>
      <c r="F9" s="22">
        <f>F8*(1+E9*D9/365)</f>
        <v/>
      </c>
      <c r="G9" s="22">
        <f>1/F9</f>
        <v/>
      </c>
      <c r="H9" s="21">
        <f>(F9-1)*365/C9</f>
        <v/>
      </c>
    </row>
    <row r="10">
      <c r="A10" s="19" t="inlineStr">
        <is>
          <t>M3</t>
        </is>
      </c>
      <c r="B10" s="20">
        <f>data!C11</f>
        <v/>
      </c>
      <c r="C10" s="10">
        <f>data!D11</f>
        <v/>
      </c>
      <c r="D10" s="10">
        <f>C10-C9</f>
        <v/>
      </c>
      <c r="E10" s="21">
        <f>data!B11</f>
        <v/>
      </c>
      <c r="F10" s="22">
        <f>F9*(1+E10*D10/365)</f>
        <v/>
      </c>
      <c r="G10" s="22">
        <f>1/F10</f>
        <v/>
      </c>
      <c r="H10" s="21">
        <f>(F10-1)*365/C10</f>
        <v/>
      </c>
    </row>
    <row r="11">
      <c r="A11" s="19" t="inlineStr">
        <is>
          <t>M4</t>
        </is>
      </c>
      <c r="B11" s="20">
        <f>data!C12</f>
        <v/>
      </c>
      <c r="C11" s="10">
        <f>data!D12</f>
        <v/>
      </c>
      <c r="D11" s="10">
        <f>C11-C10</f>
        <v/>
      </c>
      <c r="E11" s="21">
        <f>data!B12</f>
        <v/>
      </c>
      <c r="F11" s="22">
        <f>F10*(1+E11*D11/365)</f>
        <v/>
      </c>
      <c r="G11" s="22">
        <f>1/F11</f>
        <v/>
      </c>
      <c r="H11" s="21">
        <f>(F11-1)*365/C11</f>
        <v/>
      </c>
    </row>
    <row r="12">
      <c r="A12" s="19" t="inlineStr">
        <is>
          <t>M5</t>
        </is>
      </c>
      <c r="B12" s="20">
        <f>data!C13</f>
        <v/>
      </c>
      <c r="C12" s="10">
        <f>data!D13</f>
        <v/>
      </c>
      <c r="D12" s="10">
        <f>C12-C11</f>
        <v/>
      </c>
      <c r="E12" s="21">
        <f>data!B13</f>
        <v/>
      </c>
      <c r="F12" s="22">
        <f>F11*(1+E12*D12/365)</f>
        <v/>
      </c>
      <c r="G12" s="22">
        <f>1/F12</f>
        <v/>
      </c>
      <c r="H12" s="21">
        <f>(F12-1)*365/C12</f>
        <v/>
      </c>
    </row>
    <row r="13">
      <c r="A13" s="19" t="inlineStr">
        <is>
          <t>M6</t>
        </is>
      </c>
      <c r="B13" s="20">
        <f>data!C14</f>
        <v/>
      </c>
      <c r="C13" s="10">
        <f>data!D14</f>
        <v/>
      </c>
      <c r="D13" s="10">
        <f>C13-C12</f>
        <v/>
      </c>
      <c r="E13" s="21">
        <f>data!B14</f>
        <v/>
      </c>
      <c r="F13" s="22">
        <f>F12*(1+E13*D13/365)</f>
        <v/>
      </c>
      <c r="G13" s="22">
        <f>1/F13</f>
        <v/>
      </c>
      <c r="H13" s="21">
        <f>(F13-1)*365/C13</f>
        <v/>
      </c>
    </row>
    <row r="14">
      <c r="A14" s="19" t="inlineStr">
        <is>
          <t>M7</t>
        </is>
      </c>
      <c r="B14" s="20">
        <f>data!C15</f>
        <v/>
      </c>
      <c r="C14" s="10">
        <f>data!D15</f>
        <v/>
      </c>
      <c r="D14" s="10">
        <f>C14-C13</f>
        <v/>
      </c>
      <c r="E14" s="21">
        <f>data!B15</f>
        <v/>
      </c>
      <c r="F14" s="22">
        <f>F13*(1+E14*D14/365)</f>
        <v/>
      </c>
      <c r="G14" s="22">
        <f>1/F14</f>
        <v/>
      </c>
      <c r="H14" s="21">
        <f>(F14-1)*365/C14</f>
        <v/>
      </c>
    </row>
    <row r="15">
      <c r="A15" s="19" t="inlineStr">
        <is>
          <t>M8</t>
        </is>
      </c>
      <c r="B15" s="20">
        <f>data!C16</f>
        <v/>
      </c>
      <c r="C15" s="10">
        <f>data!D16</f>
        <v/>
      </c>
      <c r="D15" s="10">
        <f>C15-C14</f>
        <v/>
      </c>
      <c r="E15" s="21">
        <f>data!B16</f>
        <v/>
      </c>
      <c r="F15" s="22">
        <f>F14*(1+E15*D15/365)</f>
        <v/>
      </c>
      <c r="G15" s="22">
        <f>1/F15</f>
        <v/>
      </c>
      <c r="H15" s="21">
        <f>(F15-1)*365/C15</f>
        <v/>
      </c>
    </row>
    <row r="17">
      <c r="A17" s="18" t="inlineStr">
        <is>
          <t>【Step 2】 インプライドスポット金利の逆算 &amp; 歪み計算</t>
        </is>
      </c>
    </row>
    <row r="18" ht="32" customHeight="1">
      <c r="A18" s="6" t="inlineStr">
        <is>
          <t>テナー</t>
        </is>
      </c>
      <c r="B18" s="6" t="inlineStr">
        <is>
          <t>実日数
D_T</t>
        </is>
      </c>
      <c r="C18" s="6" t="inlineStr">
        <is>
          <t>実スポット
金利</t>
        </is>
      </c>
      <c r="D18" s="6" t="inlineStr">
        <is>
          <t>FV(D_T)
逆算値</t>
        </is>
      </c>
      <c r="E18" s="6" t="inlineStr">
        <is>
          <t>インプライド
スポット金利</t>
        </is>
      </c>
      <c r="F18" s="6" t="inlineStr">
        <is>
          <t>歪み
実際－インプライド</t>
        </is>
      </c>
      <c r="G18" s="6" t="inlineStr">
        <is>
          <t>歪み
(bps)</t>
        </is>
      </c>
      <c r="H18" s="6" t="inlineStr">
        <is>
          <t>備考</t>
        </is>
      </c>
      <c r="J18" t="inlineStr">
        <is>
          <t>テナー</t>
        </is>
      </c>
      <c r="K18" t="inlineStr">
        <is>
          <t>インプライドスポット(%)</t>
        </is>
      </c>
      <c r="L18" t="inlineStr">
        <is>
          <t>実スポット(%)</t>
        </is>
      </c>
      <c r="M18" t="inlineStr">
        <is>
          <t>歪み(bps)</t>
        </is>
      </c>
    </row>
    <row r="19">
      <c r="A19" s="19" t="inlineStr">
        <is>
          <t>1M</t>
        </is>
      </c>
      <c r="B19" s="10">
        <f>data!C20</f>
        <v/>
      </c>
      <c r="C19" s="23">
        <f>data!B20</f>
        <v/>
      </c>
      <c r="D19" s="22">
        <f>IF(B19&lt;=$C$8,(1+$E$8*B19/365),IF(B19&lt;=$C$9,$F$8*(1+$E$9*(B19-$C$8)/365),IF(B19&lt;=$C$10,$F$9*(1+$E$10*(B19-$C$9)/365),IF(B19&lt;=$C$11,$F$10*(1+$E$11*(B19-$C$10)/365),IF(B19&lt;=$C$12,$F$11*(1+$E$12*(B19-$C$11)/365),IF(B19&lt;=$C$13,$F$12*(1+$E$13*(B19-$C$12)/365),IF(B19&lt;=$C$14,$F$13*(1+$E$14*(B19-$C$13)/365),IF(B19&lt;=$C$15,$F$14*(1+$E$15*(B19-$C$14)/365),$F$15*(1+$E$15*(B19-$C$15)/365)))))))))</f>
        <v/>
      </c>
      <c r="E19" s="21">
        <f>(D19-1)*365/B19</f>
        <v/>
      </c>
      <c r="F19" s="24">
        <f>C19-E19</f>
        <v/>
      </c>
      <c r="G19" s="25">
        <f>(C19-E19)*10000</f>
        <v/>
      </c>
      <c r="H19" s="15" t="inlineStr"/>
      <c r="J19" t="inlineStr">
        <is>
          <t>1M</t>
        </is>
      </c>
      <c r="K19">
        <f>E19</f>
        <v/>
      </c>
      <c r="L19">
        <f>C19</f>
        <v/>
      </c>
      <c r="M19">
        <f>G19</f>
        <v/>
      </c>
    </row>
    <row r="20">
      <c r="A20" s="19" t="inlineStr">
        <is>
          <t>2M</t>
        </is>
      </c>
      <c r="B20" s="10">
        <f>data!C21</f>
        <v/>
      </c>
      <c r="C20" s="23">
        <f>data!B21</f>
        <v/>
      </c>
      <c r="D20" s="22">
        <f>IF(B20&lt;=$C$8,(1+$E$8*B20/365),IF(B20&lt;=$C$9,$F$8*(1+$E$9*(B20-$C$8)/365),IF(B20&lt;=$C$10,$F$9*(1+$E$10*(B20-$C$9)/365),IF(B20&lt;=$C$11,$F$10*(1+$E$11*(B20-$C$10)/365),IF(B20&lt;=$C$12,$F$11*(1+$E$12*(B20-$C$11)/365),IF(B20&lt;=$C$13,$F$12*(1+$E$13*(B20-$C$12)/365),IF(B20&lt;=$C$14,$F$13*(1+$E$14*(B20-$C$13)/365),IF(B20&lt;=$C$15,$F$14*(1+$E$15*(B20-$C$14)/365),$F$15*(1+$E$15*(B20-$C$15)/365)))))))))</f>
        <v/>
      </c>
      <c r="E20" s="21">
        <f>(D20-1)*365/B20</f>
        <v/>
      </c>
      <c r="F20" s="24">
        <f>C20-E20</f>
        <v/>
      </c>
      <c r="G20" s="25">
        <f>(C20-E20)*10000</f>
        <v/>
      </c>
      <c r="H20" s="15" t="inlineStr"/>
      <c r="J20" t="inlineStr">
        <is>
          <t>2M</t>
        </is>
      </c>
      <c r="K20">
        <f>E20</f>
        <v/>
      </c>
      <c r="L20">
        <f>C20</f>
        <v/>
      </c>
      <c r="M20">
        <f>G20</f>
        <v/>
      </c>
    </row>
    <row r="21">
      <c r="A21" s="19" t="inlineStr">
        <is>
          <t>3M</t>
        </is>
      </c>
      <c r="B21" s="10">
        <f>data!C22</f>
        <v/>
      </c>
      <c r="C21" s="23">
        <f>data!B22</f>
        <v/>
      </c>
      <c r="D21" s="22">
        <f>IF(B21&lt;=$C$8,(1+$E$8*B21/365),IF(B21&lt;=$C$9,$F$8*(1+$E$9*(B21-$C$8)/365),IF(B21&lt;=$C$10,$F$9*(1+$E$10*(B21-$C$9)/365),IF(B21&lt;=$C$11,$F$10*(1+$E$11*(B21-$C$10)/365),IF(B21&lt;=$C$12,$F$11*(1+$E$12*(B21-$C$11)/365),IF(B21&lt;=$C$13,$F$12*(1+$E$13*(B21-$C$12)/365),IF(B21&lt;=$C$14,$F$13*(1+$E$14*(B21-$C$13)/365),IF(B21&lt;=$C$15,$F$14*(1+$E$15*(B21-$C$14)/365),$F$15*(1+$E$15*(B21-$C$15)/365)))))))))</f>
        <v/>
      </c>
      <c r="E21" s="21">
        <f>(D21-1)*365/B21</f>
        <v/>
      </c>
      <c r="F21" s="24">
        <f>C21-E21</f>
        <v/>
      </c>
      <c r="G21" s="25">
        <f>(C21-E21)*10000</f>
        <v/>
      </c>
      <c r="H21" s="15" t="inlineStr"/>
      <c r="J21" t="inlineStr">
        <is>
          <t>3M</t>
        </is>
      </c>
      <c r="K21">
        <f>E21</f>
        <v/>
      </c>
      <c r="L21">
        <f>C21</f>
        <v/>
      </c>
      <c r="M21">
        <f>G21</f>
        <v/>
      </c>
    </row>
    <row r="22">
      <c r="A22" s="19" t="inlineStr">
        <is>
          <t>4M</t>
        </is>
      </c>
      <c r="B22" s="10">
        <f>data!C23</f>
        <v/>
      </c>
      <c r="C22" s="23">
        <f>data!B23</f>
        <v/>
      </c>
      <c r="D22" s="22">
        <f>IF(B22&lt;=$C$8,(1+$E$8*B22/365),IF(B22&lt;=$C$9,$F$8*(1+$E$9*(B22-$C$8)/365),IF(B22&lt;=$C$10,$F$9*(1+$E$10*(B22-$C$9)/365),IF(B22&lt;=$C$11,$F$10*(1+$E$11*(B22-$C$10)/365),IF(B22&lt;=$C$12,$F$11*(1+$E$12*(B22-$C$11)/365),IF(B22&lt;=$C$13,$F$12*(1+$E$13*(B22-$C$12)/365),IF(B22&lt;=$C$14,$F$13*(1+$E$14*(B22-$C$13)/365),IF(B22&lt;=$C$15,$F$14*(1+$E$15*(B22-$C$14)/365),$F$15*(1+$E$15*(B22-$C$15)/365)))))))))</f>
        <v/>
      </c>
      <c r="E22" s="21">
        <f>(D22-1)*365/B22</f>
        <v/>
      </c>
      <c r="F22" s="24">
        <f>C22-E22</f>
        <v/>
      </c>
      <c r="G22" s="25">
        <f>(C22-E22)*10000</f>
        <v/>
      </c>
      <c r="H22" s="15" t="inlineStr"/>
      <c r="J22" t="inlineStr">
        <is>
          <t>4M</t>
        </is>
      </c>
      <c r="K22">
        <f>E22</f>
        <v/>
      </c>
      <c r="L22">
        <f>C22</f>
        <v/>
      </c>
      <c r="M22">
        <f>G22</f>
        <v/>
      </c>
    </row>
    <row r="23">
      <c r="A23" s="19" t="inlineStr">
        <is>
          <t>5M</t>
        </is>
      </c>
      <c r="B23" s="10">
        <f>data!C24</f>
        <v/>
      </c>
      <c r="C23" s="23">
        <f>data!B24</f>
        <v/>
      </c>
      <c r="D23" s="22">
        <f>IF(B23&lt;=$C$8,(1+$E$8*B23/365),IF(B23&lt;=$C$9,$F$8*(1+$E$9*(B23-$C$8)/365),IF(B23&lt;=$C$10,$F$9*(1+$E$10*(B23-$C$9)/365),IF(B23&lt;=$C$11,$F$10*(1+$E$11*(B23-$C$10)/365),IF(B23&lt;=$C$12,$F$11*(1+$E$12*(B23-$C$11)/365),IF(B23&lt;=$C$13,$F$12*(1+$E$13*(B23-$C$12)/365),IF(B23&lt;=$C$14,$F$13*(1+$E$14*(B23-$C$13)/365),IF(B23&lt;=$C$15,$F$14*(1+$E$15*(B23-$C$14)/365),$F$15*(1+$E$15*(B23-$C$15)/365)))))))))</f>
        <v/>
      </c>
      <c r="E23" s="21">
        <f>(D23-1)*365/B23</f>
        <v/>
      </c>
      <c r="F23" s="24">
        <f>C23-E23</f>
        <v/>
      </c>
      <c r="G23" s="25">
        <f>(C23-E23)*10000</f>
        <v/>
      </c>
      <c r="H23" s="15" t="inlineStr"/>
      <c r="J23" t="inlineStr">
        <is>
          <t>5M</t>
        </is>
      </c>
      <c r="K23">
        <f>E23</f>
        <v/>
      </c>
      <c r="L23">
        <f>C23</f>
        <v/>
      </c>
      <c r="M23">
        <f>G23</f>
        <v/>
      </c>
    </row>
    <row r="24">
      <c r="A24" s="19" t="inlineStr">
        <is>
          <t>6M</t>
        </is>
      </c>
      <c r="B24" s="10">
        <f>data!C25</f>
        <v/>
      </c>
      <c r="C24" s="23">
        <f>data!B25</f>
        <v/>
      </c>
      <c r="D24" s="22">
        <f>IF(B24&lt;=$C$8,(1+$E$8*B24/365),IF(B24&lt;=$C$9,$F$8*(1+$E$9*(B24-$C$8)/365),IF(B24&lt;=$C$10,$F$9*(1+$E$10*(B24-$C$9)/365),IF(B24&lt;=$C$11,$F$10*(1+$E$11*(B24-$C$10)/365),IF(B24&lt;=$C$12,$F$11*(1+$E$12*(B24-$C$11)/365),IF(B24&lt;=$C$13,$F$12*(1+$E$13*(B24-$C$12)/365),IF(B24&lt;=$C$14,$F$13*(1+$E$14*(B24-$C$13)/365),IF(B24&lt;=$C$15,$F$14*(1+$E$15*(B24-$C$14)/365),$F$15*(1+$E$15*(B24-$C$15)/365)))))))))</f>
        <v/>
      </c>
      <c r="E24" s="21">
        <f>(D24-1)*365/B24</f>
        <v/>
      </c>
      <c r="F24" s="24">
        <f>C24-E24</f>
        <v/>
      </c>
      <c r="G24" s="25">
        <f>(C24-E24)*10000</f>
        <v/>
      </c>
      <c r="H24" s="15" t="inlineStr"/>
      <c r="J24" t="inlineStr">
        <is>
          <t>6M</t>
        </is>
      </c>
      <c r="K24">
        <f>E24</f>
        <v/>
      </c>
      <c r="L24">
        <f>C24</f>
        <v/>
      </c>
      <c r="M24">
        <f>G24</f>
        <v/>
      </c>
    </row>
    <row r="25">
      <c r="A25" s="19" t="inlineStr">
        <is>
          <t>7M</t>
        </is>
      </c>
      <c r="B25" s="10">
        <f>data!C26</f>
        <v/>
      </c>
      <c r="C25" s="23">
        <f>data!B26</f>
        <v/>
      </c>
      <c r="D25" s="22">
        <f>IF(B25&lt;=$C$8,(1+$E$8*B25/365),IF(B25&lt;=$C$9,$F$8*(1+$E$9*(B25-$C$8)/365),IF(B25&lt;=$C$10,$F$9*(1+$E$10*(B25-$C$9)/365),IF(B25&lt;=$C$11,$F$10*(1+$E$11*(B25-$C$10)/365),IF(B25&lt;=$C$12,$F$11*(1+$E$12*(B25-$C$11)/365),IF(B25&lt;=$C$13,$F$12*(1+$E$13*(B25-$C$12)/365),IF(B25&lt;=$C$14,$F$13*(1+$E$14*(B25-$C$13)/365),IF(B25&lt;=$C$15,$F$14*(1+$E$15*(B25-$C$14)/365),$F$15*(1+$E$15*(B25-$C$15)/365)))))))))</f>
        <v/>
      </c>
      <c r="E25" s="21">
        <f>(D25-1)*365/B25</f>
        <v/>
      </c>
      <c r="F25" s="24">
        <f>C25-E25</f>
        <v/>
      </c>
      <c r="G25" s="25">
        <f>(C25-E25)*10000</f>
        <v/>
      </c>
      <c r="H25" s="15" t="inlineStr"/>
      <c r="J25" t="inlineStr">
        <is>
          <t>7M</t>
        </is>
      </c>
      <c r="K25">
        <f>E25</f>
        <v/>
      </c>
      <c r="L25">
        <f>C25</f>
        <v/>
      </c>
      <c r="M25">
        <f>G25</f>
        <v/>
      </c>
    </row>
    <row r="26">
      <c r="A26" s="19" t="inlineStr">
        <is>
          <t>8M</t>
        </is>
      </c>
      <c r="B26" s="10">
        <f>data!C27</f>
        <v/>
      </c>
      <c r="C26" s="23">
        <f>data!B27</f>
        <v/>
      </c>
      <c r="D26" s="22">
        <f>IF(B26&lt;=$C$8,(1+$E$8*B26/365),IF(B26&lt;=$C$9,$F$8*(1+$E$9*(B26-$C$8)/365),IF(B26&lt;=$C$10,$F$9*(1+$E$10*(B26-$C$9)/365),IF(B26&lt;=$C$11,$F$10*(1+$E$11*(B26-$C$10)/365),IF(B26&lt;=$C$12,$F$11*(1+$E$12*(B26-$C$11)/365),IF(B26&lt;=$C$13,$F$12*(1+$E$13*(B26-$C$12)/365),IF(B26&lt;=$C$14,$F$13*(1+$E$14*(B26-$C$13)/365),IF(B26&lt;=$C$15,$F$14*(1+$E$15*(B26-$C$14)/365),$F$15*(1+$E$15*(B26-$C$15)/365)))))))))</f>
        <v/>
      </c>
      <c r="E26" s="21">
        <f>(D26-1)*365/B26</f>
        <v/>
      </c>
      <c r="F26" s="24">
        <f>C26-E26</f>
        <v/>
      </c>
      <c r="G26" s="25">
        <f>(C26-E26)*10000</f>
        <v/>
      </c>
      <c r="H26" s="15" t="inlineStr"/>
      <c r="J26" t="inlineStr">
        <is>
          <t>8M</t>
        </is>
      </c>
      <c r="K26">
        <f>E26</f>
        <v/>
      </c>
      <c r="L26">
        <f>C26</f>
        <v/>
      </c>
      <c r="M26">
        <f>G26</f>
        <v/>
      </c>
    </row>
    <row r="27">
      <c r="A27" s="19" t="inlineStr">
        <is>
          <t>9M</t>
        </is>
      </c>
      <c r="B27" s="10">
        <f>data!C28</f>
        <v/>
      </c>
      <c r="C27" s="23">
        <f>data!B28</f>
        <v/>
      </c>
      <c r="D27" s="22">
        <f>IF(B27&lt;=$C$8,(1+$E$8*B27/365),IF(B27&lt;=$C$9,$F$8*(1+$E$9*(B27-$C$8)/365),IF(B27&lt;=$C$10,$F$9*(1+$E$10*(B27-$C$9)/365),IF(B27&lt;=$C$11,$F$10*(1+$E$11*(B27-$C$10)/365),IF(B27&lt;=$C$12,$F$11*(1+$E$12*(B27-$C$11)/365),IF(B27&lt;=$C$13,$F$12*(1+$E$13*(B27-$C$12)/365),IF(B27&lt;=$C$14,$F$13*(1+$E$14*(B27-$C$13)/365),IF(B27&lt;=$C$15,$F$14*(1+$E$15*(B27-$C$14)/365),$F$15*(1+$E$15*(B27-$C$15)/365)))))))))</f>
        <v/>
      </c>
      <c r="E27" s="21">
        <f>(D27-1)*365/B27</f>
        <v/>
      </c>
      <c r="F27" s="24">
        <f>C27-E27</f>
        <v/>
      </c>
      <c r="G27" s="25">
        <f>(C27-E27)*10000</f>
        <v/>
      </c>
      <c r="H27" s="15" t="inlineStr"/>
      <c r="J27" t="inlineStr">
        <is>
          <t>9M</t>
        </is>
      </c>
      <c r="K27">
        <f>E27</f>
        <v/>
      </c>
      <c r="L27">
        <f>C27</f>
        <v/>
      </c>
      <c r="M27">
        <f>G27</f>
        <v/>
      </c>
    </row>
    <row r="28">
      <c r="A28" s="19" t="inlineStr">
        <is>
          <t>10M</t>
        </is>
      </c>
      <c r="B28" s="10">
        <f>data!C29</f>
        <v/>
      </c>
      <c r="C28" s="23">
        <f>data!B29</f>
        <v/>
      </c>
      <c r="D28" s="22">
        <f>IF(B28&lt;=$C$8,(1+$E$8*B28/365),IF(B28&lt;=$C$9,$F$8*(1+$E$9*(B28-$C$8)/365),IF(B28&lt;=$C$10,$F$9*(1+$E$10*(B28-$C$9)/365),IF(B28&lt;=$C$11,$F$10*(1+$E$11*(B28-$C$10)/365),IF(B28&lt;=$C$12,$F$11*(1+$E$12*(B28-$C$11)/365),IF(B28&lt;=$C$13,$F$12*(1+$E$13*(B28-$C$12)/365),IF(B28&lt;=$C$14,$F$13*(1+$E$14*(B28-$C$13)/365),IF(B28&lt;=$C$15,$F$14*(1+$E$15*(B28-$C$14)/365),$F$15*(1+$E$15*(B28-$C$15)/365)))))))))</f>
        <v/>
      </c>
      <c r="E28" s="21">
        <f>(D28-1)*365/B28</f>
        <v/>
      </c>
      <c r="F28" s="24">
        <f>C28-E28</f>
        <v/>
      </c>
      <c r="G28" s="25">
        <f>(C28-E28)*10000</f>
        <v/>
      </c>
      <c r="H28" s="15" t="inlineStr"/>
      <c r="J28" t="inlineStr">
        <is>
          <t>10M</t>
        </is>
      </c>
      <c r="K28">
        <f>E28</f>
        <v/>
      </c>
      <c r="L28">
        <f>C28</f>
        <v/>
      </c>
      <c r="M28">
        <f>G28</f>
        <v/>
      </c>
    </row>
    <row r="29">
      <c r="A29" s="19" t="inlineStr">
        <is>
          <t>11M</t>
        </is>
      </c>
      <c r="B29" s="10">
        <f>data!C30</f>
        <v/>
      </c>
      <c r="C29" s="23">
        <f>data!B30</f>
        <v/>
      </c>
      <c r="D29" s="22">
        <f>IF(B29&lt;=$C$8,(1+$E$8*B29/365),IF(B29&lt;=$C$9,$F$8*(1+$E$9*(B29-$C$8)/365),IF(B29&lt;=$C$10,$F$9*(1+$E$10*(B29-$C$9)/365),IF(B29&lt;=$C$11,$F$10*(1+$E$11*(B29-$C$10)/365),IF(B29&lt;=$C$12,$F$11*(1+$E$12*(B29-$C$11)/365),IF(B29&lt;=$C$13,$F$12*(1+$E$13*(B29-$C$12)/365),IF(B29&lt;=$C$14,$F$13*(1+$E$14*(B29-$C$13)/365),IF(B29&lt;=$C$15,$F$14*(1+$E$15*(B29-$C$14)/365),$F$15*(1+$E$15*(B29-$C$15)/365)))))))))</f>
        <v/>
      </c>
      <c r="E29" s="21">
        <f>(D29-1)*365/B29</f>
        <v/>
      </c>
      <c r="F29" s="24">
        <f>C29-E29</f>
        <v/>
      </c>
      <c r="G29" s="25">
        <f>(C29-E29)*10000</f>
        <v/>
      </c>
      <c r="H29" s="15" t="inlineStr"/>
      <c r="J29" t="inlineStr">
        <is>
          <t>11M</t>
        </is>
      </c>
      <c r="K29">
        <f>E29</f>
        <v/>
      </c>
      <c r="L29">
        <f>C29</f>
        <v/>
      </c>
      <c r="M29">
        <f>G29</f>
        <v/>
      </c>
    </row>
    <row r="30">
      <c r="A30" s="19" t="inlineStr">
        <is>
          <t>12M</t>
        </is>
      </c>
      <c r="B30" s="10">
        <f>data!C31</f>
        <v/>
      </c>
      <c r="C30" s="23">
        <f>data!B31</f>
        <v/>
      </c>
      <c r="D30" s="22">
        <f>IF(B30&lt;=$C$8,(1+$E$8*B30/365),IF(B30&lt;=$C$9,$F$8*(1+$E$9*(B30-$C$8)/365),IF(B30&lt;=$C$10,$F$9*(1+$E$10*(B30-$C$9)/365),IF(B30&lt;=$C$11,$F$10*(1+$E$11*(B30-$C$10)/365),IF(B30&lt;=$C$12,$F$11*(1+$E$12*(B30-$C$11)/365),IF(B30&lt;=$C$13,$F$12*(1+$E$13*(B30-$C$12)/365),IF(B30&lt;=$C$14,$F$13*(1+$E$14*(B30-$C$13)/365),IF(B30&lt;=$C$15,$F$14*(1+$E$15*(B30-$C$14)/365),$F$15*(1+$E$15*(B30-$C$15)/365)))))))))</f>
        <v/>
      </c>
      <c r="E30" s="21">
        <f>(D30-1)*365/B30</f>
        <v/>
      </c>
      <c r="F30" s="24">
        <f>C30-E30</f>
        <v/>
      </c>
      <c r="G30" s="25">
        <f>(C30-E30)*10000</f>
        <v/>
      </c>
      <c r="H30" s="15" t="inlineStr">
        <is>
          <t>※MPM8超→外挿</t>
        </is>
      </c>
      <c r="J30" t="inlineStr">
        <is>
          <t>12M</t>
        </is>
      </c>
      <c r="K30">
        <f>E30</f>
        <v/>
      </c>
      <c r="L30">
        <f>C30</f>
        <v/>
      </c>
      <c r="M30">
        <f>G30</f>
        <v/>
      </c>
    </row>
    <row r="31">
      <c r="A31" s="19" t="inlineStr">
        <is>
          <t>15M</t>
        </is>
      </c>
      <c r="B31" s="10">
        <f>data!C32</f>
        <v/>
      </c>
      <c r="C31" s="23">
        <f>data!B32</f>
        <v/>
      </c>
      <c r="D31" s="22">
        <f>IF(B31&lt;=$C$8,(1+$E$8*B31/365),IF(B31&lt;=$C$9,$F$8*(1+$E$9*(B31-$C$8)/365),IF(B31&lt;=$C$10,$F$9*(1+$E$10*(B31-$C$9)/365),IF(B31&lt;=$C$11,$F$10*(1+$E$11*(B31-$C$10)/365),IF(B31&lt;=$C$12,$F$11*(1+$E$12*(B31-$C$11)/365),IF(B31&lt;=$C$13,$F$12*(1+$E$13*(B31-$C$12)/365),IF(B31&lt;=$C$14,$F$13*(1+$E$14*(B31-$C$13)/365),IF(B31&lt;=$C$15,$F$14*(1+$E$15*(B31-$C$14)/365),$F$15*(1+$E$15*(B31-$C$15)/365)))))))))</f>
        <v/>
      </c>
      <c r="E31" s="21">
        <f>(D31-1)*365/B31</f>
        <v/>
      </c>
      <c r="F31" s="24">
        <f>C31-E31</f>
        <v/>
      </c>
      <c r="G31" s="25">
        <f>(C31-E31)*10000</f>
        <v/>
      </c>
      <c r="H31" s="15" t="inlineStr">
        <is>
          <t>※MPM8超→外挿</t>
        </is>
      </c>
      <c r="J31" t="inlineStr">
        <is>
          <t>15M</t>
        </is>
      </c>
      <c r="K31">
        <f>E31</f>
        <v/>
      </c>
      <c r="L31">
        <f>C31</f>
        <v/>
      </c>
      <c r="M31">
        <f>G31</f>
        <v/>
      </c>
    </row>
    <row r="34">
      <c r="A34" s="18" t="inlineStr">
        <is>
          <t>【計算定義】 Act/365 Fixed, 単利建て（日本円OIS市場標準）</t>
        </is>
      </c>
    </row>
    <row r="35">
      <c r="A35" s="26" t="inlineStr">
        <is>
          <t>① デイカウント: ACT/365 Fixed（全期間共通）</t>
        </is>
      </c>
    </row>
    <row r="36">
      <c r="A36" s="26" t="inlineStr">
        <is>
          <t>② BOJスワップ M_i (JPBOJ1-8ONI): フォワード期間OIS金利（単利建て）</t>
        </is>
      </c>
    </row>
    <row r="37">
      <c r="A37" s="27" t="inlineStr">
        <is>
          <t xml:space="preserve">   JPBOJ1ONI: スポット日 → MPM1実効日  の期間フォワード金利</t>
        </is>
      </c>
    </row>
    <row r="38">
      <c r="A38" s="27" t="inlineStr">
        <is>
          <t xml:space="preserve">   JPBOJ2ONI: MPM1実効日 → MPM2実効日 の期間フォワード金利（以降同様）</t>
        </is>
      </c>
    </row>
    <row r="39">
      <c r="A39" s="26" t="inlineStr">
        <is>
          <t>③ 累積FV: FV_0=1,  FV_i = FV_{i-1} × (1 + M_i × ΔD_i/365)</t>
        </is>
      </c>
    </row>
    <row r="40">
      <c r="A40" s="27" t="inlineStr">
        <is>
          <t xml:space="preserve">   ΔD_i = D(MPM_i実効日) - D(MPM_{i-1}実効日)  [i=1のみ D(MPM1) - D(Spot)]</t>
        </is>
      </c>
    </row>
    <row r="41">
      <c r="A41" s="26" t="inlineStr">
        <is>
          <t>④ テナーT(実日数D_T)のFV逆算: D_{k-1} &lt; D_T ≤ D_k の場合</t>
        </is>
      </c>
    </row>
    <row r="42">
      <c r="A42" s="27" t="inlineStr">
        <is>
          <t xml:space="preserve">   FV_T = FV_{k-1} × (1 + M_k × (D_T - D_{k-1})/365)  ← 期間内一定ON金利を仮定</t>
        </is>
      </c>
    </row>
    <row r="43">
      <c r="A43" s="26" t="inlineStr">
        <is>
          <t>⑤ インプライドスポット金利: r_implied = (FV_T - 1) × 365/D_T  [単利, ACT/365]</t>
        </is>
      </c>
    </row>
    <row r="44">
      <c r="A44" s="26" t="inlineStr">
        <is>
          <t>⑥ 歪み = 実スポット金利 − インプライドスポット金利  [bps換算: ×10000]</t>
        </is>
      </c>
    </row>
    <row r="45">
      <c r="A45" s="26" t="inlineStr">
        <is>
          <t>⑦ MPM8超テナー(15M等): M8フォワード金利で外挿（ON金利一定継続の仮定）</t>
        </is>
      </c>
    </row>
    <row r="46">
      <c r="A46" s="27" t="inlineStr">
        <is>
          <t>※ スポット金利: JPYOIS1-12M=ICAP, 15M=ICAP（TONA OIS直接クォート）</t>
        </is>
      </c>
    </row>
  </sheetData>
  <mergeCells count="4">
    <mergeCell ref="A34:H34"/>
    <mergeCell ref="A6:H6"/>
    <mergeCell ref="A17:H17"/>
    <mergeCell ref="A1:H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2026-03-22T02:40:07Z</dcterms:created>
  <dcterms:modified xmlns:dcterms="http://purl.org/dc/terms/" xmlns:xsi="http://www.w3.org/2001/XMLSchema-instance" xsi:type="dcterms:W3CDTF">2026-03-22T02:40:07Z</dcterms:modified>
</cp:coreProperties>
</file>