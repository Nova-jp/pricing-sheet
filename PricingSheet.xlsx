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3" yWindow="-113" windowWidth="21638" windowHeight="12885" tabRatio="500" firstSheet="0" activeTab="0" autoFilterDateGrouping="1"/>
  </bookViews>
  <sheets>
    <sheet xmlns:r="http://schemas.openxmlformats.org/officeDocument/2006/relationships" name="RealTime" sheetId="1" state="visible" r:id="rId1"/>
    <sheet xmlns:r="http://schemas.openxmlformats.org/officeDocument/2006/relationships" name="pricing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_xlwings.conf" sheetId="5" state="visible" r:id="rId5"/>
  </sheets>
  <definedNames/>
  <calcPr calcId="124519" calcMode="manual" fullCalcOnLoad="0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2"/>
      <scheme val="minor"/>
    </font>
    <font>
      <name val="Arial"/>
      <family val="2"/>
      <color theme="1"/>
      <sz val="10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Value</t>
        </is>
      </c>
    </row>
    <row r="2">
      <c r="A2" t="inlineStr">
        <is>
          <t>O/N</t>
        </is>
      </c>
    </row>
    <row r="3">
      <c r="A3" t="inlineStr">
        <is>
          <t>1W</t>
        </is>
      </c>
      <c r="B3" t="n">
        <v>0.9788</v>
      </c>
    </row>
    <row r="4">
      <c r="A4" t="inlineStr">
        <is>
          <t>1M</t>
        </is>
      </c>
      <c r="B4" t="n">
        <v>0.97925</v>
      </c>
    </row>
    <row r="5">
      <c r="A5" t="inlineStr">
        <is>
          <t>2M</t>
        </is>
      </c>
      <c r="B5" t="n">
        <v>1.02984</v>
      </c>
    </row>
    <row r="6">
      <c r="A6" t="inlineStr">
        <is>
          <t>3M</t>
        </is>
      </c>
      <c r="B6" t="n">
        <v>1.075</v>
      </c>
    </row>
    <row r="7">
      <c r="A7" t="inlineStr">
        <is>
          <t>4M</t>
        </is>
      </c>
      <c r="B7" t="n">
        <v>1.11506</v>
      </c>
    </row>
    <row r="8">
      <c r="A8" t="inlineStr">
        <is>
          <t>5M</t>
        </is>
      </c>
      <c r="B8" t="n">
        <v>1.15455</v>
      </c>
    </row>
    <row r="9">
      <c r="A9" t="inlineStr">
        <is>
          <t>6M</t>
        </is>
      </c>
      <c r="B9" t="n">
        <v>1.1937</v>
      </c>
    </row>
    <row r="10">
      <c r="A10" t="inlineStr">
        <is>
          <t>7M</t>
        </is>
      </c>
      <c r="B10" t="n">
        <v>1.22676</v>
      </c>
    </row>
    <row r="11">
      <c r="A11" t="inlineStr">
        <is>
          <t>8M</t>
        </is>
      </c>
      <c r="B11" t="n">
        <v>1.26125</v>
      </c>
    </row>
    <row r="12">
      <c r="A12" t="inlineStr">
        <is>
          <t>9M</t>
        </is>
      </c>
      <c r="B12" t="n">
        <v>1.2945</v>
      </c>
    </row>
    <row r="13">
      <c r="A13" t="inlineStr">
        <is>
          <t>10M</t>
        </is>
      </c>
      <c r="B13" t="n">
        <v>1.329</v>
      </c>
    </row>
    <row r="14">
      <c r="A14" t="inlineStr">
        <is>
          <t>11M</t>
        </is>
      </c>
      <c r="B14" t="n">
        <v>1.35861</v>
      </c>
    </row>
    <row r="15">
      <c r="A15" t="inlineStr">
        <is>
          <t>1Y</t>
        </is>
      </c>
      <c r="B15" t="n">
        <v>1.38763</v>
      </c>
    </row>
    <row r="16">
      <c r="A16" t="inlineStr">
        <is>
          <t>15M</t>
        </is>
      </c>
      <c r="B16" t="n">
        <v>1.46281</v>
      </c>
    </row>
    <row r="17">
      <c r="A17" t="inlineStr">
        <is>
          <t>18M</t>
        </is>
      </c>
      <c r="B17" t="n">
        <v>1.53125</v>
      </c>
    </row>
    <row r="18">
      <c r="A18" t="inlineStr">
        <is>
          <t>21M</t>
        </is>
      </c>
    </row>
    <row r="19">
      <c r="A19" t="inlineStr">
        <is>
          <t>24M</t>
        </is>
      </c>
      <c r="B19" t="n">
        <v>1.65125</v>
      </c>
    </row>
    <row r="20">
      <c r="A20" t="inlineStr">
        <is>
          <t>36M</t>
        </is>
      </c>
      <c r="B20" t="n">
        <v>1.82542</v>
      </c>
    </row>
    <row r="21">
      <c r="A21" t="inlineStr">
        <is>
          <t>4Y</t>
        </is>
      </c>
      <c r="B21" t="n">
        <v>1.97058</v>
      </c>
    </row>
    <row r="22">
      <c r="A22" t="inlineStr">
        <is>
          <t>5Y</t>
        </is>
      </c>
      <c r="B22" t="n">
        <v>2.10308</v>
      </c>
    </row>
    <row r="23">
      <c r="A23" t="inlineStr">
        <is>
          <t>6Y</t>
        </is>
      </c>
      <c r="B23" t="n">
        <v>2.22542</v>
      </c>
    </row>
    <row r="24">
      <c r="A24" t="inlineStr">
        <is>
          <t>7Y</t>
        </is>
      </c>
      <c r="B24" t="n">
        <v>2.34192</v>
      </c>
    </row>
    <row r="25">
      <c r="A25" t="inlineStr">
        <is>
          <t>8Y</t>
        </is>
      </c>
      <c r="B25" t="n">
        <v>2.45308</v>
      </c>
    </row>
    <row r="26">
      <c r="A26" t="inlineStr">
        <is>
          <t>9Y</t>
        </is>
      </c>
      <c r="B26" t="n">
        <v>2.55838</v>
      </c>
    </row>
    <row r="27">
      <c r="A27" t="inlineStr">
        <is>
          <t>10Y</t>
        </is>
      </c>
      <c r="B27" t="n">
        <v>2.65676</v>
      </c>
    </row>
    <row r="28">
      <c r="A28" t="inlineStr">
        <is>
          <t>11Y</t>
        </is>
      </c>
      <c r="B28" t="n">
        <v>2.74833</v>
      </c>
    </row>
    <row r="29">
      <c r="A29" t="inlineStr">
        <is>
          <t>12Y</t>
        </is>
      </c>
      <c r="B29" t="n">
        <v>2.83192</v>
      </c>
    </row>
    <row r="30">
      <c r="A30" t="inlineStr">
        <is>
          <t>15Y</t>
        </is>
      </c>
      <c r="B30" t="n">
        <v>3.04478</v>
      </c>
    </row>
    <row r="31">
      <c r="A31" t="inlineStr">
        <is>
          <t>20Y</t>
        </is>
      </c>
      <c r="B31" t="n">
        <v>3.29669</v>
      </c>
    </row>
    <row r="32">
      <c r="A32" t="inlineStr">
        <is>
          <t>25Y</t>
        </is>
      </c>
      <c r="B32" t="n">
        <v>3.4275</v>
      </c>
    </row>
    <row r="33">
      <c r="A33" t="inlineStr">
        <is>
          <t>30Y</t>
        </is>
      </c>
      <c r="B33" t="n">
        <v>3.48211</v>
      </c>
    </row>
    <row r="34">
      <c r="A34" t="inlineStr">
        <is>
          <t>35Y</t>
        </is>
      </c>
      <c r="B34" t="n">
        <v>3.49688</v>
      </c>
    </row>
    <row r="35">
      <c r="A35" t="inlineStr">
        <is>
          <t>40Y</t>
        </is>
      </c>
      <c r="B35" t="n">
        <v>3.49094</v>
      </c>
    </row>
    <row r="36">
      <c r="A36" t="inlineStr">
        <is>
          <t>M1</t>
        </is>
      </c>
    </row>
    <row r="37">
      <c r="A37" t="inlineStr">
        <is>
          <t>M2</t>
        </is>
      </c>
    </row>
    <row r="38">
      <c r="A38" t="inlineStr">
        <is>
          <t>M3</t>
        </is>
      </c>
    </row>
    <row r="39">
      <c r="A39" t="inlineStr">
        <is>
          <t>M4</t>
        </is>
      </c>
    </row>
    <row r="40">
      <c r="A40" t="inlineStr">
        <is>
          <t>M5</t>
        </is>
      </c>
    </row>
    <row r="41">
      <c r="A41" t="inlineStr">
        <is>
          <t>M6</t>
        </is>
      </c>
    </row>
    <row r="42">
      <c r="A42" t="inlineStr">
        <is>
          <t>M7</t>
        </is>
      </c>
    </row>
    <row r="43">
      <c r="A43" t="inlineStr">
        <is>
          <t>M8</t>
        </is>
      </c>
    </row>
    <row r="45">
      <c r="A45" t="inlineStr">
        <is>
          <t>include_15_18_21m</t>
        </is>
      </c>
      <c r="B45" t="b">
        <v>0</v>
      </c>
    </row>
  </sheetData>
  <dataValidations count="1">
    <dataValidation sqref="B4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01"/>
  <sheetViews>
    <sheetView workbookViewId="0">
      <selection activeCell="A1" sqref="A1"/>
    </sheetView>
  </sheetViews>
  <sheetFormatPr baseColWidth="8" defaultRowHeight="15"/>
  <cols>
    <col width="13" customWidth="1" min="3" max="3"/>
    <col width="9.42578125" customWidth="1" min="6" max="6"/>
  </cols>
  <sheetData>
    <row r="1">
      <c r="A1" t="inlineStr">
        <is>
          <t>flag</t>
        </is>
      </c>
      <c r="B1" t="inlineStr">
        <is>
          <t>risk_flag</t>
        </is>
      </c>
      <c r="C1" t="inlineStr">
        <is>
          <t>remarks</t>
        </is>
      </c>
      <c r="D1" t="inlineStr">
        <is>
          <t>notional</t>
        </is>
      </c>
      <c r="E1" t="inlineStr">
        <is>
          <t>delta</t>
        </is>
      </c>
      <c r="F1" t="inlineStr">
        <is>
          <t>adj_notional</t>
        </is>
      </c>
      <c r="G1" t="inlineStr">
        <is>
          <t>start</t>
        </is>
      </c>
      <c r="H1" t="inlineStr">
        <is>
          <t>tenor</t>
        </is>
      </c>
      <c r="I1" t="inlineStr">
        <is>
          <t>end</t>
        </is>
      </c>
      <c r="J1" t="inlineStr">
        <is>
          <t>fix rate</t>
        </is>
      </c>
      <c r="K1" t="inlineStr">
        <is>
          <t>fix freq</t>
        </is>
      </c>
      <c r="L1" t="inlineStr">
        <is>
          <t>fix dcf</t>
        </is>
      </c>
      <c r="M1" t="inlineStr">
        <is>
          <t>index</t>
        </is>
      </c>
      <c r="N1" t="inlineStr">
        <is>
          <t>float freq</t>
        </is>
      </c>
      <c r="O1" t="inlineStr">
        <is>
          <t>float dcf</t>
        </is>
      </c>
      <c r="P1" t="inlineStr">
        <is>
          <t>roll conv</t>
        </is>
      </c>
      <c r="Q1" t="inlineStr">
        <is>
          <t>target fixrate</t>
        </is>
      </c>
      <c r="R1" t="inlineStr">
        <is>
          <t>spred</t>
        </is>
      </c>
      <c r="S1" t="inlineStr">
        <is>
          <t>fly</t>
        </is>
      </c>
      <c r="T1" t="inlineStr">
        <is>
          <t>pay/rec</t>
        </is>
      </c>
      <c r="U1" t="inlineStr">
        <is>
          <t>PV</t>
        </is>
      </c>
      <c r="V1" t="inlineStr">
        <is>
          <t>delta</t>
        </is>
      </c>
      <c r="W1" t="inlineStr">
        <is>
          <t>delta(annuity)</t>
        </is>
      </c>
      <c r="Z1">
        <f>INDEX(BucketedDelta($G2,$H2,$I2,$K2,$L2,$N2,$O2,$P2,$D2,$T2,$J2,RealTime!$A$2:$B$43,TODAY(),TRUE),1,0)</f>
        <v/>
      </c>
    </row>
    <row r="2">
      <c r="A2" t="n">
        <v>1</v>
      </c>
      <c r="B2" t="n">
        <v>0</v>
      </c>
      <c r="C2" t="inlineStr">
        <is>
          <t>test</t>
        </is>
      </c>
      <c r="D2" t="n">
        <v>1000000000</v>
      </c>
      <c r="F2">
        <f>IF($E2="","",NotionalForDelta($E2,$G2,$H2,$I2,$K2,$L2,$N2,$O2,$P2,$T2,RealTime!$A$2:$B$43,TODAY()))</f>
        <v/>
      </c>
      <c r="G2" s="4" t="n">
        <v>46233</v>
      </c>
      <c r="H2" t="inlineStr">
        <is>
          <t>2y</t>
        </is>
      </c>
      <c r="I2" s="4" t="n">
        <v>46965</v>
      </c>
      <c r="K2" t="inlineStr">
        <is>
          <t>PA</t>
        </is>
      </c>
      <c r="L2" t="inlineStr">
        <is>
          <t>act/365fixed</t>
        </is>
      </c>
      <c r="M2" t="inlineStr">
        <is>
          <t>JSCC</t>
        </is>
      </c>
      <c r="N2" t="inlineStr">
        <is>
          <t>PA</t>
        </is>
      </c>
      <c r="O2" t="inlineStr">
        <is>
          <t>act/365fixed</t>
        </is>
      </c>
      <c r="P2" t="inlineStr">
        <is>
          <t>STD</t>
        </is>
      </c>
      <c r="Q2">
        <f>FairRate($G2,$H2,$I2,$K2,$L2,$N2,$O2,$P2,RealTime!$A$2:$B$43,TODAY())</f>
        <v/>
      </c>
      <c r="R2">
        <f>IF(ISNUMBER(Q1),Q2-Q1,"")</f>
        <v/>
      </c>
      <c r="S2">
        <f>IF(AND(ISNUMBER(Q1),ISNUMBER(Q3)),2*Q2-Q1-Q3,"")</f>
        <v/>
      </c>
      <c r="T2" t="inlineStr">
        <is>
          <t>PAY</t>
        </is>
      </c>
      <c r="U2">
        <f>SwapPV($G2,$H2,$I2,$K2,$L2,$N2,$O2,$P2,$D2,$T2,$J2,RealTime!$A$2:$B$43,TODAY())</f>
        <v/>
      </c>
      <c r="V2">
        <f>SwapDelta($G2,$H2,$I2,$K2,$L2,$N2,$O2,$P2,$D2,$T2,$J2,RealTime!$A$2:$B$43,TODAY())</f>
        <v/>
      </c>
      <c r="W2">
        <f>SwapAnnuityDelta($G2,$H2,$I2,$K2,$L2,$N2,$O2,$P2,$D2,$T2,RealTime!$A$2:$B$43,TODAY())</f>
        <v/>
      </c>
      <c r="Z2">
        <f>IF($B2=1,BucketedDelta($G2,$H2,$I2,$K2,$L2,$N2,$O2,$P2,$D2,$T2,$J2,RealTime!$A$2:$B$43,TODAY(),FALSE),"")</f>
        <v/>
      </c>
    </row>
    <row r="3">
      <c r="A3" t="n">
        <v>1</v>
      </c>
      <c r="B3" t="n">
        <v>0</v>
      </c>
      <c r="C3" t="inlineStr">
        <is>
          <t>test</t>
        </is>
      </c>
      <c r="D3" t="n">
        <v>1000000000</v>
      </c>
      <c r="F3">
        <f>IF($E3="","",NotionalForDelta($E3,$G3,$H3,$I3,$K3,$L3,$N3,$O3,$P3,$T3,RealTime!$A$2:$B$43,TODAY()))</f>
        <v/>
      </c>
      <c r="G3" s="4" t="n">
        <v>46233</v>
      </c>
      <c r="H3" t="inlineStr">
        <is>
          <t>5y</t>
        </is>
      </c>
      <c r="I3" s="4" t="n">
        <v>48059</v>
      </c>
      <c r="K3" t="inlineStr">
        <is>
          <t>PA</t>
        </is>
      </c>
      <c r="L3" t="inlineStr">
        <is>
          <t>act/365fixed</t>
        </is>
      </c>
      <c r="M3" t="inlineStr">
        <is>
          <t>JSCC</t>
        </is>
      </c>
      <c r="N3" t="inlineStr">
        <is>
          <t>PA</t>
        </is>
      </c>
      <c r="O3" t="inlineStr">
        <is>
          <t>act/365fixed</t>
        </is>
      </c>
      <c r="P3" t="inlineStr">
        <is>
          <t>STD</t>
        </is>
      </c>
      <c r="Q3">
        <f>FairRate($G3,$H3,$I3,$K3,$L3,$N3,$O3,$P3,RealTime!$A$2:$B$43,TODAY())</f>
        <v/>
      </c>
      <c r="R3">
        <f>IF(ISNUMBER(Q2),Q3-Q2,"")</f>
        <v/>
      </c>
      <c r="S3">
        <f>IF(AND(ISNUMBER(Q2),ISNUMBER(Q4)),2*Q3-Q2-Q4,"")</f>
        <v/>
      </c>
      <c r="T3" t="inlineStr">
        <is>
          <t>PAY</t>
        </is>
      </c>
      <c r="U3">
        <f>SwapPV($G3,$H3,$I3,$K3,$L3,$N3,$O3,$P3,$D3,$T3,$J3,RealTime!$A$2:$B$43,TODAY())</f>
        <v/>
      </c>
      <c r="V3">
        <f>SwapDelta($G3,$H3,$I3,$K3,$L3,$N3,$O3,$P3,$D3,$T3,$J3,RealTime!$A$2:$B$43,TODAY())</f>
        <v/>
      </c>
      <c r="W3">
        <f>SwapAnnuityDelta($G3,$H3,$I3,$K3,$L3,$N3,$O3,$P3,$D3,$T3,RealTime!$A$2:$B$43,TODAY())</f>
        <v/>
      </c>
      <c r="Z3">
        <f>IF($B3=1,BucketedDelta($G3,$H3,$I3,$K3,$L3,$N3,$O3,$P3,$D3,$T3,$J3,RealTime!$A$2:$B$43,TODAY(),FALSE),"")</f>
        <v/>
      </c>
    </row>
    <row r="4">
      <c r="A4" t="n">
        <v>1</v>
      </c>
      <c r="B4" t="n">
        <v>0</v>
      </c>
      <c r="C4" t="inlineStr">
        <is>
          <t>test</t>
        </is>
      </c>
      <c r="D4" t="n">
        <v>1000000000</v>
      </c>
      <c r="F4">
        <f>IF($E4="","",NotionalForDelta($E4,$G4,$H4,$I4,$K4,$L4,$N4,$O4,$P4,$T4,RealTime!$A$2:$B$43,TODAY()))</f>
        <v/>
      </c>
      <c r="G4" s="4" t="n">
        <v>46233</v>
      </c>
      <c r="H4" t="inlineStr">
        <is>
          <t>10y</t>
        </is>
      </c>
      <c r="I4" s="4" t="n">
        <v>49886</v>
      </c>
      <c r="K4" t="inlineStr">
        <is>
          <t>PA</t>
        </is>
      </c>
      <c r="L4" t="inlineStr">
        <is>
          <t>act/365fixed</t>
        </is>
      </c>
      <c r="M4" t="inlineStr">
        <is>
          <t>JSCC</t>
        </is>
      </c>
      <c r="N4" t="inlineStr">
        <is>
          <t>PA</t>
        </is>
      </c>
      <c r="O4" t="inlineStr">
        <is>
          <t>act/365fixed</t>
        </is>
      </c>
      <c r="P4" t="inlineStr">
        <is>
          <t>STD</t>
        </is>
      </c>
      <c r="Q4">
        <f>FairRate($G4,$H4,$I4,$K4,$L4,$N4,$O4,$P4,RealTime!$A$2:$B$43,TODAY())</f>
        <v/>
      </c>
      <c r="R4">
        <f>IF(ISNUMBER(Q3),Q4-Q3,"")</f>
        <v/>
      </c>
      <c r="S4">
        <f>IF(AND(ISNUMBER(Q3),ISNUMBER(Q5)),2*Q4-Q3-Q5,"")</f>
        <v/>
      </c>
      <c r="T4" t="inlineStr">
        <is>
          <t>PAY</t>
        </is>
      </c>
      <c r="U4">
        <f>SwapPV($G4,$H4,$I4,$K4,$L4,$N4,$O4,$P4,$D4,$T4,$J4,RealTime!$A$2:$B$43,TODAY())</f>
        <v/>
      </c>
      <c r="V4">
        <f>SwapDelta($G4,$H4,$I4,$K4,$L4,$N4,$O4,$P4,$D4,$T4,$J4,RealTime!$A$2:$B$43,TODAY())</f>
        <v/>
      </c>
      <c r="W4">
        <f>SwapAnnuityDelta($G4,$H4,$I4,$K4,$L4,$N4,$O4,$P4,$D4,$T4,RealTime!$A$2:$B$43,TODAY())</f>
        <v/>
      </c>
      <c r="Z4">
        <f>IF($B4=1,BucketedDelta($G4,$H4,$I4,$K4,$L4,$N4,$O4,$P4,$D4,$T4,$J4,RealTime!$A$2:$B$43,TODAY(),FALSE),"")</f>
        <v/>
      </c>
    </row>
    <row r="5">
      <c r="F5">
        <f>IF($E5="","",NotionalForDelta($E5,$G5,$H5,$I5,$K5,$L5,$N5,$O5,$P5,$T5,RealTime!$A$2:$B$43,TODAY()))</f>
        <v/>
      </c>
      <c r="Q5">
        <f>FairRate($G5,$H5,$I5,$K5,$L5,$N5,$O5,$P5,RealTime!$A$2:$B$43,TODAY())</f>
        <v/>
      </c>
      <c r="R5">
        <f>IF(ISNUMBER(Q4),Q5-Q4,"")</f>
        <v/>
      </c>
      <c r="S5">
        <f>IF(AND(ISNUMBER(Q4),ISNUMBER(Q6)),2*Q5-Q4-Q6,"")</f>
        <v/>
      </c>
      <c r="U5">
        <f>SwapPV($G5,$H5,$I5,$K5,$L5,$N5,$O5,$P5,$D5,$T5,$J5,RealTime!$A$2:$B$43,TODAY())</f>
        <v/>
      </c>
      <c r="V5">
        <f>SwapDelta($G5,$H5,$I5,$K5,$L5,$N5,$O5,$P5,$D5,$T5,$J5,RealTime!$A$2:$B$43,TODAY())</f>
        <v/>
      </c>
      <c r="W5">
        <f>SwapAnnuityDelta($G5,$H5,$I5,$K5,$L5,$N5,$O5,$P5,$D5,$T5,RealTime!$A$2:$B$43,TODAY())</f>
        <v/>
      </c>
      <c r="Z5">
        <f>IF($B5=1,BucketedDelta($G5,$H5,$I5,$K5,$L5,$N5,$O5,$P5,$D5,$T5,$J5,RealTime!$A$2:$B$43,TODAY(),FALSE),"")</f>
        <v/>
      </c>
    </row>
    <row r="6">
      <c r="F6">
        <f>IF($E6="","",NotionalForDelta($E6,$G6,$H6,$I6,$K6,$L6,$N6,$O6,$P6,$T6,RealTime!$A$2:$B$43,TODAY()))</f>
        <v/>
      </c>
      <c r="Q6">
        <f>FairRate($G6,$H6,$I6,$K6,$L6,$N6,$O6,$P6,RealTime!$A$2:$B$43,TODAY())</f>
        <v/>
      </c>
      <c r="R6">
        <f>IF(ISNUMBER(Q5),Q6-Q5,"")</f>
        <v/>
      </c>
      <c r="S6">
        <f>IF(AND(ISNUMBER(Q5),ISNUMBER(Q7)),2*Q6-Q5-Q7,"")</f>
        <v/>
      </c>
      <c r="U6">
        <f>SwapPV($G6,$H6,$I6,$K6,$L6,$N6,$O6,$P6,$D6,$T6,$J6,RealTime!$A$2:$B$43,TODAY())</f>
        <v/>
      </c>
      <c r="V6">
        <f>SwapDelta($G6,$H6,$I6,$K6,$L6,$N6,$O6,$P6,$D6,$T6,$J6,RealTime!$A$2:$B$43,TODAY())</f>
        <v/>
      </c>
      <c r="W6">
        <f>SwapAnnuityDelta($G6,$H6,$I6,$K6,$L6,$N6,$O6,$P6,$D6,$T6,RealTime!$A$2:$B$43,TODAY())</f>
        <v/>
      </c>
      <c r="Z6">
        <f>IF($B6=1,BucketedDelta($G6,$H6,$I6,$K6,$L6,$N6,$O6,$P6,$D6,$T6,$J6,RealTime!$A$2:$B$43,TODAY(),FALSE),"")</f>
        <v/>
      </c>
    </row>
    <row r="7">
      <c r="F7">
        <f>IF($E7="","",NotionalForDelta($E7,$G7,$H7,$I7,$K7,$L7,$N7,$O7,$P7,$T7,RealTime!$A$2:$B$43,TODAY()))</f>
        <v/>
      </c>
      <c r="Q7">
        <f>FairRate($G7,$H7,$I7,$K7,$L7,$N7,$O7,$P7,RealTime!$A$2:$B$43,TODAY())</f>
        <v/>
      </c>
      <c r="R7">
        <f>IF(ISNUMBER(Q6),Q7-Q6,"")</f>
        <v/>
      </c>
      <c r="S7">
        <f>IF(AND(ISNUMBER(Q6),ISNUMBER(Q8)),2*Q7-Q6-Q8,"")</f>
        <v/>
      </c>
      <c r="U7">
        <f>SwapPV($G7,$H7,$I7,$K7,$L7,$N7,$O7,$P7,$D7,$T7,$J7,RealTime!$A$2:$B$43,TODAY())</f>
        <v/>
      </c>
      <c r="V7">
        <f>SwapDelta($G7,$H7,$I7,$K7,$L7,$N7,$O7,$P7,$D7,$T7,$J7,RealTime!$A$2:$B$43,TODAY())</f>
        <v/>
      </c>
      <c r="W7">
        <f>SwapAnnuityDelta($G7,$H7,$I7,$K7,$L7,$N7,$O7,$P7,$D7,$T7,RealTime!$A$2:$B$43,TODAY())</f>
        <v/>
      </c>
      <c r="Z7">
        <f>IF($B7=1,BucketedDelta($G7,$H7,$I7,$K7,$L7,$N7,$O7,$P7,$D7,$T7,$J7,RealTime!$A$2:$B$43,TODAY(),FALSE),"")</f>
        <v/>
      </c>
    </row>
    <row r="8">
      <c r="F8">
        <f>IF($E8="","",NotionalForDelta($E8,$G8,$H8,$I8,$K8,$L8,$N8,$O8,$P8,$T8,RealTime!$A$2:$B$43,TODAY()))</f>
        <v/>
      </c>
      <c r="Q8">
        <f>FairRate($G8,$H8,$I8,$K8,$L8,$N8,$O8,$P8,RealTime!$A$2:$B$43,TODAY())</f>
        <v/>
      </c>
      <c r="R8">
        <f>IF(ISNUMBER(Q7),Q8-Q7,"")</f>
        <v/>
      </c>
      <c r="S8">
        <f>IF(AND(ISNUMBER(Q7),ISNUMBER(Q9)),2*Q8-Q7-Q9,"")</f>
        <v/>
      </c>
      <c r="U8">
        <f>SwapPV($G8,$H8,$I8,$K8,$L8,$N8,$O8,$P8,$D8,$T8,$J8,RealTime!$A$2:$B$43,TODAY())</f>
        <v/>
      </c>
      <c r="V8">
        <f>SwapDelta($G8,$H8,$I8,$K8,$L8,$N8,$O8,$P8,$D8,$T8,$J8,RealTime!$A$2:$B$43,TODAY())</f>
        <v/>
      </c>
      <c r="W8">
        <f>SwapAnnuityDelta($G8,$H8,$I8,$K8,$L8,$N8,$O8,$P8,$D8,$T8,RealTime!$A$2:$B$43,TODAY())</f>
        <v/>
      </c>
      <c r="Z8">
        <f>IF($B8=1,BucketedDelta($G8,$H8,$I8,$K8,$L8,$N8,$O8,$P8,$D8,$T8,$J8,RealTime!$A$2:$B$43,TODAY(),FALSE),"")</f>
        <v/>
      </c>
    </row>
    <row r="9">
      <c r="F9">
        <f>IF($E9="","",NotionalForDelta($E9,$G9,$H9,$I9,$K9,$L9,$N9,$O9,$P9,$T9,RealTime!$A$2:$B$43,TODAY()))</f>
        <v/>
      </c>
      <c r="Q9">
        <f>FairRate($G9,$H9,$I9,$K9,$L9,$N9,$O9,$P9,RealTime!$A$2:$B$43,TODAY())</f>
        <v/>
      </c>
      <c r="R9">
        <f>IF(ISNUMBER(Q8),Q9-Q8,"")</f>
        <v/>
      </c>
      <c r="S9">
        <f>IF(AND(ISNUMBER(Q8),ISNUMBER(Q10)),2*Q9-Q8-Q10,"")</f>
        <v/>
      </c>
      <c r="U9">
        <f>SwapPV($G9,$H9,$I9,$K9,$L9,$N9,$O9,$P9,$D9,$T9,$J9,RealTime!$A$2:$B$43,TODAY())</f>
        <v/>
      </c>
      <c r="V9">
        <f>SwapDelta($G9,$H9,$I9,$K9,$L9,$N9,$O9,$P9,$D9,$T9,$J9,RealTime!$A$2:$B$43,TODAY())</f>
        <v/>
      </c>
      <c r="W9">
        <f>SwapAnnuityDelta($G9,$H9,$I9,$K9,$L9,$N9,$O9,$P9,$D9,$T9,RealTime!$A$2:$B$43,TODAY())</f>
        <v/>
      </c>
      <c r="Z9">
        <f>IF($B9=1,BucketedDelta($G9,$H9,$I9,$K9,$L9,$N9,$O9,$P9,$D9,$T9,$J9,RealTime!$A$2:$B$43,TODAY(),FALSE),"")</f>
        <v/>
      </c>
    </row>
    <row r="10">
      <c r="F10">
        <f>IF($E10="","",NotionalForDelta($E10,$G10,$H10,$I10,$K10,$L10,$N10,$O10,$P10,$T10,RealTime!$A$2:$B$43,TODAY()))</f>
        <v/>
      </c>
      <c r="Q10">
        <f>FairRate($G10,$H10,$I10,$K10,$L10,$N10,$O10,$P10,RealTime!$A$2:$B$43,TODAY())</f>
        <v/>
      </c>
      <c r="R10">
        <f>IF(ISNUMBER(Q9),Q10-Q9,"")</f>
        <v/>
      </c>
      <c r="S10">
        <f>IF(AND(ISNUMBER(Q9),ISNUMBER(Q11)),2*Q10-Q9-Q11,"")</f>
        <v/>
      </c>
      <c r="U10">
        <f>SwapPV($G10,$H10,$I10,$K10,$L10,$N10,$O10,$P10,$D10,$T10,$J10,RealTime!$A$2:$B$43,TODAY())</f>
        <v/>
      </c>
      <c r="V10">
        <f>SwapDelta($G10,$H10,$I10,$K10,$L10,$N10,$O10,$P10,$D10,$T10,$J10,RealTime!$A$2:$B$43,TODAY())</f>
        <v/>
      </c>
      <c r="W10">
        <f>SwapAnnuityDelta($G10,$H10,$I10,$K10,$L10,$N10,$O10,$P10,$D10,$T10,RealTime!$A$2:$B$43,TODAY())</f>
        <v/>
      </c>
      <c r="Z10">
        <f>IF($B10=1,BucketedDelta($G10,$H10,$I10,$K10,$L10,$N10,$O10,$P10,$D10,$T10,$J10,RealTime!$A$2:$B$43,TODAY(),FALSE),"")</f>
        <v/>
      </c>
    </row>
    <row r="11">
      <c r="F11">
        <f>IF($E11="","",NotionalForDelta($E11,$G11,$H11,$I11,$K11,$L11,$N11,$O11,$P11,$T11,RealTime!$A$2:$B$43,TODAY()))</f>
        <v/>
      </c>
      <c r="Q11">
        <f>FairRate($G11,$H11,$I11,$K11,$L11,$N11,$O11,$P11,RealTime!$A$2:$B$43,TODAY())</f>
        <v/>
      </c>
      <c r="R11">
        <f>IF(ISNUMBER(Q10),Q11-Q10,"")</f>
        <v/>
      </c>
      <c r="S11">
        <f>IF(AND(ISNUMBER(Q10),ISNUMBER(Q12)),2*Q11-Q10-Q12,"")</f>
        <v/>
      </c>
      <c r="U11">
        <f>SwapPV($G11,$H11,$I11,$K11,$L11,$N11,$O11,$P11,$D11,$T11,$J11,RealTime!$A$2:$B$43,TODAY())</f>
        <v/>
      </c>
      <c r="V11">
        <f>SwapDelta($G11,$H11,$I11,$K11,$L11,$N11,$O11,$P11,$D11,$T11,$J11,RealTime!$A$2:$B$43,TODAY())</f>
        <v/>
      </c>
      <c r="W11">
        <f>SwapAnnuityDelta($G11,$H11,$I11,$K11,$L11,$N11,$O11,$P11,$D11,$T11,RealTime!$A$2:$B$43,TODAY())</f>
        <v/>
      </c>
      <c r="Z11">
        <f>IF($B11=1,BucketedDelta($G11,$H11,$I11,$K11,$L11,$N11,$O11,$P11,$D11,$T11,$J11,RealTime!$A$2:$B$43,TODAY(),FALSE),"")</f>
        <v/>
      </c>
    </row>
    <row r="12">
      <c r="F12">
        <f>IF($E12="","",NotionalForDelta($E12,$G12,$H12,$I12,$K12,$L12,$N12,$O12,$P12,$T12,RealTime!$A$2:$B$43,TODAY()))</f>
        <v/>
      </c>
      <c r="Q12">
        <f>FairRate($G12,$H12,$I12,$K12,$L12,$N12,$O12,$P12,RealTime!$A$2:$B$43,TODAY())</f>
        <v/>
      </c>
      <c r="R12">
        <f>IF(ISNUMBER(Q11),Q12-Q11,"")</f>
        <v/>
      </c>
      <c r="S12">
        <f>IF(AND(ISNUMBER(Q11),ISNUMBER(Q13)),2*Q12-Q11-Q13,"")</f>
        <v/>
      </c>
      <c r="U12">
        <f>SwapPV($G12,$H12,$I12,$K12,$L12,$N12,$O12,$P12,$D12,$T12,$J12,RealTime!$A$2:$B$43,TODAY())</f>
        <v/>
      </c>
      <c r="V12">
        <f>SwapDelta($G12,$H12,$I12,$K12,$L12,$N12,$O12,$P12,$D12,$T12,$J12,RealTime!$A$2:$B$43,TODAY())</f>
        <v/>
      </c>
      <c r="W12">
        <f>SwapAnnuityDelta($G12,$H12,$I12,$K12,$L12,$N12,$O12,$P12,$D12,$T12,RealTime!$A$2:$B$43,TODAY())</f>
        <v/>
      </c>
      <c r="Z12">
        <f>IF($B12=1,BucketedDelta($G12,$H12,$I12,$K12,$L12,$N12,$O12,$P12,$D12,$T12,$J12,RealTime!$A$2:$B$43,TODAY(),FALSE),"")</f>
        <v/>
      </c>
    </row>
    <row r="13">
      <c r="F13">
        <f>IF($E13="","",NotionalForDelta($E13,$G13,$H13,$I13,$K13,$L13,$N13,$O13,$P13,$T13,RealTime!$A$2:$B$43,TODAY()))</f>
        <v/>
      </c>
      <c r="Q13">
        <f>FairRate($G13,$H13,$I13,$K13,$L13,$N13,$O13,$P13,RealTime!$A$2:$B$43,TODAY())</f>
        <v/>
      </c>
      <c r="R13">
        <f>IF(ISNUMBER(Q12),Q13-Q12,"")</f>
        <v/>
      </c>
      <c r="S13">
        <f>IF(AND(ISNUMBER(Q12),ISNUMBER(Q14)),2*Q13-Q12-Q14,"")</f>
        <v/>
      </c>
      <c r="U13">
        <f>SwapPV($G13,$H13,$I13,$K13,$L13,$N13,$O13,$P13,$D13,$T13,$J13,RealTime!$A$2:$B$43,TODAY())</f>
        <v/>
      </c>
      <c r="V13">
        <f>SwapDelta($G13,$H13,$I13,$K13,$L13,$N13,$O13,$P13,$D13,$T13,$J13,RealTime!$A$2:$B$43,TODAY())</f>
        <v/>
      </c>
      <c r="W13">
        <f>SwapAnnuityDelta($G13,$H13,$I13,$K13,$L13,$N13,$O13,$P13,$D13,$T13,RealTime!$A$2:$B$43,TODAY())</f>
        <v/>
      </c>
      <c r="Z13">
        <f>IF($B13=1,BucketedDelta($G13,$H13,$I13,$K13,$L13,$N13,$O13,$P13,$D13,$T13,$J13,RealTime!$A$2:$B$43,TODAY(),FALSE),"")</f>
        <v/>
      </c>
    </row>
    <row r="14">
      <c r="F14">
        <f>IF($E14="","",NotionalForDelta($E14,$G14,$H14,$I14,$K14,$L14,$N14,$O14,$P14,$T14,RealTime!$A$2:$B$43,TODAY()))</f>
        <v/>
      </c>
      <c r="Q14">
        <f>FairRate($G14,$H14,$I14,$K14,$L14,$N14,$O14,$P14,RealTime!$A$2:$B$43,TODAY())</f>
        <v/>
      </c>
      <c r="R14">
        <f>IF(ISNUMBER(Q13),Q14-Q13,"")</f>
        <v/>
      </c>
      <c r="S14">
        <f>IF(AND(ISNUMBER(Q13),ISNUMBER(Q15)),2*Q14-Q13-Q15,"")</f>
        <v/>
      </c>
      <c r="U14">
        <f>SwapPV($G14,$H14,$I14,$K14,$L14,$N14,$O14,$P14,$D14,$T14,$J14,RealTime!$A$2:$B$43,TODAY())</f>
        <v/>
      </c>
      <c r="V14">
        <f>SwapDelta($G14,$H14,$I14,$K14,$L14,$N14,$O14,$P14,$D14,$T14,$J14,RealTime!$A$2:$B$43,TODAY())</f>
        <v/>
      </c>
      <c r="W14">
        <f>SwapAnnuityDelta($G14,$H14,$I14,$K14,$L14,$N14,$O14,$P14,$D14,$T14,RealTime!$A$2:$B$43,TODAY())</f>
        <v/>
      </c>
      <c r="Z14">
        <f>IF($B14=1,BucketedDelta($G14,$H14,$I14,$K14,$L14,$N14,$O14,$P14,$D14,$T14,$J14,RealTime!$A$2:$B$43,TODAY(),FALSE),"")</f>
        <v/>
      </c>
    </row>
    <row r="15">
      <c r="F15">
        <f>IF($E15="","",NotionalForDelta($E15,$G15,$H15,$I15,$K15,$L15,$N15,$O15,$P15,$T15,RealTime!$A$2:$B$43,TODAY()))</f>
        <v/>
      </c>
      <c r="Q15">
        <f>FairRate($G15,$H15,$I15,$K15,$L15,$N15,$O15,$P15,RealTime!$A$2:$B$43,TODAY())</f>
        <v/>
      </c>
      <c r="R15">
        <f>IF(ISNUMBER(Q14),Q15-Q14,"")</f>
        <v/>
      </c>
      <c r="S15">
        <f>IF(AND(ISNUMBER(Q14),ISNUMBER(Q16)),2*Q15-Q14-Q16,"")</f>
        <v/>
      </c>
      <c r="U15">
        <f>SwapPV($G15,$H15,$I15,$K15,$L15,$N15,$O15,$P15,$D15,$T15,$J15,RealTime!$A$2:$B$43,TODAY())</f>
        <v/>
      </c>
      <c r="V15">
        <f>SwapDelta($G15,$H15,$I15,$K15,$L15,$N15,$O15,$P15,$D15,$T15,$J15,RealTime!$A$2:$B$43,TODAY())</f>
        <v/>
      </c>
      <c r="W15">
        <f>SwapAnnuityDelta($G15,$H15,$I15,$K15,$L15,$N15,$O15,$P15,$D15,$T15,RealTime!$A$2:$B$43,TODAY())</f>
        <v/>
      </c>
      <c r="Z15">
        <f>IF($B15=1,BucketedDelta($G15,$H15,$I15,$K15,$L15,$N15,$O15,$P15,$D15,$T15,$J15,RealTime!$A$2:$B$43,TODAY(),FALSE),"")</f>
        <v/>
      </c>
    </row>
    <row r="16">
      <c r="F16">
        <f>IF($E16="","",NotionalForDelta($E16,$G16,$H16,$I16,$K16,$L16,$N16,$O16,$P16,$T16,RealTime!$A$2:$B$43,TODAY()))</f>
        <v/>
      </c>
      <c r="Q16">
        <f>FairRate($G16,$H16,$I16,$K16,$L16,$N16,$O16,$P16,RealTime!$A$2:$B$43,TODAY())</f>
        <v/>
      </c>
      <c r="R16">
        <f>IF(ISNUMBER(Q15),Q16-Q15,"")</f>
        <v/>
      </c>
      <c r="S16">
        <f>IF(AND(ISNUMBER(Q15),ISNUMBER(Q17)),2*Q16-Q15-Q17,"")</f>
        <v/>
      </c>
      <c r="U16">
        <f>SwapPV($G16,$H16,$I16,$K16,$L16,$N16,$O16,$P16,$D16,$T16,$J16,RealTime!$A$2:$B$43,TODAY())</f>
        <v/>
      </c>
      <c r="V16">
        <f>SwapDelta($G16,$H16,$I16,$K16,$L16,$N16,$O16,$P16,$D16,$T16,$J16,RealTime!$A$2:$B$43,TODAY())</f>
        <v/>
      </c>
      <c r="W16">
        <f>SwapAnnuityDelta($G16,$H16,$I16,$K16,$L16,$N16,$O16,$P16,$D16,$T16,RealTime!$A$2:$B$43,TODAY())</f>
        <v/>
      </c>
      <c r="Z16">
        <f>IF($B16=1,BucketedDelta($G16,$H16,$I16,$K16,$L16,$N16,$O16,$P16,$D16,$T16,$J16,RealTime!$A$2:$B$43,TODAY(),FALSE),"")</f>
        <v/>
      </c>
    </row>
    <row r="17">
      <c r="F17">
        <f>IF($E17="","",NotionalForDelta($E17,$G17,$H17,$I17,$K17,$L17,$N17,$O17,$P17,$T17,RealTime!$A$2:$B$43,TODAY()))</f>
        <v/>
      </c>
      <c r="Q17">
        <f>FairRate($G17,$H17,$I17,$K17,$L17,$N17,$O17,$P17,RealTime!$A$2:$B$43,TODAY())</f>
        <v/>
      </c>
      <c r="R17">
        <f>IF(ISNUMBER(Q16),Q17-Q16,"")</f>
        <v/>
      </c>
      <c r="S17">
        <f>IF(AND(ISNUMBER(Q16),ISNUMBER(Q18)),2*Q17-Q16-Q18,"")</f>
        <v/>
      </c>
      <c r="U17">
        <f>SwapPV($G17,$H17,$I17,$K17,$L17,$N17,$O17,$P17,$D17,$T17,$J17,RealTime!$A$2:$B$43,TODAY())</f>
        <v/>
      </c>
      <c r="V17">
        <f>SwapDelta($G17,$H17,$I17,$K17,$L17,$N17,$O17,$P17,$D17,$T17,$J17,RealTime!$A$2:$B$43,TODAY())</f>
        <v/>
      </c>
      <c r="W17">
        <f>SwapAnnuityDelta($G17,$H17,$I17,$K17,$L17,$N17,$O17,$P17,$D17,$T17,RealTime!$A$2:$B$43,TODAY())</f>
        <v/>
      </c>
      <c r="Z17">
        <f>IF($B17=1,BucketedDelta($G17,$H17,$I17,$K17,$L17,$N17,$O17,$P17,$D17,$T17,$J17,RealTime!$A$2:$B$43,TODAY(),FALSE),"")</f>
        <v/>
      </c>
    </row>
    <row r="18">
      <c r="F18">
        <f>IF($E18="","",NotionalForDelta($E18,$G18,$H18,$I18,$K18,$L18,$N18,$O18,$P18,$T18,RealTime!$A$2:$B$43,TODAY()))</f>
        <v/>
      </c>
      <c r="Q18">
        <f>FairRate($G18,$H18,$I18,$K18,$L18,$N18,$O18,$P18,RealTime!$A$2:$B$43,TODAY())</f>
        <v/>
      </c>
      <c r="R18">
        <f>IF(ISNUMBER(Q17),Q18-Q17,"")</f>
        <v/>
      </c>
      <c r="S18">
        <f>IF(AND(ISNUMBER(Q17),ISNUMBER(Q19)),2*Q18-Q17-Q19,"")</f>
        <v/>
      </c>
      <c r="U18">
        <f>SwapPV($G18,$H18,$I18,$K18,$L18,$N18,$O18,$P18,$D18,$T18,$J18,RealTime!$A$2:$B$43,TODAY())</f>
        <v/>
      </c>
      <c r="V18">
        <f>SwapDelta($G18,$H18,$I18,$K18,$L18,$N18,$O18,$P18,$D18,$T18,$J18,RealTime!$A$2:$B$43,TODAY())</f>
        <v/>
      </c>
      <c r="W18">
        <f>SwapAnnuityDelta($G18,$H18,$I18,$K18,$L18,$N18,$O18,$P18,$D18,$T18,RealTime!$A$2:$B$43,TODAY())</f>
        <v/>
      </c>
      <c r="Z18">
        <f>IF($B18=1,BucketedDelta($G18,$H18,$I18,$K18,$L18,$N18,$O18,$P18,$D18,$T18,$J18,RealTime!$A$2:$B$43,TODAY(),FALSE),"")</f>
        <v/>
      </c>
    </row>
    <row r="19">
      <c r="F19">
        <f>IF($E19="","",NotionalForDelta($E19,$G19,$H19,$I19,$K19,$L19,$N19,$O19,$P19,$T19,RealTime!$A$2:$B$43,TODAY()))</f>
        <v/>
      </c>
      <c r="Q19">
        <f>FairRate($G19,$H19,$I19,$K19,$L19,$N19,$O19,$P19,RealTime!$A$2:$B$43,TODAY())</f>
        <v/>
      </c>
      <c r="R19">
        <f>IF(ISNUMBER(Q18),Q19-Q18,"")</f>
        <v/>
      </c>
      <c r="S19">
        <f>IF(AND(ISNUMBER(Q18),ISNUMBER(Q20)),2*Q19-Q18-Q20,"")</f>
        <v/>
      </c>
      <c r="U19">
        <f>SwapPV($G19,$H19,$I19,$K19,$L19,$N19,$O19,$P19,$D19,$T19,$J19,RealTime!$A$2:$B$43,TODAY())</f>
        <v/>
      </c>
      <c r="V19">
        <f>SwapDelta($G19,$H19,$I19,$K19,$L19,$N19,$O19,$P19,$D19,$T19,$J19,RealTime!$A$2:$B$43,TODAY())</f>
        <v/>
      </c>
      <c r="W19">
        <f>SwapAnnuityDelta($G19,$H19,$I19,$K19,$L19,$N19,$O19,$P19,$D19,$T19,RealTime!$A$2:$B$43,TODAY())</f>
        <v/>
      </c>
      <c r="Z19">
        <f>IF($B19=1,BucketedDelta($G19,$H19,$I19,$K19,$L19,$N19,$O19,$P19,$D19,$T19,$J19,RealTime!$A$2:$B$43,TODAY(),FALSE),"")</f>
        <v/>
      </c>
    </row>
    <row r="20">
      <c r="F20">
        <f>IF($E20="","",NotionalForDelta($E20,$G20,$H20,$I20,$K20,$L20,$N20,$O20,$P20,$T20,RealTime!$A$2:$B$43,TODAY()))</f>
        <v/>
      </c>
      <c r="Q20">
        <f>FairRate($G20,$H20,$I20,$K20,$L20,$N20,$O20,$P20,RealTime!$A$2:$B$43,TODAY())</f>
        <v/>
      </c>
      <c r="R20">
        <f>IF(ISNUMBER(Q19),Q20-Q19,"")</f>
        <v/>
      </c>
      <c r="S20">
        <f>IF(AND(ISNUMBER(Q19),ISNUMBER(Q21)),2*Q20-Q19-Q21,"")</f>
        <v/>
      </c>
      <c r="U20">
        <f>SwapPV($G20,$H20,$I20,$K20,$L20,$N20,$O20,$P20,$D20,$T20,$J20,RealTime!$A$2:$B$43,TODAY())</f>
        <v/>
      </c>
      <c r="V20">
        <f>SwapDelta($G20,$H20,$I20,$K20,$L20,$N20,$O20,$P20,$D20,$T20,$J20,RealTime!$A$2:$B$43,TODAY())</f>
        <v/>
      </c>
      <c r="W20">
        <f>SwapAnnuityDelta($G20,$H20,$I20,$K20,$L20,$N20,$O20,$P20,$D20,$T20,RealTime!$A$2:$B$43,TODAY())</f>
        <v/>
      </c>
      <c r="Z20">
        <f>IF($B20=1,BucketedDelta($G20,$H20,$I20,$K20,$L20,$N20,$O20,$P20,$D20,$T20,$J20,RealTime!$A$2:$B$43,TODAY(),FALSE),"")</f>
        <v/>
      </c>
    </row>
    <row r="21">
      <c r="F21">
        <f>IF($E21="","",NotionalForDelta($E21,$G21,$H21,$I21,$K21,$L21,$N21,$O21,$P21,$T21,RealTime!$A$2:$B$43,TODAY()))</f>
        <v/>
      </c>
      <c r="Q21">
        <f>FairRate($G21,$H21,$I21,$K21,$L21,$N21,$O21,$P21,RealTime!$A$2:$B$43,TODAY())</f>
        <v/>
      </c>
      <c r="R21">
        <f>IF(ISNUMBER(Q20),Q21-Q20,"")</f>
        <v/>
      </c>
      <c r="S21">
        <f>IF(AND(ISNUMBER(Q20),ISNUMBER(Q22)),2*Q21-Q20-Q22,"")</f>
        <v/>
      </c>
      <c r="U21">
        <f>SwapPV($G21,$H21,$I21,$K21,$L21,$N21,$O21,$P21,$D21,$T21,$J21,RealTime!$A$2:$B$43,TODAY())</f>
        <v/>
      </c>
      <c r="V21">
        <f>SwapDelta($G21,$H21,$I21,$K21,$L21,$N21,$O21,$P21,$D21,$T21,$J21,RealTime!$A$2:$B$43,TODAY())</f>
        <v/>
      </c>
      <c r="W21">
        <f>SwapAnnuityDelta($G21,$H21,$I21,$K21,$L21,$N21,$O21,$P21,$D21,$T21,RealTime!$A$2:$B$43,TODAY())</f>
        <v/>
      </c>
      <c r="Z21">
        <f>IF($B21=1,BucketedDelta($G21,$H21,$I21,$K21,$L21,$N21,$O21,$P21,$D21,$T21,$J21,RealTime!$A$2:$B$43,TODAY(),FALSE),"")</f>
        <v/>
      </c>
    </row>
    <row r="22">
      <c r="F22">
        <f>IF($E22="","",NotionalForDelta($E22,$G22,$H22,$I22,$K22,$L22,$N22,$O22,$P22,$T22,RealTime!$A$2:$B$43,TODAY()))</f>
        <v/>
      </c>
      <c r="Q22">
        <f>FairRate($G22,$H22,$I22,$K22,$L22,$N22,$O22,$P22,RealTime!$A$2:$B$43,TODAY())</f>
        <v/>
      </c>
      <c r="R22">
        <f>IF(ISNUMBER(Q21),Q22-Q21,"")</f>
        <v/>
      </c>
      <c r="S22">
        <f>IF(AND(ISNUMBER(Q21),ISNUMBER(Q23)),2*Q22-Q21-Q23,"")</f>
        <v/>
      </c>
      <c r="U22">
        <f>SwapPV($G22,$H22,$I22,$K22,$L22,$N22,$O22,$P22,$D22,$T22,$J22,RealTime!$A$2:$B$43,TODAY())</f>
        <v/>
      </c>
      <c r="V22">
        <f>SwapDelta($G22,$H22,$I22,$K22,$L22,$N22,$O22,$P22,$D22,$T22,$J22,RealTime!$A$2:$B$43,TODAY())</f>
        <v/>
      </c>
      <c r="W22">
        <f>SwapAnnuityDelta($G22,$H22,$I22,$K22,$L22,$N22,$O22,$P22,$D22,$T22,RealTime!$A$2:$B$43,TODAY())</f>
        <v/>
      </c>
      <c r="Z22">
        <f>IF($B22=1,BucketedDelta($G22,$H22,$I22,$K22,$L22,$N22,$O22,$P22,$D22,$T22,$J22,RealTime!$A$2:$B$43,TODAY(),FALSE),"")</f>
        <v/>
      </c>
    </row>
    <row r="23">
      <c r="F23">
        <f>IF($E23="","",NotionalForDelta($E23,$G23,$H23,$I23,$K23,$L23,$N23,$O23,$P23,$T23,RealTime!$A$2:$B$43,TODAY()))</f>
        <v/>
      </c>
      <c r="Q23">
        <f>FairRate($G23,$H23,$I23,$K23,$L23,$N23,$O23,$P23,RealTime!$A$2:$B$43,TODAY())</f>
        <v/>
      </c>
      <c r="R23">
        <f>IF(ISNUMBER(Q22),Q23-Q22,"")</f>
        <v/>
      </c>
      <c r="S23">
        <f>IF(AND(ISNUMBER(Q22),ISNUMBER(Q24)),2*Q23-Q22-Q24,"")</f>
        <v/>
      </c>
      <c r="U23">
        <f>SwapPV($G23,$H23,$I23,$K23,$L23,$N23,$O23,$P23,$D23,$T23,$J23,RealTime!$A$2:$B$43,TODAY())</f>
        <v/>
      </c>
      <c r="V23">
        <f>SwapDelta($G23,$H23,$I23,$K23,$L23,$N23,$O23,$P23,$D23,$T23,$J23,RealTime!$A$2:$B$43,TODAY())</f>
        <v/>
      </c>
      <c r="W23">
        <f>SwapAnnuityDelta($G23,$H23,$I23,$K23,$L23,$N23,$O23,$P23,$D23,$T23,RealTime!$A$2:$B$43,TODAY())</f>
        <v/>
      </c>
      <c r="Z23">
        <f>IF($B23=1,BucketedDelta($G23,$H23,$I23,$K23,$L23,$N23,$O23,$P23,$D23,$T23,$J23,RealTime!$A$2:$B$43,TODAY(),FALSE),"")</f>
        <v/>
      </c>
    </row>
    <row r="24">
      <c r="F24">
        <f>IF($E24="","",NotionalForDelta($E24,$G24,$H24,$I24,$K24,$L24,$N24,$O24,$P24,$T24,RealTime!$A$2:$B$43,TODAY()))</f>
        <v/>
      </c>
      <c r="Q24">
        <f>FairRate($G24,$H24,$I24,$K24,$L24,$N24,$O24,$P24,RealTime!$A$2:$B$43,TODAY())</f>
        <v/>
      </c>
      <c r="R24">
        <f>IF(ISNUMBER(Q23),Q24-Q23,"")</f>
        <v/>
      </c>
      <c r="S24">
        <f>IF(AND(ISNUMBER(Q23),ISNUMBER(Q25)),2*Q24-Q23-Q25,"")</f>
        <v/>
      </c>
      <c r="U24">
        <f>SwapPV($G24,$H24,$I24,$K24,$L24,$N24,$O24,$P24,$D24,$T24,$J24,RealTime!$A$2:$B$43,TODAY())</f>
        <v/>
      </c>
      <c r="V24">
        <f>SwapDelta($G24,$H24,$I24,$K24,$L24,$N24,$O24,$P24,$D24,$T24,$J24,RealTime!$A$2:$B$43,TODAY())</f>
        <v/>
      </c>
      <c r="W24">
        <f>SwapAnnuityDelta($G24,$H24,$I24,$K24,$L24,$N24,$O24,$P24,$D24,$T24,RealTime!$A$2:$B$43,TODAY())</f>
        <v/>
      </c>
      <c r="Z24">
        <f>IF($B24=1,BucketedDelta($G24,$H24,$I24,$K24,$L24,$N24,$O24,$P24,$D24,$T24,$J24,RealTime!$A$2:$B$43,TODAY(),FALSE),"")</f>
        <v/>
      </c>
    </row>
    <row r="25">
      <c r="F25">
        <f>IF($E25="","",NotionalForDelta($E25,$G25,$H25,$I25,$K25,$L25,$N25,$O25,$P25,$T25,RealTime!$A$2:$B$43,TODAY()))</f>
        <v/>
      </c>
      <c r="Q25">
        <f>FairRate($G25,$H25,$I25,$K25,$L25,$N25,$O25,$P25,RealTime!$A$2:$B$43,TODAY())</f>
        <v/>
      </c>
      <c r="R25">
        <f>IF(ISNUMBER(Q24),Q25-Q24,"")</f>
        <v/>
      </c>
      <c r="S25">
        <f>IF(AND(ISNUMBER(Q24),ISNUMBER(Q26)),2*Q25-Q24-Q26,"")</f>
        <v/>
      </c>
      <c r="U25">
        <f>SwapPV($G25,$H25,$I25,$K25,$L25,$N25,$O25,$P25,$D25,$T25,$J25,RealTime!$A$2:$B$43,TODAY())</f>
        <v/>
      </c>
      <c r="V25">
        <f>SwapDelta($G25,$H25,$I25,$K25,$L25,$N25,$O25,$P25,$D25,$T25,$J25,RealTime!$A$2:$B$43,TODAY())</f>
        <v/>
      </c>
      <c r="W25">
        <f>SwapAnnuityDelta($G25,$H25,$I25,$K25,$L25,$N25,$O25,$P25,$D25,$T25,RealTime!$A$2:$B$43,TODAY())</f>
        <v/>
      </c>
      <c r="Z25">
        <f>IF($B25=1,BucketedDelta($G25,$H25,$I25,$K25,$L25,$N25,$O25,$P25,$D25,$T25,$J25,RealTime!$A$2:$B$43,TODAY(),FALSE),"")</f>
        <v/>
      </c>
    </row>
    <row r="26">
      <c r="F26">
        <f>IF($E26="","",NotionalForDelta($E26,$G26,$H26,$I26,$K26,$L26,$N26,$O26,$P26,$T26,RealTime!$A$2:$B$43,TODAY()))</f>
        <v/>
      </c>
      <c r="Q26">
        <f>FairRate($G26,$H26,$I26,$K26,$L26,$N26,$O26,$P26,RealTime!$A$2:$B$43,TODAY())</f>
        <v/>
      </c>
      <c r="R26">
        <f>IF(ISNUMBER(Q25),Q26-Q25,"")</f>
        <v/>
      </c>
      <c r="S26">
        <f>IF(AND(ISNUMBER(Q25),ISNUMBER(Q27)),2*Q26-Q25-Q27,"")</f>
        <v/>
      </c>
      <c r="U26">
        <f>SwapPV($G26,$H26,$I26,$K26,$L26,$N26,$O26,$P26,$D26,$T26,$J26,RealTime!$A$2:$B$43,TODAY())</f>
        <v/>
      </c>
      <c r="V26">
        <f>SwapDelta($G26,$H26,$I26,$K26,$L26,$N26,$O26,$P26,$D26,$T26,$J26,RealTime!$A$2:$B$43,TODAY())</f>
        <v/>
      </c>
      <c r="W26">
        <f>SwapAnnuityDelta($G26,$H26,$I26,$K26,$L26,$N26,$O26,$P26,$D26,$T26,RealTime!$A$2:$B$43,TODAY())</f>
        <v/>
      </c>
      <c r="Z26">
        <f>IF($B26=1,BucketedDelta($G26,$H26,$I26,$K26,$L26,$N26,$O26,$P26,$D26,$T26,$J26,RealTime!$A$2:$B$43,TODAY(),FALSE),"")</f>
        <v/>
      </c>
    </row>
    <row r="27">
      <c r="F27">
        <f>IF($E27="","",NotionalForDelta($E27,$G27,$H27,$I27,$K27,$L27,$N27,$O27,$P27,$T27,RealTime!$A$2:$B$43,TODAY()))</f>
        <v/>
      </c>
      <c r="Q27">
        <f>FairRate($G27,$H27,$I27,$K27,$L27,$N27,$O27,$P27,RealTime!$A$2:$B$43,TODAY())</f>
        <v/>
      </c>
      <c r="R27">
        <f>IF(ISNUMBER(Q26),Q27-Q26,"")</f>
        <v/>
      </c>
      <c r="S27">
        <f>IF(AND(ISNUMBER(Q26),ISNUMBER(Q28)),2*Q27-Q26-Q28,"")</f>
        <v/>
      </c>
      <c r="U27">
        <f>SwapPV($G27,$H27,$I27,$K27,$L27,$N27,$O27,$P27,$D27,$T27,$J27,RealTime!$A$2:$B$43,TODAY())</f>
        <v/>
      </c>
      <c r="V27">
        <f>SwapDelta($G27,$H27,$I27,$K27,$L27,$N27,$O27,$P27,$D27,$T27,$J27,RealTime!$A$2:$B$43,TODAY())</f>
        <v/>
      </c>
      <c r="W27">
        <f>SwapAnnuityDelta($G27,$H27,$I27,$K27,$L27,$N27,$O27,$P27,$D27,$T27,RealTime!$A$2:$B$43,TODAY())</f>
        <v/>
      </c>
      <c r="Z27">
        <f>IF($B27=1,BucketedDelta($G27,$H27,$I27,$K27,$L27,$N27,$O27,$P27,$D27,$T27,$J27,RealTime!$A$2:$B$43,TODAY(),FALSE),"")</f>
        <v/>
      </c>
    </row>
    <row r="28">
      <c r="F28">
        <f>IF($E28="","",NotionalForDelta($E28,$G28,$H28,$I28,$K28,$L28,$N28,$O28,$P28,$T28,RealTime!$A$2:$B$43,TODAY()))</f>
        <v/>
      </c>
      <c r="Q28">
        <f>FairRate($G28,$H28,$I28,$K28,$L28,$N28,$O28,$P28,RealTime!$A$2:$B$43,TODAY())</f>
        <v/>
      </c>
      <c r="R28">
        <f>IF(ISNUMBER(Q27),Q28-Q27,"")</f>
        <v/>
      </c>
      <c r="S28">
        <f>IF(AND(ISNUMBER(Q27),ISNUMBER(Q29)),2*Q28-Q27-Q29,"")</f>
        <v/>
      </c>
      <c r="U28">
        <f>SwapPV($G28,$H28,$I28,$K28,$L28,$N28,$O28,$P28,$D28,$T28,$J28,RealTime!$A$2:$B$43,TODAY())</f>
        <v/>
      </c>
      <c r="V28">
        <f>SwapDelta($G28,$H28,$I28,$K28,$L28,$N28,$O28,$P28,$D28,$T28,$J28,RealTime!$A$2:$B$43,TODAY())</f>
        <v/>
      </c>
      <c r="W28">
        <f>SwapAnnuityDelta($G28,$H28,$I28,$K28,$L28,$N28,$O28,$P28,$D28,$T28,RealTime!$A$2:$B$43,TODAY())</f>
        <v/>
      </c>
      <c r="Z28">
        <f>IF($B28=1,BucketedDelta($G28,$H28,$I28,$K28,$L28,$N28,$O28,$P28,$D28,$T28,$J28,RealTime!$A$2:$B$43,TODAY(),FALSE),"")</f>
        <v/>
      </c>
    </row>
    <row r="29">
      <c r="F29">
        <f>IF($E29="","",NotionalForDelta($E29,$G29,$H29,$I29,$K29,$L29,$N29,$O29,$P29,$T29,RealTime!$A$2:$B$43,TODAY()))</f>
        <v/>
      </c>
      <c r="Q29">
        <f>FairRate($G29,$H29,$I29,$K29,$L29,$N29,$O29,$P29,RealTime!$A$2:$B$43,TODAY())</f>
        <v/>
      </c>
      <c r="R29">
        <f>IF(ISNUMBER(Q28),Q29-Q28,"")</f>
        <v/>
      </c>
      <c r="S29">
        <f>IF(AND(ISNUMBER(Q28),ISNUMBER(Q30)),2*Q29-Q28-Q30,"")</f>
        <v/>
      </c>
      <c r="U29">
        <f>SwapPV($G29,$H29,$I29,$K29,$L29,$N29,$O29,$P29,$D29,$T29,$J29,RealTime!$A$2:$B$43,TODAY())</f>
        <v/>
      </c>
      <c r="V29">
        <f>SwapDelta($G29,$H29,$I29,$K29,$L29,$N29,$O29,$P29,$D29,$T29,$J29,RealTime!$A$2:$B$43,TODAY())</f>
        <v/>
      </c>
      <c r="W29">
        <f>SwapAnnuityDelta($G29,$H29,$I29,$K29,$L29,$N29,$O29,$P29,$D29,$T29,RealTime!$A$2:$B$43,TODAY())</f>
        <v/>
      </c>
      <c r="Z29">
        <f>IF($B29=1,BucketedDelta($G29,$H29,$I29,$K29,$L29,$N29,$O29,$P29,$D29,$T29,$J29,RealTime!$A$2:$B$43,TODAY(),FALSE),"")</f>
        <v/>
      </c>
    </row>
    <row r="30">
      <c r="F30">
        <f>IF($E30="","",NotionalForDelta($E30,$G30,$H30,$I30,$K30,$L30,$N30,$O30,$P30,$T30,RealTime!$A$2:$B$43,TODAY()))</f>
        <v/>
      </c>
      <c r="Q30">
        <f>FairRate($G30,$H30,$I30,$K30,$L30,$N30,$O30,$P30,RealTime!$A$2:$B$43,TODAY())</f>
        <v/>
      </c>
      <c r="R30">
        <f>IF(ISNUMBER(Q29),Q30-Q29,"")</f>
        <v/>
      </c>
      <c r="S30">
        <f>IF(AND(ISNUMBER(Q29),ISNUMBER(Q31)),2*Q30-Q29-Q31,"")</f>
        <v/>
      </c>
      <c r="U30">
        <f>SwapPV($G30,$H30,$I30,$K30,$L30,$N30,$O30,$P30,$D30,$T30,$J30,RealTime!$A$2:$B$43,TODAY())</f>
        <v/>
      </c>
      <c r="V30">
        <f>SwapDelta($G30,$H30,$I30,$K30,$L30,$N30,$O30,$P30,$D30,$T30,$J30,RealTime!$A$2:$B$43,TODAY())</f>
        <v/>
      </c>
      <c r="W30">
        <f>SwapAnnuityDelta($G30,$H30,$I30,$K30,$L30,$N30,$O30,$P30,$D30,$T30,RealTime!$A$2:$B$43,TODAY())</f>
        <v/>
      </c>
      <c r="Z30">
        <f>IF($B30=1,BucketedDelta($G30,$H30,$I30,$K30,$L30,$N30,$O30,$P30,$D30,$T30,$J30,RealTime!$A$2:$B$43,TODAY(),FALSE),"")</f>
        <v/>
      </c>
    </row>
    <row r="31">
      <c r="F31">
        <f>IF($E31="","",NotionalForDelta($E31,$G31,$H31,$I31,$K31,$L31,$N31,$O31,$P31,$T31,RealTime!$A$2:$B$43,TODAY()))</f>
        <v/>
      </c>
      <c r="Q31">
        <f>FairRate($G31,$H31,$I31,$K31,$L31,$N31,$O31,$P31,RealTime!$A$2:$B$43,TODAY())</f>
        <v/>
      </c>
      <c r="R31">
        <f>IF(ISNUMBER(Q30),Q31-Q30,"")</f>
        <v/>
      </c>
      <c r="S31">
        <f>IF(AND(ISNUMBER(Q30),ISNUMBER(Q32)),2*Q31-Q30-Q32,"")</f>
        <v/>
      </c>
      <c r="U31">
        <f>SwapPV($G31,$H31,$I31,$K31,$L31,$N31,$O31,$P31,$D31,$T31,$J31,RealTime!$A$2:$B$43,TODAY())</f>
        <v/>
      </c>
      <c r="V31">
        <f>SwapDelta($G31,$H31,$I31,$K31,$L31,$N31,$O31,$P31,$D31,$T31,$J31,RealTime!$A$2:$B$43,TODAY())</f>
        <v/>
      </c>
      <c r="W31">
        <f>SwapAnnuityDelta($G31,$H31,$I31,$K31,$L31,$N31,$O31,$P31,$D31,$T31,RealTime!$A$2:$B$43,TODAY())</f>
        <v/>
      </c>
      <c r="Z31">
        <f>IF($B31=1,BucketedDelta($G31,$H31,$I31,$K31,$L31,$N31,$O31,$P31,$D31,$T31,$J31,RealTime!$A$2:$B$43,TODAY(),FALSE),"")</f>
        <v/>
      </c>
    </row>
    <row r="32">
      <c r="F32">
        <f>IF($E32="","",NotionalForDelta($E32,$G32,$H32,$I32,$K32,$L32,$N32,$O32,$P32,$T32,RealTime!$A$2:$B$43,TODAY()))</f>
        <v/>
      </c>
      <c r="Q32">
        <f>FairRate($G32,$H32,$I32,$K32,$L32,$N32,$O32,$P32,RealTime!$A$2:$B$43,TODAY())</f>
        <v/>
      </c>
      <c r="R32">
        <f>IF(ISNUMBER(Q31),Q32-Q31,"")</f>
        <v/>
      </c>
      <c r="S32">
        <f>IF(AND(ISNUMBER(Q31),ISNUMBER(Q33)),2*Q32-Q31-Q33,"")</f>
        <v/>
      </c>
      <c r="U32">
        <f>SwapPV($G32,$H32,$I32,$K32,$L32,$N32,$O32,$P32,$D32,$T32,$J32,RealTime!$A$2:$B$43,TODAY())</f>
        <v/>
      </c>
      <c r="V32">
        <f>SwapDelta($G32,$H32,$I32,$K32,$L32,$N32,$O32,$P32,$D32,$T32,$J32,RealTime!$A$2:$B$43,TODAY())</f>
        <v/>
      </c>
      <c r="W32">
        <f>SwapAnnuityDelta($G32,$H32,$I32,$K32,$L32,$N32,$O32,$P32,$D32,$T32,RealTime!$A$2:$B$43,TODAY())</f>
        <v/>
      </c>
      <c r="Z32">
        <f>IF($B32=1,BucketedDelta($G32,$H32,$I32,$K32,$L32,$N32,$O32,$P32,$D32,$T32,$J32,RealTime!$A$2:$B$43,TODAY(),FALSE),"")</f>
        <v/>
      </c>
    </row>
    <row r="33">
      <c r="F33">
        <f>IF($E33="","",NotionalForDelta($E33,$G33,$H33,$I33,$K33,$L33,$N33,$O33,$P33,$T33,RealTime!$A$2:$B$43,TODAY()))</f>
        <v/>
      </c>
      <c r="Q33">
        <f>FairRate($G33,$H33,$I33,$K33,$L33,$N33,$O33,$P33,RealTime!$A$2:$B$43,TODAY())</f>
        <v/>
      </c>
      <c r="R33">
        <f>IF(ISNUMBER(Q32),Q33-Q32,"")</f>
        <v/>
      </c>
      <c r="S33">
        <f>IF(AND(ISNUMBER(Q32),ISNUMBER(Q34)),2*Q33-Q32-Q34,"")</f>
        <v/>
      </c>
      <c r="U33">
        <f>SwapPV($G33,$H33,$I33,$K33,$L33,$N33,$O33,$P33,$D33,$T33,$J33,RealTime!$A$2:$B$43,TODAY())</f>
        <v/>
      </c>
      <c r="V33">
        <f>SwapDelta($G33,$H33,$I33,$K33,$L33,$N33,$O33,$P33,$D33,$T33,$J33,RealTime!$A$2:$B$43,TODAY())</f>
        <v/>
      </c>
      <c r="W33">
        <f>SwapAnnuityDelta($G33,$H33,$I33,$K33,$L33,$N33,$O33,$P33,$D33,$T33,RealTime!$A$2:$B$43,TODAY())</f>
        <v/>
      </c>
      <c r="Z33">
        <f>IF($B33=1,BucketedDelta($G33,$H33,$I33,$K33,$L33,$N33,$O33,$P33,$D33,$T33,$J33,RealTime!$A$2:$B$43,TODAY(),FALSE),"")</f>
        <v/>
      </c>
    </row>
    <row r="34">
      <c r="F34">
        <f>IF($E34="","",NotionalForDelta($E34,$G34,$H34,$I34,$K34,$L34,$N34,$O34,$P34,$T34,RealTime!$A$2:$B$43,TODAY()))</f>
        <v/>
      </c>
      <c r="Q34">
        <f>FairRate($G34,$H34,$I34,$K34,$L34,$N34,$O34,$P34,RealTime!$A$2:$B$43,TODAY())</f>
        <v/>
      </c>
      <c r="R34">
        <f>IF(ISNUMBER(Q33),Q34-Q33,"")</f>
        <v/>
      </c>
      <c r="S34">
        <f>IF(AND(ISNUMBER(Q33),ISNUMBER(Q35)),2*Q34-Q33-Q35,"")</f>
        <v/>
      </c>
      <c r="U34">
        <f>SwapPV($G34,$H34,$I34,$K34,$L34,$N34,$O34,$P34,$D34,$T34,$J34,RealTime!$A$2:$B$43,TODAY())</f>
        <v/>
      </c>
      <c r="V34">
        <f>SwapDelta($G34,$H34,$I34,$K34,$L34,$N34,$O34,$P34,$D34,$T34,$J34,RealTime!$A$2:$B$43,TODAY())</f>
        <v/>
      </c>
      <c r="W34">
        <f>SwapAnnuityDelta($G34,$H34,$I34,$K34,$L34,$N34,$O34,$P34,$D34,$T34,RealTime!$A$2:$B$43,TODAY())</f>
        <v/>
      </c>
      <c r="Z34">
        <f>IF($B34=1,BucketedDelta($G34,$H34,$I34,$K34,$L34,$N34,$O34,$P34,$D34,$T34,$J34,RealTime!$A$2:$B$43,TODAY(),FALSE),"")</f>
        <v/>
      </c>
    </row>
    <row r="35">
      <c r="F35">
        <f>IF($E35="","",NotionalForDelta($E35,$G35,$H35,$I35,$K35,$L35,$N35,$O35,$P35,$T35,RealTime!$A$2:$B$43,TODAY()))</f>
        <v/>
      </c>
      <c r="Q35">
        <f>FairRate($G35,$H35,$I35,$K35,$L35,$N35,$O35,$P35,RealTime!$A$2:$B$43,TODAY())</f>
        <v/>
      </c>
      <c r="R35">
        <f>IF(ISNUMBER(Q34),Q35-Q34,"")</f>
        <v/>
      </c>
      <c r="S35">
        <f>IF(AND(ISNUMBER(Q34),ISNUMBER(Q36)),2*Q35-Q34-Q36,"")</f>
        <v/>
      </c>
      <c r="U35">
        <f>SwapPV($G35,$H35,$I35,$K35,$L35,$N35,$O35,$P35,$D35,$T35,$J35,RealTime!$A$2:$B$43,TODAY())</f>
        <v/>
      </c>
      <c r="V35">
        <f>SwapDelta($G35,$H35,$I35,$K35,$L35,$N35,$O35,$P35,$D35,$T35,$J35,RealTime!$A$2:$B$43,TODAY())</f>
        <v/>
      </c>
      <c r="W35">
        <f>SwapAnnuityDelta($G35,$H35,$I35,$K35,$L35,$N35,$O35,$P35,$D35,$T35,RealTime!$A$2:$B$43,TODAY())</f>
        <v/>
      </c>
      <c r="Z35">
        <f>IF($B35=1,BucketedDelta($G35,$H35,$I35,$K35,$L35,$N35,$O35,$P35,$D35,$T35,$J35,RealTime!$A$2:$B$43,TODAY(),FALSE),"")</f>
        <v/>
      </c>
    </row>
    <row r="36">
      <c r="F36">
        <f>IF($E36="","",NotionalForDelta($E36,$G36,$H36,$I36,$K36,$L36,$N36,$O36,$P36,$T36,RealTime!$A$2:$B$43,TODAY()))</f>
        <v/>
      </c>
      <c r="Q36">
        <f>FairRate($G36,$H36,$I36,$K36,$L36,$N36,$O36,$P36,RealTime!$A$2:$B$43,TODAY())</f>
        <v/>
      </c>
      <c r="R36">
        <f>IF(ISNUMBER(Q35),Q36-Q35,"")</f>
        <v/>
      </c>
      <c r="S36">
        <f>IF(AND(ISNUMBER(Q35),ISNUMBER(Q37)),2*Q36-Q35-Q37,"")</f>
        <v/>
      </c>
      <c r="U36">
        <f>SwapPV($G36,$H36,$I36,$K36,$L36,$N36,$O36,$P36,$D36,$T36,$J36,RealTime!$A$2:$B$43,TODAY())</f>
        <v/>
      </c>
      <c r="V36">
        <f>SwapDelta($G36,$H36,$I36,$K36,$L36,$N36,$O36,$P36,$D36,$T36,$J36,RealTime!$A$2:$B$43,TODAY())</f>
        <v/>
      </c>
      <c r="W36">
        <f>SwapAnnuityDelta($G36,$H36,$I36,$K36,$L36,$N36,$O36,$P36,$D36,$T36,RealTime!$A$2:$B$43,TODAY())</f>
        <v/>
      </c>
      <c r="Z36">
        <f>IF($B36=1,BucketedDelta($G36,$H36,$I36,$K36,$L36,$N36,$O36,$P36,$D36,$T36,$J36,RealTime!$A$2:$B$43,TODAY(),FALSE),"")</f>
        <v/>
      </c>
    </row>
    <row r="37">
      <c r="F37">
        <f>IF($E37="","",NotionalForDelta($E37,$G37,$H37,$I37,$K37,$L37,$N37,$O37,$P37,$T37,RealTime!$A$2:$B$43,TODAY()))</f>
        <v/>
      </c>
      <c r="Q37">
        <f>FairRate($G37,$H37,$I37,$K37,$L37,$N37,$O37,$P37,RealTime!$A$2:$B$43,TODAY())</f>
        <v/>
      </c>
      <c r="R37">
        <f>IF(ISNUMBER(Q36),Q37-Q36,"")</f>
        <v/>
      </c>
      <c r="S37">
        <f>IF(AND(ISNUMBER(Q36),ISNUMBER(Q38)),2*Q37-Q36-Q38,"")</f>
        <v/>
      </c>
      <c r="U37">
        <f>SwapPV($G37,$H37,$I37,$K37,$L37,$N37,$O37,$P37,$D37,$T37,$J37,RealTime!$A$2:$B$43,TODAY())</f>
        <v/>
      </c>
      <c r="V37">
        <f>SwapDelta($G37,$H37,$I37,$K37,$L37,$N37,$O37,$P37,$D37,$T37,$J37,RealTime!$A$2:$B$43,TODAY())</f>
        <v/>
      </c>
      <c r="W37">
        <f>SwapAnnuityDelta($G37,$H37,$I37,$K37,$L37,$N37,$O37,$P37,$D37,$T37,RealTime!$A$2:$B$43,TODAY())</f>
        <v/>
      </c>
      <c r="Z37">
        <f>IF($B37=1,BucketedDelta($G37,$H37,$I37,$K37,$L37,$N37,$O37,$P37,$D37,$T37,$J37,RealTime!$A$2:$B$43,TODAY(),FALSE),"")</f>
        <v/>
      </c>
    </row>
    <row r="38">
      <c r="F38">
        <f>IF($E38="","",NotionalForDelta($E38,$G38,$H38,$I38,$K38,$L38,$N38,$O38,$P38,$T38,RealTime!$A$2:$B$43,TODAY()))</f>
        <v/>
      </c>
      <c r="Q38">
        <f>FairRate($G38,$H38,$I38,$K38,$L38,$N38,$O38,$P38,RealTime!$A$2:$B$43,TODAY())</f>
        <v/>
      </c>
      <c r="R38">
        <f>IF(ISNUMBER(Q37),Q38-Q37,"")</f>
        <v/>
      </c>
      <c r="S38">
        <f>IF(AND(ISNUMBER(Q37),ISNUMBER(Q39)),2*Q38-Q37-Q39,"")</f>
        <v/>
      </c>
      <c r="U38">
        <f>SwapPV($G38,$H38,$I38,$K38,$L38,$N38,$O38,$P38,$D38,$T38,$J38,RealTime!$A$2:$B$43,TODAY())</f>
        <v/>
      </c>
      <c r="V38">
        <f>SwapDelta($G38,$H38,$I38,$K38,$L38,$N38,$O38,$P38,$D38,$T38,$J38,RealTime!$A$2:$B$43,TODAY())</f>
        <v/>
      </c>
      <c r="W38">
        <f>SwapAnnuityDelta($G38,$H38,$I38,$K38,$L38,$N38,$O38,$P38,$D38,$T38,RealTime!$A$2:$B$43,TODAY())</f>
        <v/>
      </c>
      <c r="Z38">
        <f>IF($B38=1,BucketedDelta($G38,$H38,$I38,$K38,$L38,$N38,$O38,$P38,$D38,$T38,$J38,RealTime!$A$2:$B$43,TODAY(),FALSE),"")</f>
        <v/>
      </c>
    </row>
    <row r="39">
      <c r="F39">
        <f>IF($E39="","",NotionalForDelta($E39,$G39,$H39,$I39,$K39,$L39,$N39,$O39,$P39,$T39,RealTime!$A$2:$B$43,TODAY()))</f>
        <v/>
      </c>
      <c r="Q39">
        <f>FairRate($G39,$H39,$I39,$K39,$L39,$N39,$O39,$P39,RealTime!$A$2:$B$43,TODAY())</f>
        <v/>
      </c>
      <c r="R39">
        <f>IF(ISNUMBER(Q38),Q39-Q38,"")</f>
        <v/>
      </c>
      <c r="S39">
        <f>IF(AND(ISNUMBER(Q38),ISNUMBER(Q40)),2*Q39-Q38-Q40,"")</f>
        <v/>
      </c>
      <c r="U39">
        <f>SwapPV($G39,$H39,$I39,$K39,$L39,$N39,$O39,$P39,$D39,$T39,$J39,RealTime!$A$2:$B$43,TODAY())</f>
        <v/>
      </c>
      <c r="V39">
        <f>SwapDelta($G39,$H39,$I39,$K39,$L39,$N39,$O39,$P39,$D39,$T39,$J39,RealTime!$A$2:$B$43,TODAY())</f>
        <v/>
      </c>
      <c r="W39">
        <f>SwapAnnuityDelta($G39,$H39,$I39,$K39,$L39,$N39,$O39,$P39,$D39,$T39,RealTime!$A$2:$B$43,TODAY())</f>
        <v/>
      </c>
      <c r="Z39">
        <f>IF($B39=1,BucketedDelta($G39,$H39,$I39,$K39,$L39,$N39,$O39,$P39,$D39,$T39,$J39,RealTime!$A$2:$B$43,TODAY(),FALSE),"")</f>
        <v/>
      </c>
    </row>
    <row r="40">
      <c r="F40">
        <f>IF($E40="","",NotionalForDelta($E40,$G40,$H40,$I40,$K40,$L40,$N40,$O40,$P40,$T40,RealTime!$A$2:$B$43,TODAY()))</f>
        <v/>
      </c>
      <c r="Q40">
        <f>FairRate($G40,$H40,$I40,$K40,$L40,$N40,$O40,$P40,RealTime!$A$2:$B$43,TODAY())</f>
        <v/>
      </c>
      <c r="R40">
        <f>IF(ISNUMBER(Q39),Q40-Q39,"")</f>
        <v/>
      </c>
      <c r="S40">
        <f>IF(AND(ISNUMBER(Q39),ISNUMBER(Q41)),2*Q40-Q39-Q41,"")</f>
        <v/>
      </c>
      <c r="U40">
        <f>SwapPV($G40,$H40,$I40,$K40,$L40,$N40,$O40,$P40,$D40,$T40,$J40,RealTime!$A$2:$B$43,TODAY())</f>
        <v/>
      </c>
      <c r="V40">
        <f>SwapDelta($G40,$H40,$I40,$K40,$L40,$N40,$O40,$P40,$D40,$T40,$J40,RealTime!$A$2:$B$43,TODAY())</f>
        <v/>
      </c>
      <c r="W40">
        <f>SwapAnnuityDelta($G40,$H40,$I40,$K40,$L40,$N40,$O40,$P40,$D40,$T40,RealTime!$A$2:$B$43,TODAY())</f>
        <v/>
      </c>
      <c r="Z40">
        <f>IF($B40=1,BucketedDelta($G40,$H40,$I40,$K40,$L40,$N40,$O40,$P40,$D40,$T40,$J40,RealTime!$A$2:$B$43,TODAY(),FALSE),"")</f>
        <v/>
      </c>
    </row>
    <row r="41">
      <c r="F41">
        <f>IF($E41="","",NotionalForDelta($E41,$G41,$H41,$I41,$K41,$L41,$N41,$O41,$P41,$T41,RealTime!$A$2:$B$43,TODAY()))</f>
        <v/>
      </c>
      <c r="Q41">
        <f>FairRate($G41,$H41,$I41,$K41,$L41,$N41,$O41,$P41,RealTime!$A$2:$B$43,TODAY())</f>
        <v/>
      </c>
      <c r="R41">
        <f>IF(ISNUMBER(Q40),Q41-Q40,"")</f>
        <v/>
      </c>
      <c r="S41">
        <f>IF(AND(ISNUMBER(Q40),ISNUMBER(Q42)),2*Q41-Q40-Q42,"")</f>
        <v/>
      </c>
      <c r="U41">
        <f>SwapPV($G41,$H41,$I41,$K41,$L41,$N41,$O41,$P41,$D41,$T41,$J41,RealTime!$A$2:$B$43,TODAY())</f>
        <v/>
      </c>
      <c r="V41">
        <f>SwapDelta($G41,$H41,$I41,$K41,$L41,$N41,$O41,$P41,$D41,$T41,$J41,RealTime!$A$2:$B$43,TODAY())</f>
        <v/>
      </c>
      <c r="W41">
        <f>SwapAnnuityDelta($G41,$H41,$I41,$K41,$L41,$N41,$O41,$P41,$D41,$T41,RealTime!$A$2:$B$43,TODAY())</f>
        <v/>
      </c>
      <c r="Z41">
        <f>IF($B41=1,BucketedDelta($G41,$H41,$I41,$K41,$L41,$N41,$O41,$P41,$D41,$T41,$J41,RealTime!$A$2:$B$43,TODAY(),FALSE),"")</f>
        <v/>
      </c>
    </row>
    <row r="42">
      <c r="F42">
        <f>IF($E42="","",NotionalForDelta($E42,$G42,$H42,$I42,$K42,$L42,$N42,$O42,$P42,$T42,RealTime!$A$2:$B$43,TODAY()))</f>
        <v/>
      </c>
      <c r="Q42">
        <f>FairRate($G42,$H42,$I42,$K42,$L42,$N42,$O42,$P42,RealTime!$A$2:$B$43,TODAY())</f>
        <v/>
      </c>
      <c r="R42">
        <f>IF(ISNUMBER(Q41),Q42-Q41,"")</f>
        <v/>
      </c>
      <c r="S42">
        <f>IF(AND(ISNUMBER(Q41),ISNUMBER(Q43)),2*Q42-Q41-Q43,"")</f>
        <v/>
      </c>
      <c r="U42">
        <f>SwapPV($G42,$H42,$I42,$K42,$L42,$N42,$O42,$P42,$D42,$T42,$J42,RealTime!$A$2:$B$43,TODAY())</f>
        <v/>
      </c>
      <c r="V42">
        <f>SwapDelta($G42,$H42,$I42,$K42,$L42,$N42,$O42,$P42,$D42,$T42,$J42,RealTime!$A$2:$B$43,TODAY())</f>
        <v/>
      </c>
      <c r="W42">
        <f>SwapAnnuityDelta($G42,$H42,$I42,$K42,$L42,$N42,$O42,$P42,$D42,$T42,RealTime!$A$2:$B$43,TODAY())</f>
        <v/>
      </c>
      <c r="Z42">
        <f>IF($B42=1,BucketedDelta($G42,$H42,$I42,$K42,$L42,$N42,$O42,$P42,$D42,$T42,$J42,RealTime!$A$2:$B$43,TODAY(),FALSE),"")</f>
        <v/>
      </c>
    </row>
    <row r="43">
      <c r="F43">
        <f>IF($E43="","",NotionalForDelta($E43,$G43,$H43,$I43,$K43,$L43,$N43,$O43,$P43,$T43,RealTime!$A$2:$B$43,TODAY()))</f>
        <v/>
      </c>
      <c r="Q43">
        <f>FairRate($G43,$H43,$I43,$K43,$L43,$N43,$O43,$P43,RealTime!$A$2:$B$43,TODAY())</f>
        <v/>
      </c>
      <c r="R43">
        <f>IF(ISNUMBER(Q42),Q43-Q42,"")</f>
        <v/>
      </c>
      <c r="S43">
        <f>IF(AND(ISNUMBER(Q42),ISNUMBER(Q44)),2*Q43-Q42-Q44,"")</f>
        <v/>
      </c>
      <c r="U43">
        <f>SwapPV($G43,$H43,$I43,$K43,$L43,$N43,$O43,$P43,$D43,$T43,$J43,RealTime!$A$2:$B$43,TODAY())</f>
        <v/>
      </c>
      <c r="V43">
        <f>SwapDelta($G43,$H43,$I43,$K43,$L43,$N43,$O43,$P43,$D43,$T43,$J43,RealTime!$A$2:$B$43,TODAY())</f>
        <v/>
      </c>
      <c r="W43">
        <f>SwapAnnuityDelta($G43,$H43,$I43,$K43,$L43,$N43,$O43,$P43,$D43,$T43,RealTime!$A$2:$B$43,TODAY())</f>
        <v/>
      </c>
      <c r="Z43">
        <f>IF($B43=1,BucketedDelta($G43,$H43,$I43,$K43,$L43,$N43,$O43,$P43,$D43,$T43,$J43,RealTime!$A$2:$B$43,TODAY(),FALSE),"")</f>
        <v/>
      </c>
    </row>
    <row r="44">
      <c r="F44">
        <f>IF($E44="","",NotionalForDelta($E44,$G44,$H44,$I44,$K44,$L44,$N44,$O44,$P44,$T44,RealTime!$A$2:$B$43,TODAY()))</f>
        <v/>
      </c>
      <c r="Q44">
        <f>FairRate($G44,$H44,$I44,$K44,$L44,$N44,$O44,$P44,RealTime!$A$2:$B$43,TODAY())</f>
        <v/>
      </c>
      <c r="R44">
        <f>IF(ISNUMBER(Q43),Q44-Q43,"")</f>
        <v/>
      </c>
      <c r="S44">
        <f>IF(AND(ISNUMBER(Q43),ISNUMBER(Q45)),2*Q44-Q43-Q45,"")</f>
        <v/>
      </c>
      <c r="U44">
        <f>SwapPV($G44,$H44,$I44,$K44,$L44,$N44,$O44,$P44,$D44,$T44,$J44,RealTime!$A$2:$B$43,TODAY())</f>
        <v/>
      </c>
      <c r="V44">
        <f>SwapDelta($G44,$H44,$I44,$K44,$L44,$N44,$O44,$P44,$D44,$T44,$J44,RealTime!$A$2:$B$43,TODAY())</f>
        <v/>
      </c>
      <c r="W44">
        <f>SwapAnnuityDelta($G44,$H44,$I44,$K44,$L44,$N44,$O44,$P44,$D44,$T44,RealTime!$A$2:$B$43,TODAY())</f>
        <v/>
      </c>
      <c r="Z44">
        <f>IF($B44=1,BucketedDelta($G44,$H44,$I44,$K44,$L44,$N44,$O44,$P44,$D44,$T44,$J44,RealTime!$A$2:$B$43,TODAY(),FALSE),"")</f>
        <v/>
      </c>
    </row>
    <row r="45">
      <c r="F45">
        <f>IF($E45="","",NotionalForDelta($E45,$G45,$H45,$I45,$K45,$L45,$N45,$O45,$P45,$T45,RealTime!$A$2:$B$43,TODAY()))</f>
        <v/>
      </c>
      <c r="Q45">
        <f>FairRate($G45,$H45,$I45,$K45,$L45,$N45,$O45,$P45,RealTime!$A$2:$B$43,TODAY())</f>
        <v/>
      </c>
      <c r="R45">
        <f>IF(ISNUMBER(Q44),Q45-Q44,"")</f>
        <v/>
      </c>
      <c r="S45">
        <f>IF(AND(ISNUMBER(Q44),ISNUMBER(Q46)),2*Q45-Q44-Q46,"")</f>
        <v/>
      </c>
      <c r="U45">
        <f>SwapPV($G45,$H45,$I45,$K45,$L45,$N45,$O45,$P45,$D45,$T45,$J45,RealTime!$A$2:$B$43,TODAY())</f>
        <v/>
      </c>
      <c r="V45">
        <f>SwapDelta($G45,$H45,$I45,$K45,$L45,$N45,$O45,$P45,$D45,$T45,$J45,RealTime!$A$2:$B$43,TODAY())</f>
        <v/>
      </c>
      <c r="W45">
        <f>SwapAnnuityDelta($G45,$H45,$I45,$K45,$L45,$N45,$O45,$P45,$D45,$T45,RealTime!$A$2:$B$43,TODAY())</f>
        <v/>
      </c>
      <c r="Z45">
        <f>IF($B45=1,BucketedDelta($G45,$H45,$I45,$K45,$L45,$N45,$O45,$P45,$D45,$T45,$J45,RealTime!$A$2:$B$43,TODAY(),FALSE),"")</f>
        <v/>
      </c>
    </row>
    <row r="46">
      <c r="F46">
        <f>IF($E46="","",NotionalForDelta($E46,$G46,$H46,$I46,$K46,$L46,$N46,$O46,$P46,$T46,RealTime!$A$2:$B$43,TODAY()))</f>
        <v/>
      </c>
      <c r="Q46">
        <f>FairRate($G46,$H46,$I46,$K46,$L46,$N46,$O46,$P46,RealTime!$A$2:$B$43,TODAY())</f>
        <v/>
      </c>
      <c r="R46">
        <f>IF(ISNUMBER(Q45),Q46-Q45,"")</f>
        <v/>
      </c>
      <c r="S46">
        <f>IF(AND(ISNUMBER(Q45),ISNUMBER(Q47)),2*Q46-Q45-Q47,"")</f>
        <v/>
      </c>
      <c r="U46">
        <f>SwapPV($G46,$H46,$I46,$K46,$L46,$N46,$O46,$P46,$D46,$T46,$J46,RealTime!$A$2:$B$43,TODAY())</f>
        <v/>
      </c>
      <c r="V46">
        <f>SwapDelta($G46,$H46,$I46,$K46,$L46,$N46,$O46,$P46,$D46,$T46,$J46,RealTime!$A$2:$B$43,TODAY())</f>
        <v/>
      </c>
      <c r="W46">
        <f>SwapAnnuityDelta($G46,$H46,$I46,$K46,$L46,$N46,$O46,$P46,$D46,$T46,RealTime!$A$2:$B$43,TODAY())</f>
        <v/>
      </c>
      <c r="Z46">
        <f>IF($B46=1,BucketedDelta($G46,$H46,$I46,$K46,$L46,$N46,$O46,$P46,$D46,$T46,$J46,RealTime!$A$2:$B$43,TODAY(),FALSE),"")</f>
        <v/>
      </c>
    </row>
    <row r="47">
      <c r="F47">
        <f>IF($E47="","",NotionalForDelta($E47,$G47,$H47,$I47,$K47,$L47,$N47,$O47,$P47,$T47,RealTime!$A$2:$B$43,TODAY()))</f>
        <v/>
      </c>
      <c r="Q47">
        <f>FairRate($G47,$H47,$I47,$K47,$L47,$N47,$O47,$P47,RealTime!$A$2:$B$43,TODAY())</f>
        <v/>
      </c>
      <c r="R47">
        <f>IF(ISNUMBER(Q46),Q47-Q46,"")</f>
        <v/>
      </c>
      <c r="S47">
        <f>IF(AND(ISNUMBER(Q46),ISNUMBER(Q48)),2*Q47-Q46-Q48,"")</f>
        <v/>
      </c>
      <c r="U47">
        <f>SwapPV($G47,$H47,$I47,$K47,$L47,$N47,$O47,$P47,$D47,$T47,$J47,RealTime!$A$2:$B$43,TODAY())</f>
        <v/>
      </c>
      <c r="V47">
        <f>SwapDelta($G47,$H47,$I47,$K47,$L47,$N47,$O47,$P47,$D47,$T47,$J47,RealTime!$A$2:$B$43,TODAY())</f>
        <v/>
      </c>
      <c r="W47">
        <f>SwapAnnuityDelta($G47,$H47,$I47,$K47,$L47,$N47,$O47,$P47,$D47,$T47,RealTime!$A$2:$B$43,TODAY())</f>
        <v/>
      </c>
      <c r="Z47">
        <f>IF($B47=1,BucketedDelta($G47,$H47,$I47,$K47,$L47,$N47,$O47,$P47,$D47,$T47,$J47,RealTime!$A$2:$B$43,TODAY(),FALSE),"")</f>
        <v/>
      </c>
    </row>
    <row r="48">
      <c r="F48">
        <f>IF($E48="","",NotionalForDelta($E48,$G48,$H48,$I48,$K48,$L48,$N48,$O48,$P48,$T48,RealTime!$A$2:$B$43,TODAY()))</f>
        <v/>
      </c>
      <c r="Q48">
        <f>FairRate($G48,$H48,$I48,$K48,$L48,$N48,$O48,$P48,RealTime!$A$2:$B$43,TODAY())</f>
        <v/>
      </c>
      <c r="R48">
        <f>IF(ISNUMBER(Q47),Q48-Q47,"")</f>
        <v/>
      </c>
      <c r="S48">
        <f>IF(AND(ISNUMBER(Q47),ISNUMBER(Q49)),2*Q48-Q47-Q49,"")</f>
        <v/>
      </c>
      <c r="U48">
        <f>SwapPV($G48,$H48,$I48,$K48,$L48,$N48,$O48,$P48,$D48,$T48,$J48,RealTime!$A$2:$B$43,TODAY())</f>
        <v/>
      </c>
      <c r="V48">
        <f>SwapDelta($G48,$H48,$I48,$K48,$L48,$N48,$O48,$P48,$D48,$T48,$J48,RealTime!$A$2:$B$43,TODAY())</f>
        <v/>
      </c>
      <c r="W48">
        <f>SwapAnnuityDelta($G48,$H48,$I48,$K48,$L48,$N48,$O48,$P48,$D48,$T48,RealTime!$A$2:$B$43,TODAY())</f>
        <v/>
      </c>
      <c r="Z48">
        <f>IF($B48=1,BucketedDelta($G48,$H48,$I48,$K48,$L48,$N48,$O48,$P48,$D48,$T48,$J48,RealTime!$A$2:$B$43,TODAY(),FALSE),"")</f>
        <v/>
      </c>
    </row>
    <row r="49">
      <c r="F49">
        <f>IF($E49="","",NotionalForDelta($E49,$G49,$H49,$I49,$K49,$L49,$N49,$O49,$P49,$T49,RealTime!$A$2:$B$43,TODAY()))</f>
        <v/>
      </c>
      <c r="Q49">
        <f>FairRate($G49,$H49,$I49,$K49,$L49,$N49,$O49,$P49,RealTime!$A$2:$B$43,TODAY())</f>
        <v/>
      </c>
      <c r="R49">
        <f>IF(ISNUMBER(Q48),Q49-Q48,"")</f>
        <v/>
      </c>
      <c r="S49">
        <f>IF(AND(ISNUMBER(Q48),ISNUMBER(Q50)),2*Q49-Q48-Q50,"")</f>
        <v/>
      </c>
      <c r="U49">
        <f>SwapPV($G49,$H49,$I49,$K49,$L49,$N49,$O49,$P49,$D49,$T49,$J49,RealTime!$A$2:$B$43,TODAY())</f>
        <v/>
      </c>
      <c r="V49">
        <f>SwapDelta($G49,$H49,$I49,$K49,$L49,$N49,$O49,$P49,$D49,$T49,$J49,RealTime!$A$2:$B$43,TODAY())</f>
        <v/>
      </c>
      <c r="W49">
        <f>SwapAnnuityDelta($G49,$H49,$I49,$K49,$L49,$N49,$O49,$P49,$D49,$T49,RealTime!$A$2:$B$43,TODAY())</f>
        <v/>
      </c>
      <c r="Z49">
        <f>IF($B49=1,BucketedDelta($G49,$H49,$I49,$K49,$L49,$N49,$O49,$P49,$D49,$T49,$J49,RealTime!$A$2:$B$43,TODAY(),FALSE),"")</f>
        <v/>
      </c>
    </row>
    <row r="50">
      <c r="F50">
        <f>IF($E50="","",NotionalForDelta($E50,$G50,$H50,$I50,$K50,$L50,$N50,$O50,$P50,$T50,RealTime!$A$2:$B$43,TODAY()))</f>
        <v/>
      </c>
      <c r="Q50">
        <f>FairRate($G50,$H50,$I50,$K50,$L50,$N50,$O50,$P50,RealTime!$A$2:$B$43,TODAY())</f>
        <v/>
      </c>
      <c r="R50">
        <f>IF(ISNUMBER(Q49),Q50-Q49,"")</f>
        <v/>
      </c>
      <c r="S50">
        <f>IF(AND(ISNUMBER(Q49),ISNUMBER(Q51)),2*Q50-Q49-Q51,"")</f>
        <v/>
      </c>
      <c r="U50">
        <f>SwapPV($G50,$H50,$I50,$K50,$L50,$N50,$O50,$P50,$D50,$T50,$J50,RealTime!$A$2:$B$43,TODAY())</f>
        <v/>
      </c>
      <c r="V50">
        <f>SwapDelta($G50,$H50,$I50,$K50,$L50,$N50,$O50,$P50,$D50,$T50,$J50,RealTime!$A$2:$B$43,TODAY())</f>
        <v/>
      </c>
      <c r="W50">
        <f>SwapAnnuityDelta($G50,$H50,$I50,$K50,$L50,$N50,$O50,$P50,$D50,$T50,RealTime!$A$2:$B$43,TODAY())</f>
        <v/>
      </c>
      <c r="Z50">
        <f>IF($B50=1,BucketedDelta($G50,$H50,$I50,$K50,$L50,$N50,$O50,$P50,$D50,$T50,$J50,RealTime!$A$2:$B$43,TODAY(),FALSE),"")</f>
        <v/>
      </c>
    </row>
    <row r="51">
      <c r="F51">
        <f>IF($E51="","",NotionalForDelta($E51,$G51,$H51,$I51,$K51,$L51,$N51,$O51,$P51,$T51,RealTime!$A$2:$B$43,TODAY()))</f>
        <v/>
      </c>
      <c r="Q51">
        <f>FairRate($G51,$H51,$I51,$K51,$L51,$N51,$O51,$P51,RealTime!$A$2:$B$43,TODAY())</f>
        <v/>
      </c>
      <c r="R51">
        <f>IF(ISNUMBER(Q50),Q51-Q50,"")</f>
        <v/>
      </c>
      <c r="S51">
        <f>IF(AND(ISNUMBER(Q50),ISNUMBER(Q52)),2*Q51-Q50-Q52,"")</f>
        <v/>
      </c>
      <c r="U51">
        <f>SwapPV($G51,$H51,$I51,$K51,$L51,$N51,$O51,$P51,$D51,$T51,$J51,RealTime!$A$2:$B$43,TODAY())</f>
        <v/>
      </c>
      <c r="V51">
        <f>SwapDelta($G51,$H51,$I51,$K51,$L51,$N51,$O51,$P51,$D51,$T51,$J51,RealTime!$A$2:$B$43,TODAY())</f>
        <v/>
      </c>
      <c r="W51">
        <f>SwapAnnuityDelta($G51,$H51,$I51,$K51,$L51,$N51,$O51,$P51,$D51,$T51,RealTime!$A$2:$B$43,TODAY())</f>
        <v/>
      </c>
      <c r="Z51">
        <f>IF($B51=1,BucketedDelta($G51,$H51,$I51,$K51,$L51,$N51,$O51,$P51,$D51,$T51,$J51,RealTime!$A$2:$B$43,TODAY(),FALSE),"")</f>
        <v/>
      </c>
    </row>
    <row r="52">
      <c r="F52">
        <f>IF($E52="","",NotionalForDelta($E52,$G52,$H52,$I52,$K52,$L52,$N52,$O52,$P52,$T52,RealTime!$A$2:$B$43,TODAY()))</f>
        <v/>
      </c>
      <c r="Q52">
        <f>FairRate($G52,$H52,$I52,$K52,$L52,$N52,$O52,$P52,RealTime!$A$2:$B$43,TODAY())</f>
        <v/>
      </c>
      <c r="R52">
        <f>IF(ISNUMBER(Q51),Q52-Q51,"")</f>
        <v/>
      </c>
      <c r="S52">
        <f>IF(AND(ISNUMBER(Q51),ISNUMBER(Q53)),2*Q52-Q51-Q53,"")</f>
        <v/>
      </c>
      <c r="U52">
        <f>SwapPV($G52,$H52,$I52,$K52,$L52,$N52,$O52,$P52,$D52,$T52,$J52,RealTime!$A$2:$B$43,TODAY())</f>
        <v/>
      </c>
      <c r="V52">
        <f>SwapDelta($G52,$H52,$I52,$K52,$L52,$N52,$O52,$P52,$D52,$T52,$J52,RealTime!$A$2:$B$43,TODAY())</f>
        <v/>
      </c>
      <c r="W52">
        <f>SwapAnnuityDelta($G52,$H52,$I52,$K52,$L52,$N52,$O52,$P52,$D52,$T52,RealTime!$A$2:$B$43,TODAY())</f>
        <v/>
      </c>
      <c r="Z52">
        <f>IF($B52=1,BucketedDelta($G52,$H52,$I52,$K52,$L52,$N52,$O52,$P52,$D52,$T52,$J52,RealTime!$A$2:$B$43,TODAY(),FALSE),"")</f>
        <v/>
      </c>
    </row>
    <row r="53">
      <c r="F53">
        <f>IF($E53="","",NotionalForDelta($E53,$G53,$H53,$I53,$K53,$L53,$N53,$O53,$P53,$T53,RealTime!$A$2:$B$43,TODAY()))</f>
        <v/>
      </c>
      <c r="Q53">
        <f>FairRate($G53,$H53,$I53,$K53,$L53,$N53,$O53,$P53,RealTime!$A$2:$B$43,TODAY())</f>
        <v/>
      </c>
      <c r="R53">
        <f>IF(ISNUMBER(Q52),Q53-Q52,"")</f>
        <v/>
      </c>
      <c r="S53">
        <f>IF(AND(ISNUMBER(Q52),ISNUMBER(Q54)),2*Q53-Q52-Q54,"")</f>
        <v/>
      </c>
      <c r="U53">
        <f>SwapPV($G53,$H53,$I53,$K53,$L53,$N53,$O53,$P53,$D53,$T53,$J53,RealTime!$A$2:$B$43,TODAY())</f>
        <v/>
      </c>
      <c r="V53">
        <f>SwapDelta($G53,$H53,$I53,$K53,$L53,$N53,$O53,$P53,$D53,$T53,$J53,RealTime!$A$2:$B$43,TODAY())</f>
        <v/>
      </c>
      <c r="W53">
        <f>SwapAnnuityDelta($G53,$H53,$I53,$K53,$L53,$N53,$O53,$P53,$D53,$T53,RealTime!$A$2:$B$43,TODAY())</f>
        <v/>
      </c>
      <c r="Z53">
        <f>IF($B53=1,BucketedDelta($G53,$H53,$I53,$K53,$L53,$N53,$O53,$P53,$D53,$T53,$J53,RealTime!$A$2:$B$43,TODAY(),FALSE),"")</f>
        <v/>
      </c>
    </row>
    <row r="54">
      <c r="F54">
        <f>IF($E54="","",NotionalForDelta($E54,$G54,$H54,$I54,$K54,$L54,$N54,$O54,$P54,$T54,RealTime!$A$2:$B$43,TODAY()))</f>
        <v/>
      </c>
      <c r="Q54">
        <f>FairRate($G54,$H54,$I54,$K54,$L54,$N54,$O54,$P54,RealTime!$A$2:$B$43,TODAY())</f>
        <v/>
      </c>
      <c r="R54">
        <f>IF(ISNUMBER(Q53),Q54-Q53,"")</f>
        <v/>
      </c>
      <c r="S54">
        <f>IF(AND(ISNUMBER(Q53),ISNUMBER(Q55)),2*Q54-Q53-Q55,"")</f>
        <v/>
      </c>
      <c r="U54">
        <f>SwapPV($G54,$H54,$I54,$K54,$L54,$N54,$O54,$P54,$D54,$T54,$J54,RealTime!$A$2:$B$43,TODAY())</f>
        <v/>
      </c>
      <c r="V54">
        <f>SwapDelta($G54,$H54,$I54,$K54,$L54,$N54,$O54,$P54,$D54,$T54,$J54,RealTime!$A$2:$B$43,TODAY())</f>
        <v/>
      </c>
      <c r="W54">
        <f>SwapAnnuityDelta($G54,$H54,$I54,$K54,$L54,$N54,$O54,$P54,$D54,$T54,RealTime!$A$2:$B$43,TODAY())</f>
        <v/>
      </c>
      <c r="Z54">
        <f>IF($B54=1,BucketedDelta($G54,$H54,$I54,$K54,$L54,$N54,$O54,$P54,$D54,$T54,$J54,RealTime!$A$2:$B$43,TODAY(),FALSE),"")</f>
        <v/>
      </c>
    </row>
    <row r="55">
      <c r="F55">
        <f>IF($E55="","",NotionalForDelta($E55,$G55,$H55,$I55,$K55,$L55,$N55,$O55,$P55,$T55,RealTime!$A$2:$B$43,TODAY()))</f>
        <v/>
      </c>
      <c r="Q55">
        <f>FairRate($G55,$H55,$I55,$K55,$L55,$N55,$O55,$P55,RealTime!$A$2:$B$43,TODAY())</f>
        <v/>
      </c>
      <c r="R55">
        <f>IF(ISNUMBER(Q54),Q55-Q54,"")</f>
        <v/>
      </c>
      <c r="S55">
        <f>IF(AND(ISNUMBER(Q54),ISNUMBER(Q56)),2*Q55-Q54-Q56,"")</f>
        <v/>
      </c>
      <c r="U55">
        <f>SwapPV($G55,$H55,$I55,$K55,$L55,$N55,$O55,$P55,$D55,$T55,$J55,RealTime!$A$2:$B$43,TODAY())</f>
        <v/>
      </c>
      <c r="V55">
        <f>SwapDelta($G55,$H55,$I55,$K55,$L55,$N55,$O55,$P55,$D55,$T55,$J55,RealTime!$A$2:$B$43,TODAY())</f>
        <v/>
      </c>
      <c r="W55">
        <f>SwapAnnuityDelta($G55,$H55,$I55,$K55,$L55,$N55,$O55,$P55,$D55,$T55,RealTime!$A$2:$B$43,TODAY())</f>
        <v/>
      </c>
      <c r="Z55">
        <f>IF($B55=1,BucketedDelta($G55,$H55,$I55,$K55,$L55,$N55,$O55,$P55,$D55,$T55,$J55,RealTime!$A$2:$B$43,TODAY(),FALSE),"")</f>
        <v/>
      </c>
    </row>
    <row r="56">
      <c r="F56">
        <f>IF($E56="","",NotionalForDelta($E56,$G56,$H56,$I56,$K56,$L56,$N56,$O56,$P56,$T56,RealTime!$A$2:$B$43,TODAY()))</f>
        <v/>
      </c>
      <c r="Q56">
        <f>FairRate($G56,$H56,$I56,$K56,$L56,$N56,$O56,$P56,RealTime!$A$2:$B$43,TODAY())</f>
        <v/>
      </c>
      <c r="R56">
        <f>IF(ISNUMBER(Q55),Q56-Q55,"")</f>
        <v/>
      </c>
      <c r="S56">
        <f>IF(AND(ISNUMBER(Q55),ISNUMBER(Q57)),2*Q56-Q55-Q57,"")</f>
        <v/>
      </c>
      <c r="U56">
        <f>SwapPV($G56,$H56,$I56,$K56,$L56,$N56,$O56,$P56,$D56,$T56,$J56,RealTime!$A$2:$B$43,TODAY())</f>
        <v/>
      </c>
      <c r="V56">
        <f>SwapDelta($G56,$H56,$I56,$K56,$L56,$N56,$O56,$P56,$D56,$T56,$J56,RealTime!$A$2:$B$43,TODAY())</f>
        <v/>
      </c>
      <c r="W56">
        <f>SwapAnnuityDelta($G56,$H56,$I56,$K56,$L56,$N56,$O56,$P56,$D56,$T56,RealTime!$A$2:$B$43,TODAY())</f>
        <v/>
      </c>
      <c r="Z56">
        <f>IF($B56=1,BucketedDelta($G56,$H56,$I56,$K56,$L56,$N56,$O56,$P56,$D56,$T56,$J56,RealTime!$A$2:$B$43,TODAY(),FALSE),"")</f>
        <v/>
      </c>
    </row>
    <row r="57">
      <c r="F57">
        <f>IF($E57="","",NotionalForDelta($E57,$G57,$H57,$I57,$K57,$L57,$N57,$O57,$P57,$T57,RealTime!$A$2:$B$43,TODAY()))</f>
        <v/>
      </c>
      <c r="Q57">
        <f>FairRate($G57,$H57,$I57,$K57,$L57,$N57,$O57,$P57,RealTime!$A$2:$B$43,TODAY())</f>
        <v/>
      </c>
      <c r="R57">
        <f>IF(ISNUMBER(Q56),Q57-Q56,"")</f>
        <v/>
      </c>
      <c r="S57">
        <f>IF(AND(ISNUMBER(Q56),ISNUMBER(Q58)),2*Q57-Q56-Q58,"")</f>
        <v/>
      </c>
      <c r="U57">
        <f>SwapPV($G57,$H57,$I57,$K57,$L57,$N57,$O57,$P57,$D57,$T57,$J57,RealTime!$A$2:$B$43,TODAY())</f>
        <v/>
      </c>
      <c r="V57">
        <f>SwapDelta($G57,$H57,$I57,$K57,$L57,$N57,$O57,$P57,$D57,$T57,$J57,RealTime!$A$2:$B$43,TODAY())</f>
        <v/>
      </c>
      <c r="W57">
        <f>SwapAnnuityDelta($G57,$H57,$I57,$K57,$L57,$N57,$O57,$P57,$D57,$T57,RealTime!$A$2:$B$43,TODAY())</f>
        <v/>
      </c>
      <c r="Z57">
        <f>IF($B57=1,BucketedDelta($G57,$H57,$I57,$K57,$L57,$N57,$O57,$P57,$D57,$T57,$J57,RealTime!$A$2:$B$43,TODAY(),FALSE),"")</f>
        <v/>
      </c>
    </row>
    <row r="58">
      <c r="F58">
        <f>IF($E58="","",NotionalForDelta($E58,$G58,$H58,$I58,$K58,$L58,$N58,$O58,$P58,$T58,RealTime!$A$2:$B$43,TODAY()))</f>
        <v/>
      </c>
      <c r="Q58">
        <f>FairRate($G58,$H58,$I58,$K58,$L58,$N58,$O58,$P58,RealTime!$A$2:$B$43,TODAY())</f>
        <v/>
      </c>
      <c r="R58">
        <f>IF(ISNUMBER(Q57),Q58-Q57,"")</f>
        <v/>
      </c>
      <c r="S58">
        <f>IF(AND(ISNUMBER(Q57),ISNUMBER(Q59)),2*Q58-Q57-Q59,"")</f>
        <v/>
      </c>
      <c r="U58">
        <f>SwapPV($G58,$H58,$I58,$K58,$L58,$N58,$O58,$P58,$D58,$T58,$J58,RealTime!$A$2:$B$43,TODAY())</f>
        <v/>
      </c>
      <c r="V58">
        <f>SwapDelta($G58,$H58,$I58,$K58,$L58,$N58,$O58,$P58,$D58,$T58,$J58,RealTime!$A$2:$B$43,TODAY())</f>
        <v/>
      </c>
      <c r="W58">
        <f>SwapAnnuityDelta($G58,$H58,$I58,$K58,$L58,$N58,$O58,$P58,$D58,$T58,RealTime!$A$2:$B$43,TODAY())</f>
        <v/>
      </c>
      <c r="Z58">
        <f>IF($B58=1,BucketedDelta($G58,$H58,$I58,$K58,$L58,$N58,$O58,$P58,$D58,$T58,$J58,RealTime!$A$2:$B$43,TODAY(),FALSE),"")</f>
        <v/>
      </c>
    </row>
    <row r="59">
      <c r="F59">
        <f>IF($E59="","",NotionalForDelta($E59,$G59,$H59,$I59,$K59,$L59,$N59,$O59,$P59,$T59,RealTime!$A$2:$B$43,TODAY()))</f>
        <v/>
      </c>
      <c r="Q59">
        <f>FairRate($G59,$H59,$I59,$K59,$L59,$N59,$O59,$P59,RealTime!$A$2:$B$43,TODAY())</f>
        <v/>
      </c>
      <c r="R59">
        <f>IF(ISNUMBER(Q58),Q59-Q58,"")</f>
        <v/>
      </c>
      <c r="S59">
        <f>IF(AND(ISNUMBER(Q58),ISNUMBER(Q60)),2*Q59-Q58-Q60,"")</f>
        <v/>
      </c>
      <c r="U59">
        <f>SwapPV($G59,$H59,$I59,$K59,$L59,$N59,$O59,$P59,$D59,$T59,$J59,RealTime!$A$2:$B$43,TODAY())</f>
        <v/>
      </c>
      <c r="V59">
        <f>SwapDelta($G59,$H59,$I59,$K59,$L59,$N59,$O59,$P59,$D59,$T59,$J59,RealTime!$A$2:$B$43,TODAY())</f>
        <v/>
      </c>
      <c r="W59">
        <f>SwapAnnuityDelta($G59,$H59,$I59,$K59,$L59,$N59,$O59,$P59,$D59,$T59,RealTime!$A$2:$B$43,TODAY())</f>
        <v/>
      </c>
      <c r="Z59">
        <f>IF($B59=1,BucketedDelta($G59,$H59,$I59,$K59,$L59,$N59,$O59,$P59,$D59,$T59,$J59,RealTime!$A$2:$B$43,TODAY(),FALSE),"")</f>
        <v/>
      </c>
    </row>
    <row r="60">
      <c r="F60">
        <f>IF($E60="","",NotionalForDelta($E60,$G60,$H60,$I60,$K60,$L60,$N60,$O60,$P60,$T60,RealTime!$A$2:$B$43,TODAY()))</f>
        <v/>
      </c>
      <c r="Q60">
        <f>FairRate($G60,$H60,$I60,$K60,$L60,$N60,$O60,$P60,RealTime!$A$2:$B$43,TODAY())</f>
        <v/>
      </c>
      <c r="R60">
        <f>IF(ISNUMBER(Q59),Q60-Q59,"")</f>
        <v/>
      </c>
      <c r="S60">
        <f>IF(AND(ISNUMBER(Q59),ISNUMBER(Q61)),2*Q60-Q59-Q61,"")</f>
        <v/>
      </c>
      <c r="U60">
        <f>SwapPV($G60,$H60,$I60,$K60,$L60,$N60,$O60,$P60,$D60,$T60,$J60,RealTime!$A$2:$B$43,TODAY())</f>
        <v/>
      </c>
      <c r="V60">
        <f>SwapDelta($G60,$H60,$I60,$K60,$L60,$N60,$O60,$P60,$D60,$T60,$J60,RealTime!$A$2:$B$43,TODAY())</f>
        <v/>
      </c>
      <c r="W60">
        <f>SwapAnnuityDelta($G60,$H60,$I60,$K60,$L60,$N60,$O60,$P60,$D60,$T60,RealTime!$A$2:$B$43,TODAY())</f>
        <v/>
      </c>
      <c r="Z60">
        <f>IF($B60=1,BucketedDelta($G60,$H60,$I60,$K60,$L60,$N60,$O60,$P60,$D60,$T60,$J60,RealTime!$A$2:$B$43,TODAY(),FALSE),"")</f>
        <v/>
      </c>
    </row>
    <row r="61">
      <c r="F61">
        <f>IF($E61="","",NotionalForDelta($E61,$G61,$H61,$I61,$K61,$L61,$N61,$O61,$P61,$T61,RealTime!$A$2:$B$43,TODAY()))</f>
        <v/>
      </c>
      <c r="Q61">
        <f>FairRate($G61,$H61,$I61,$K61,$L61,$N61,$O61,$P61,RealTime!$A$2:$B$43,TODAY())</f>
        <v/>
      </c>
      <c r="R61">
        <f>IF(ISNUMBER(Q60),Q61-Q60,"")</f>
        <v/>
      </c>
      <c r="S61">
        <f>IF(AND(ISNUMBER(Q60),ISNUMBER(Q62)),2*Q61-Q60-Q62,"")</f>
        <v/>
      </c>
      <c r="U61">
        <f>SwapPV($G61,$H61,$I61,$K61,$L61,$N61,$O61,$P61,$D61,$T61,$J61,RealTime!$A$2:$B$43,TODAY())</f>
        <v/>
      </c>
      <c r="V61">
        <f>SwapDelta($G61,$H61,$I61,$K61,$L61,$N61,$O61,$P61,$D61,$T61,$J61,RealTime!$A$2:$B$43,TODAY())</f>
        <v/>
      </c>
      <c r="W61">
        <f>SwapAnnuityDelta($G61,$H61,$I61,$K61,$L61,$N61,$O61,$P61,$D61,$T61,RealTime!$A$2:$B$43,TODAY())</f>
        <v/>
      </c>
      <c r="Z61">
        <f>IF($B61=1,BucketedDelta($G61,$H61,$I61,$K61,$L61,$N61,$O61,$P61,$D61,$T61,$J61,RealTime!$A$2:$B$43,TODAY(),FALSE),"")</f>
        <v/>
      </c>
    </row>
    <row r="62">
      <c r="F62">
        <f>IF($E62="","",NotionalForDelta($E62,$G62,$H62,$I62,$K62,$L62,$N62,$O62,$P62,$T62,RealTime!$A$2:$B$43,TODAY()))</f>
        <v/>
      </c>
      <c r="Q62">
        <f>FairRate($G62,$H62,$I62,$K62,$L62,$N62,$O62,$P62,RealTime!$A$2:$B$43,TODAY())</f>
        <v/>
      </c>
      <c r="R62">
        <f>IF(ISNUMBER(Q61),Q62-Q61,"")</f>
        <v/>
      </c>
      <c r="S62">
        <f>IF(AND(ISNUMBER(Q61),ISNUMBER(Q63)),2*Q62-Q61-Q63,"")</f>
        <v/>
      </c>
      <c r="U62">
        <f>SwapPV($G62,$H62,$I62,$K62,$L62,$N62,$O62,$P62,$D62,$T62,$J62,RealTime!$A$2:$B$43,TODAY())</f>
        <v/>
      </c>
      <c r="V62">
        <f>SwapDelta($G62,$H62,$I62,$K62,$L62,$N62,$O62,$P62,$D62,$T62,$J62,RealTime!$A$2:$B$43,TODAY())</f>
        <v/>
      </c>
      <c r="W62">
        <f>SwapAnnuityDelta($G62,$H62,$I62,$K62,$L62,$N62,$O62,$P62,$D62,$T62,RealTime!$A$2:$B$43,TODAY())</f>
        <v/>
      </c>
      <c r="Z62">
        <f>IF($B62=1,BucketedDelta($G62,$H62,$I62,$K62,$L62,$N62,$O62,$P62,$D62,$T62,$J62,RealTime!$A$2:$B$43,TODAY(),FALSE),"")</f>
        <v/>
      </c>
    </row>
    <row r="63">
      <c r="F63">
        <f>IF($E63="","",NotionalForDelta($E63,$G63,$H63,$I63,$K63,$L63,$N63,$O63,$P63,$T63,RealTime!$A$2:$B$43,TODAY()))</f>
        <v/>
      </c>
      <c r="Q63">
        <f>FairRate($G63,$H63,$I63,$K63,$L63,$N63,$O63,$P63,RealTime!$A$2:$B$43,TODAY())</f>
        <v/>
      </c>
      <c r="R63">
        <f>IF(ISNUMBER(Q62),Q63-Q62,"")</f>
        <v/>
      </c>
      <c r="S63">
        <f>IF(AND(ISNUMBER(Q62),ISNUMBER(Q64)),2*Q63-Q62-Q64,"")</f>
        <v/>
      </c>
      <c r="U63">
        <f>SwapPV($G63,$H63,$I63,$K63,$L63,$N63,$O63,$P63,$D63,$T63,$J63,RealTime!$A$2:$B$43,TODAY())</f>
        <v/>
      </c>
      <c r="V63">
        <f>SwapDelta($G63,$H63,$I63,$K63,$L63,$N63,$O63,$P63,$D63,$T63,$J63,RealTime!$A$2:$B$43,TODAY())</f>
        <v/>
      </c>
      <c r="W63">
        <f>SwapAnnuityDelta($G63,$H63,$I63,$K63,$L63,$N63,$O63,$P63,$D63,$T63,RealTime!$A$2:$B$43,TODAY())</f>
        <v/>
      </c>
      <c r="Z63">
        <f>IF($B63=1,BucketedDelta($G63,$H63,$I63,$K63,$L63,$N63,$O63,$P63,$D63,$T63,$J63,RealTime!$A$2:$B$43,TODAY(),FALSE),"")</f>
        <v/>
      </c>
    </row>
    <row r="64">
      <c r="F64">
        <f>IF($E64="","",NotionalForDelta($E64,$G64,$H64,$I64,$K64,$L64,$N64,$O64,$P64,$T64,RealTime!$A$2:$B$43,TODAY()))</f>
        <v/>
      </c>
      <c r="Q64">
        <f>FairRate($G64,$H64,$I64,$K64,$L64,$N64,$O64,$P64,RealTime!$A$2:$B$43,TODAY())</f>
        <v/>
      </c>
      <c r="R64">
        <f>IF(ISNUMBER(Q63),Q64-Q63,"")</f>
        <v/>
      </c>
      <c r="S64">
        <f>IF(AND(ISNUMBER(Q63),ISNUMBER(Q65)),2*Q64-Q63-Q65,"")</f>
        <v/>
      </c>
      <c r="U64">
        <f>SwapPV($G64,$H64,$I64,$K64,$L64,$N64,$O64,$P64,$D64,$T64,$J64,RealTime!$A$2:$B$43,TODAY())</f>
        <v/>
      </c>
      <c r="V64">
        <f>SwapDelta($G64,$H64,$I64,$K64,$L64,$N64,$O64,$P64,$D64,$T64,$J64,RealTime!$A$2:$B$43,TODAY())</f>
        <v/>
      </c>
      <c r="W64">
        <f>SwapAnnuityDelta($G64,$H64,$I64,$K64,$L64,$N64,$O64,$P64,$D64,$T64,RealTime!$A$2:$B$43,TODAY())</f>
        <v/>
      </c>
      <c r="Z64">
        <f>IF($B64=1,BucketedDelta($G64,$H64,$I64,$K64,$L64,$N64,$O64,$P64,$D64,$T64,$J64,RealTime!$A$2:$B$43,TODAY(),FALSE),"")</f>
        <v/>
      </c>
    </row>
    <row r="65">
      <c r="F65">
        <f>IF($E65="","",NotionalForDelta($E65,$G65,$H65,$I65,$K65,$L65,$N65,$O65,$P65,$T65,RealTime!$A$2:$B$43,TODAY()))</f>
        <v/>
      </c>
      <c r="Q65">
        <f>FairRate($G65,$H65,$I65,$K65,$L65,$N65,$O65,$P65,RealTime!$A$2:$B$43,TODAY())</f>
        <v/>
      </c>
      <c r="R65">
        <f>IF(ISNUMBER(Q64),Q65-Q64,"")</f>
        <v/>
      </c>
      <c r="S65">
        <f>IF(AND(ISNUMBER(Q64),ISNUMBER(Q66)),2*Q65-Q64-Q66,"")</f>
        <v/>
      </c>
      <c r="U65">
        <f>SwapPV($G65,$H65,$I65,$K65,$L65,$N65,$O65,$P65,$D65,$T65,$J65,RealTime!$A$2:$B$43,TODAY())</f>
        <v/>
      </c>
      <c r="V65">
        <f>SwapDelta($G65,$H65,$I65,$K65,$L65,$N65,$O65,$P65,$D65,$T65,$J65,RealTime!$A$2:$B$43,TODAY())</f>
        <v/>
      </c>
      <c r="W65">
        <f>SwapAnnuityDelta($G65,$H65,$I65,$K65,$L65,$N65,$O65,$P65,$D65,$T65,RealTime!$A$2:$B$43,TODAY())</f>
        <v/>
      </c>
      <c r="Z65">
        <f>IF($B65=1,BucketedDelta($G65,$H65,$I65,$K65,$L65,$N65,$O65,$P65,$D65,$T65,$J65,RealTime!$A$2:$B$43,TODAY(),FALSE),"")</f>
        <v/>
      </c>
    </row>
    <row r="66">
      <c r="F66">
        <f>IF($E66="","",NotionalForDelta($E66,$G66,$H66,$I66,$K66,$L66,$N66,$O66,$P66,$T66,RealTime!$A$2:$B$43,TODAY()))</f>
        <v/>
      </c>
      <c r="Q66">
        <f>FairRate($G66,$H66,$I66,$K66,$L66,$N66,$O66,$P66,RealTime!$A$2:$B$43,TODAY())</f>
        <v/>
      </c>
      <c r="R66">
        <f>IF(ISNUMBER(Q65),Q66-Q65,"")</f>
        <v/>
      </c>
      <c r="S66">
        <f>IF(AND(ISNUMBER(Q65),ISNUMBER(Q67)),2*Q66-Q65-Q67,"")</f>
        <v/>
      </c>
      <c r="U66">
        <f>SwapPV($G66,$H66,$I66,$K66,$L66,$N66,$O66,$P66,$D66,$T66,$J66,RealTime!$A$2:$B$43,TODAY())</f>
        <v/>
      </c>
      <c r="V66">
        <f>SwapDelta($G66,$H66,$I66,$K66,$L66,$N66,$O66,$P66,$D66,$T66,$J66,RealTime!$A$2:$B$43,TODAY())</f>
        <v/>
      </c>
      <c r="W66">
        <f>SwapAnnuityDelta($G66,$H66,$I66,$K66,$L66,$N66,$O66,$P66,$D66,$T66,RealTime!$A$2:$B$43,TODAY())</f>
        <v/>
      </c>
      <c r="Z66">
        <f>IF($B66=1,BucketedDelta($G66,$H66,$I66,$K66,$L66,$N66,$O66,$P66,$D66,$T66,$J66,RealTime!$A$2:$B$43,TODAY(),FALSE),"")</f>
        <v/>
      </c>
    </row>
    <row r="67">
      <c r="F67">
        <f>IF($E67="","",NotionalForDelta($E67,$G67,$H67,$I67,$K67,$L67,$N67,$O67,$P67,$T67,RealTime!$A$2:$B$43,TODAY()))</f>
        <v/>
      </c>
      <c r="Q67">
        <f>FairRate($G67,$H67,$I67,$K67,$L67,$N67,$O67,$P67,RealTime!$A$2:$B$43,TODAY())</f>
        <v/>
      </c>
      <c r="R67">
        <f>IF(ISNUMBER(Q66),Q67-Q66,"")</f>
        <v/>
      </c>
      <c r="S67">
        <f>IF(AND(ISNUMBER(Q66),ISNUMBER(Q68)),2*Q67-Q66-Q68,"")</f>
        <v/>
      </c>
      <c r="U67">
        <f>SwapPV($G67,$H67,$I67,$K67,$L67,$N67,$O67,$P67,$D67,$T67,$J67,RealTime!$A$2:$B$43,TODAY())</f>
        <v/>
      </c>
      <c r="V67">
        <f>SwapDelta($G67,$H67,$I67,$K67,$L67,$N67,$O67,$P67,$D67,$T67,$J67,RealTime!$A$2:$B$43,TODAY())</f>
        <v/>
      </c>
      <c r="W67">
        <f>SwapAnnuityDelta($G67,$H67,$I67,$K67,$L67,$N67,$O67,$P67,$D67,$T67,RealTime!$A$2:$B$43,TODAY())</f>
        <v/>
      </c>
      <c r="Z67">
        <f>IF($B67=1,BucketedDelta($G67,$H67,$I67,$K67,$L67,$N67,$O67,$P67,$D67,$T67,$J67,RealTime!$A$2:$B$43,TODAY(),FALSE),"")</f>
        <v/>
      </c>
    </row>
    <row r="68">
      <c r="F68">
        <f>IF($E68="","",NotionalForDelta($E68,$G68,$H68,$I68,$K68,$L68,$N68,$O68,$P68,$T68,RealTime!$A$2:$B$43,TODAY()))</f>
        <v/>
      </c>
      <c r="Q68">
        <f>FairRate($G68,$H68,$I68,$K68,$L68,$N68,$O68,$P68,RealTime!$A$2:$B$43,TODAY())</f>
        <v/>
      </c>
      <c r="R68">
        <f>IF(ISNUMBER(Q67),Q68-Q67,"")</f>
        <v/>
      </c>
      <c r="S68">
        <f>IF(AND(ISNUMBER(Q67),ISNUMBER(Q69)),2*Q68-Q67-Q69,"")</f>
        <v/>
      </c>
      <c r="U68">
        <f>SwapPV($G68,$H68,$I68,$K68,$L68,$N68,$O68,$P68,$D68,$T68,$J68,RealTime!$A$2:$B$43,TODAY())</f>
        <v/>
      </c>
      <c r="V68">
        <f>SwapDelta($G68,$H68,$I68,$K68,$L68,$N68,$O68,$P68,$D68,$T68,$J68,RealTime!$A$2:$B$43,TODAY())</f>
        <v/>
      </c>
      <c r="W68">
        <f>SwapAnnuityDelta($G68,$H68,$I68,$K68,$L68,$N68,$O68,$P68,$D68,$T68,RealTime!$A$2:$B$43,TODAY())</f>
        <v/>
      </c>
      <c r="Z68">
        <f>IF($B68=1,BucketedDelta($G68,$H68,$I68,$K68,$L68,$N68,$O68,$P68,$D68,$T68,$J68,RealTime!$A$2:$B$43,TODAY(),FALSE),"")</f>
        <v/>
      </c>
    </row>
    <row r="69">
      <c r="F69">
        <f>IF($E69="","",NotionalForDelta($E69,$G69,$H69,$I69,$K69,$L69,$N69,$O69,$P69,$T69,RealTime!$A$2:$B$43,TODAY()))</f>
        <v/>
      </c>
      <c r="Q69">
        <f>FairRate($G69,$H69,$I69,$K69,$L69,$N69,$O69,$P69,RealTime!$A$2:$B$43,TODAY())</f>
        <v/>
      </c>
      <c r="R69">
        <f>IF(ISNUMBER(Q68),Q69-Q68,"")</f>
        <v/>
      </c>
      <c r="S69">
        <f>IF(AND(ISNUMBER(Q68),ISNUMBER(Q70)),2*Q69-Q68-Q70,"")</f>
        <v/>
      </c>
      <c r="U69">
        <f>SwapPV($G69,$H69,$I69,$K69,$L69,$N69,$O69,$P69,$D69,$T69,$J69,RealTime!$A$2:$B$43,TODAY())</f>
        <v/>
      </c>
      <c r="V69">
        <f>SwapDelta($G69,$H69,$I69,$K69,$L69,$N69,$O69,$P69,$D69,$T69,$J69,RealTime!$A$2:$B$43,TODAY())</f>
        <v/>
      </c>
      <c r="W69">
        <f>SwapAnnuityDelta($G69,$H69,$I69,$K69,$L69,$N69,$O69,$P69,$D69,$T69,RealTime!$A$2:$B$43,TODAY())</f>
        <v/>
      </c>
      <c r="Z69">
        <f>IF($B69=1,BucketedDelta($G69,$H69,$I69,$K69,$L69,$N69,$O69,$P69,$D69,$T69,$J69,RealTime!$A$2:$B$43,TODAY(),FALSE),"")</f>
        <v/>
      </c>
    </row>
    <row r="70">
      <c r="F70">
        <f>IF($E70="","",NotionalForDelta($E70,$G70,$H70,$I70,$K70,$L70,$N70,$O70,$P70,$T70,RealTime!$A$2:$B$43,TODAY()))</f>
        <v/>
      </c>
      <c r="Q70">
        <f>FairRate($G70,$H70,$I70,$K70,$L70,$N70,$O70,$P70,RealTime!$A$2:$B$43,TODAY())</f>
        <v/>
      </c>
      <c r="R70">
        <f>IF(ISNUMBER(Q69),Q70-Q69,"")</f>
        <v/>
      </c>
      <c r="S70">
        <f>IF(AND(ISNUMBER(Q69),ISNUMBER(Q71)),2*Q70-Q69-Q71,"")</f>
        <v/>
      </c>
      <c r="U70">
        <f>SwapPV($G70,$H70,$I70,$K70,$L70,$N70,$O70,$P70,$D70,$T70,$J70,RealTime!$A$2:$B$43,TODAY())</f>
        <v/>
      </c>
      <c r="V70">
        <f>SwapDelta($G70,$H70,$I70,$K70,$L70,$N70,$O70,$P70,$D70,$T70,$J70,RealTime!$A$2:$B$43,TODAY())</f>
        <v/>
      </c>
      <c r="W70">
        <f>SwapAnnuityDelta($G70,$H70,$I70,$K70,$L70,$N70,$O70,$P70,$D70,$T70,RealTime!$A$2:$B$43,TODAY())</f>
        <v/>
      </c>
      <c r="Z70">
        <f>IF($B70=1,BucketedDelta($G70,$H70,$I70,$K70,$L70,$N70,$O70,$P70,$D70,$T70,$J70,RealTime!$A$2:$B$43,TODAY(),FALSE),"")</f>
        <v/>
      </c>
    </row>
    <row r="71">
      <c r="F71">
        <f>IF($E71="","",NotionalForDelta($E71,$G71,$H71,$I71,$K71,$L71,$N71,$O71,$P71,$T71,RealTime!$A$2:$B$43,TODAY()))</f>
        <v/>
      </c>
      <c r="Q71">
        <f>FairRate($G71,$H71,$I71,$K71,$L71,$N71,$O71,$P71,RealTime!$A$2:$B$43,TODAY())</f>
        <v/>
      </c>
      <c r="R71">
        <f>IF(ISNUMBER(Q70),Q71-Q70,"")</f>
        <v/>
      </c>
      <c r="S71">
        <f>IF(AND(ISNUMBER(Q70),ISNUMBER(Q72)),2*Q71-Q70-Q72,"")</f>
        <v/>
      </c>
      <c r="U71">
        <f>SwapPV($G71,$H71,$I71,$K71,$L71,$N71,$O71,$P71,$D71,$T71,$J71,RealTime!$A$2:$B$43,TODAY())</f>
        <v/>
      </c>
      <c r="V71">
        <f>SwapDelta($G71,$H71,$I71,$K71,$L71,$N71,$O71,$P71,$D71,$T71,$J71,RealTime!$A$2:$B$43,TODAY())</f>
        <v/>
      </c>
      <c r="W71">
        <f>SwapAnnuityDelta($G71,$H71,$I71,$K71,$L71,$N71,$O71,$P71,$D71,$T71,RealTime!$A$2:$B$43,TODAY())</f>
        <v/>
      </c>
      <c r="Z71">
        <f>IF($B71=1,BucketedDelta($G71,$H71,$I71,$K71,$L71,$N71,$O71,$P71,$D71,$T71,$J71,RealTime!$A$2:$B$43,TODAY(),FALSE),"")</f>
        <v/>
      </c>
    </row>
    <row r="72">
      <c r="F72">
        <f>IF($E72="","",NotionalForDelta($E72,$G72,$H72,$I72,$K72,$L72,$N72,$O72,$P72,$T72,RealTime!$A$2:$B$43,TODAY()))</f>
        <v/>
      </c>
      <c r="Q72">
        <f>FairRate($G72,$H72,$I72,$K72,$L72,$N72,$O72,$P72,RealTime!$A$2:$B$43,TODAY())</f>
        <v/>
      </c>
      <c r="R72">
        <f>IF(ISNUMBER(Q71),Q72-Q71,"")</f>
        <v/>
      </c>
      <c r="S72">
        <f>IF(AND(ISNUMBER(Q71),ISNUMBER(Q73)),2*Q72-Q71-Q73,"")</f>
        <v/>
      </c>
      <c r="U72">
        <f>SwapPV($G72,$H72,$I72,$K72,$L72,$N72,$O72,$P72,$D72,$T72,$J72,RealTime!$A$2:$B$43,TODAY())</f>
        <v/>
      </c>
      <c r="V72">
        <f>SwapDelta($G72,$H72,$I72,$K72,$L72,$N72,$O72,$P72,$D72,$T72,$J72,RealTime!$A$2:$B$43,TODAY())</f>
        <v/>
      </c>
      <c r="W72">
        <f>SwapAnnuityDelta($G72,$H72,$I72,$K72,$L72,$N72,$O72,$P72,$D72,$T72,RealTime!$A$2:$B$43,TODAY())</f>
        <v/>
      </c>
      <c r="Z72">
        <f>IF($B72=1,BucketedDelta($G72,$H72,$I72,$K72,$L72,$N72,$O72,$P72,$D72,$T72,$J72,RealTime!$A$2:$B$43,TODAY(),FALSE),"")</f>
        <v/>
      </c>
    </row>
    <row r="73">
      <c r="F73">
        <f>IF($E73="","",NotionalForDelta($E73,$G73,$H73,$I73,$K73,$L73,$N73,$O73,$P73,$T73,RealTime!$A$2:$B$43,TODAY()))</f>
        <v/>
      </c>
      <c r="Q73">
        <f>FairRate($G73,$H73,$I73,$K73,$L73,$N73,$O73,$P73,RealTime!$A$2:$B$43,TODAY())</f>
        <v/>
      </c>
      <c r="R73">
        <f>IF(ISNUMBER(Q72),Q73-Q72,"")</f>
        <v/>
      </c>
      <c r="S73">
        <f>IF(AND(ISNUMBER(Q72),ISNUMBER(Q74)),2*Q73-Q72-Q74,"")</f>
        <v/>
      </c>
      <c r="U73">
        <f>SwapPV($G73,$H73,$I73,$K73,$L73,$N73,$O73,$P73,$D73,$T73,$J73,RealTime!$A$2:$B$43,TODAY())</f>
        <v/>
      </c>
      <c r="V73">
        <f>SwapDelta($G73,$H73,$I73,$K73,$L73,$N73,$O73,$P73,$D73,$T73,$J73,RealTime!$A$2:$B$43,TODAY())</f>
        <v/>
      </c>
      <c r="W73">
        <f>SwapAnnuityDelta($G73,$H73,$I73,$K73,$L73,$N73,$O73,$P73,$D73,$T73,RealTime!$A$2:$B$43,TODAY())</f>
        <v/>
      </c>
      <c r="Z73">
        <f>IF($B73=1,BucketedDelta($G73,$H73,$I73,$K73,$L73,$N73,$O73,$P73,$D73,$T73,$J73,RealTime!$A$2:$B$43,TODAY(),FALSE),"")</f>
        <v/>
      </c>
    </row>
    <row r="74">
      <c r="F74">
        <f>IF($E74="","",NotionalForDelta($E74,$G74,$H74,$I74,$K74,$L74,$N74,$O74,$P74,$T74,RealTime!$A$2:$B$43,TODAY()))</f>
        <v/>
      </c>
      <c r="Q74">
        <f>FairRate($G74,$H74,$I74,$K74,$L74,$N74,$O74,$P74,RealTime!$A$2:$B$43,TODAY())</f>
        <v/>
      </c>
      <c r="R74">
        <f>IF(ISNUMBER(Q73),Q74-Q73,"")</f>
        <v/>
      </c>
      <c r="S74">
        <f>IF(AND(ISNUMBER(Q73),ISNUMBER(Q75)),2*Q74-Q73-Q75,"")</f>
        <v/>
      </c>
      <c r="U74">
        <f>SwapPV($G74,$H74,$I74,$K74,$L74,$N74,$O74,$P74,$D74,$T74,$J74,RealTime!$A$2:$B$43,TODAY())</f>
        <v/>
      </c>
      <c r="V74">
        <f>SwapDelta($G74,$H74,$I74,$K74,$L74,$N74,$O74,$P74,$D74,$T74,$J74,RealTime!$A$2:$B$43,TODAY())</f>
        <v/>
      </c>
      <c r="W74">
        <f>SwapAnnuityDelta($G74,$H74,$I74,$K74,$L74,$N74,$O74,$P74,$D74,$T74,RealTime!$A$2:$B$43,TODAY())</f>
        <v/>
      </c>
      <c r="Z74">
        <f>IF($B74=1,BucketedDelta($G74,$H74,$I74,$K74,$L74,$N74,$O74,$P74,$D74,$T74,$J74,RealTime!$A$2:$B$43,TODAY(),FALSE),"")</f>
        <v/>
      </c>
    </row>
    <row r="75">
      <c r="F75">
        <f>IF($E75="","",NotionalForDelta($E75,$G75,$H75,$I75,$K75,$L75,$N75,$O75,$P75,$T75,RealTime!$A$2:$B$43,TODAY()))</f>
        <v/>
      </c>
      <c r="Q75">
        <f>FairRate($G75,$H75,$I75,$K75,$L75,$N75,$O75,$P75,RealTime!$A$2:$B$43,TODAY())</f>
        <v/>
      </c>
      <c r="R75">
        <f>IF(ISNUMBER(Q74),Q75-Q74,"")</f>
        <v/>
      </c>
      <c r="S75">
        <f>IF(AND(ISNUMBER(Q74),ISNUMBER(Q76)),2*Q75-Q74-Q76,"")</f>
        <v/>
      </c>
      <c r="U75">
        <f>SwapPV($G75,$H75,$I75,$K75,$L75,$N75,$O75,$P75,$D75,$T75,$J75,RealTime!$A$2:$B$43,TODAY())</f>
        <v/>
      </c>
      <c r="V75">
        <f>SwapDelta($G75,$H75,$I75,$K75,$L75,$N75,$O75,$P75,$D75,$T75,$J75,RealTime!$A$2:$B$43,TODAY())</f>
        <v/>
      </c>
      <c r="W75">
        <f>SwapAnnuityDelta($G75,$H75,$I75,$K75,$L75,$N75,$O75,$P75,$D75,$T75,RealTime!$A$2:$B$43,TODAY())</f>
        <v/>
      </c>
      <c r="Z75">
        <f>IF($B75=1,BucketedDelta($G75,$H75,$I75,$K75,$L75,$N75,$O75,$P75,$D75,$T75,$J75,RealTime!$A$2:$B$43,TODAY(),FALSE),"")</f>
        <v/>
      </c>
    </row>
    <row r="76">
      <c r="F76">
        <f>IF($E76="","",NotionalForDelta($E76,$G76,$H76,$I76,$K76,$L76,$N76,$O76,$P76,$T76,RealTime!$A$2:$B$43,TODAY()))</f>
        <v/>
      </c>
      <c r="Q76">
        <f>FairRate($G76,$H76,$I76,$K76,$L76,$N76,$O76,$P76,RealTime!$A$2:$B$43,TODAY())</f>
        <v/>
      </c>
      <c r="R76">
        <f>IF(ISNUMBER(Q75),Q76-Q75,"")</f>
        <v/>
      </c>
      <c r="S76">
        <f>IF(AND(ISNUMBER(Q75),ISNUMBER(Q77)),2*Q76-Q75-Q77,"")</f>
        <v/>
      </c>
      <c r="U76">
        <f>SwapPV($G76,$H76,$I76,$K76,$L76,$N76,$O76,$P76,$D76,$T76,$J76,RealTime!$A$2:$B$43,TODAY())</f>
        <v/>
      </c>
      <c r="V76">
        <f>SwapDelta($G76,$H76,$I76,$K76,$L76,$N76,$O76,$P76,$D76,$T76,$J76,RealTime!$A$2:$B$43,TODAY())</f>
        <v/>
      </c>
      <c r="W76">
        <f>SwapAnnuityDelta($G76,$H76,$I76,$K76,$L76,$N76,$O76,$P76,$D76,$T76,RealTime!$A$2:$B$43,TODAY())</f>
        <v/>
      </c>
      <c r="Z76">
        <f>IF($B76=1,BucketedDelta($G76,$H76,$I76,$K76,$L76,$N76,$O76,$P76,$D76,$T76,$J76,RealTime!$A$2:$B$43,TODAY(),FALSE),"")</f>
        <v/>
      </c>
    </row>
    <row r="77">
      <c r="F77">
        <f>IF($E77="","",NotionalForDelta($E77,$G77,$H77,$I77,$K77,$L77,$N77,$O77,$P77,$T77,RealTime!$A$2:$B$43,TODAY()))</f>
        <v/>
      </c>
      <c r="Q77">
        <f>FairRate($G77,$H77,$I77,$K77,$L77,$N77,$O77,$P77,RealTime!$A$2:$B$43,TODAY())</f>
        <v/>
      </c>
      <c r="R77">
        <f>IF(ISNUMBER(Q76),Q77-Q76,"")</f>
        <v/>
      </c>
      <c r="S77">
        <f>IF(AND(ISNUMBER(Q76),ISNUMBER(Q78)),2*Q77-Q76-Q78,"")</f>
        <v/>
      </c>
      <c r="U77">
        <f>SwapPV($G77,$H77,$I77,$K77,$L77,$N77,$O77,$P77,$D77,$T77,$J77,RealTime!$A$2:$B$43,TODAY())</f>
        <v/>
      </c>
      <c r="V77">
        <f>SwapDelta($G77,$H77,$I77,$K77,$L77,$N77,$O77,$P77,$D77,$T77,$J77,RealTime!$A$2:$B$43,TODAY())</f>
        <v/>
      </c>
      <c r="W77">
        <f>SwapAnnuityDelta($G77,$H77,$I77,$K77,$L77,$N77,$O77,$P77,$D77,$T77,RealTime!$A$2:$B$43,TODAY())</f>
        <v/>
      </c>
      <c r="Z77">
        <f>IF($B77=1,BucketedDelta($G77,$H77,$I77,$K77,$L77,$N77,$O77,$P77,$D77,$T77,$J77,RealTime!$A$2:$B$43,TODAY(),FALSE),"")</f>
        <v/>
      </c>
    </row>
    <row r="78">
      <c r="F78">
        <f>IF($E78="","",NotionalForDelta($E78,$G78,$H78,$I78,$K78,$L78,$N78,$O78,$P78,$T78,RealTime!$A$2:$B$43,TODAY()))</f>
        <v/>
      </c>
      <c r="Q78">
        <f>FairRate($G78,$H78,$I78,$K78,$L78,$N78,$O78,$P78,RealTime!$A$2:$B$43,TODAY())</f>
        <v/>
      </c>
      <c r="R78">
        <f>IF(ISNUMBER(Q77),Q78-Q77,"")</f>
        <v/>
      </c>
      <c r="S78">
        <f>IF(AND(ISNUMBER(Q77),ISNUMBER(Q79)),2*Q78-Q77-Q79,"")</f>
        <v/>
      </c>
      <c r="U78">
        <f>SwapPV($G78,$H78,$I78,$K78,$L78,$N78,$O78,$P78,$D78,$T78,$J78,RealTime!$A$2:$B$43,TODAY())</f>
        <v/>
      </c>
      <c r="V78">
        <f>SwapDelta($G78,$H78,$I78,$K78,$L78,$N78,$O78,$P78,$D78,$T78,$J78,RealTime!$A$2:$B$43,TODAY())</f>
        <v/>
      </c>
      <c r="W78">
        <f>SwapAnnuityDelta($G78,$H78,$I78,$K78,$L78,$N78,$O78,$P78,$D78,$T78,RealTime!$A$2:$B$43,TODAY())</f>
        <v/>
      </c>
      <c r="Z78">
        <f>IF($B78=1,BucketedDelta($G78,$H78,$I78,$K78,$L78,$N78,$O78,$P78,$D78,$T78,$J78,RealTime!$A$2:$B$43,TODAY(),FALSE),"")</f>
        <v/>
      </c>
    </row>
    <row r="79">
      <c r="F79">
        <f>IF($E79="","",NotionalForDelta($E79,$G79,$H79,$I79,$K79,$L79,$N79,$O79,$P79,$T79,RealTime!$A$2:$B$43,TODAY()))</f>
        <v/>
      </c>
      <c r="Q79">
        <f>FairRate($G79,$H79,$I79,$K79,$L79,$N79,$O79,$P79,RealTime!$A$2:$B$43,TODAY())</f>
        <v/>
      </c>
      <c r="R79">
        <f>IF(ISNUMBER(Q78),Q79-Q78,"")</f>
        <v/>
      </c>
      <c r="S79">
        <f>IF(AND(ISNUMBER(Q78),ISNUMBER(Q80)),2*Q79-Q78-Q80,"")</f>
        <v/>
      </c>
      <c r="U79">
        <f>SwapPV($G79,$H79,$I79,$K79,$L79,$N79,$O79,$P79,$D79,$T79,$J79,RealTime!$A$2:$B$43,TODAY())</f>
        <v/>
      </c>
      <c r="V79">
        <f>SwapDelta($G79,$H79,$I79,$K79,$L79,$N79,$O79,$P79,$D79,$T79,$J79,RealTime!$A$2:$B$43,TODAY())</f>
        <v/>
      </c>
      <c r="W79">
        <f>SwapAnnuityDelta($G79,$H79,$I79,$K79,$L79,$N79,$O79,$P79,$D79,$T79,RealTime!$A$2:$B$43,TODAY())</f>
        <v/>
      </c>
      <c r="Z79">
        <f>IF($B79=1,BucketedDelta($G79,$H79,$I79,$K79,$L79,$N79,$O79,$P79,$D79,$T79,$J79,RealTime!$A$2:$B$43,TODAY(),FALSE),"")</f>
        <v/>
      </c>
    </row>
    <row r="80">
      <c r="F80">
        <f>IF($E80="","",NotionalForDelta($E80,$G80,$H80,$I80,$K80,$L80,$N80,$O80,$P80,$T80,RealTime!$A$2:$B$43,TODAY()))</f>
        <v/>
      </c>
      <c r="Q80">
        <f>FairRate($G80,$H80,$I80,$K80,$L80,$N80,$O80,$P80,RealTime!$A$2:$B$43,TODAY())</f>
        <v/>
      </c>
      <c r="R80">
        <f>IF(ISNUMBER(Q79),Q80-Q79,"")</f>
        <v/>
      </c>
      <c r="S80">
        <f>IF(AND(ISNUMBER(Q79),ISNUMBER(Q81)),2*Q80-Q79-Q81,"")</f>
        <v/>
      </c>
      <c r="U80">
        <f>SwapPV($G80,$H80,$I80,$K80,$L80,$N80,$O80,$P80,$D80,$T80,$J80,RealTime!$A$2:$B$43,TODAY())</f>
        <v/>
      </c>
      <c r="V80">
        <f>SwapDelta($G80,$H80,$I80,$K80,$L80,$N80,$O80,$P80,$D80,$T80,$J80,RealTime!$A$2:$B$43,TODAY())</f>
        <v/>
      </c>
      <c r="W80">
        <f>SwapAnnuityDelta($G80,$H80,$I80,$K80,$L80,$N80,$O80,$P80,$D80,$T80,RealTime!$A$2:$B$43,TODAY())</f>
        <v/>
      </c>
      <c r="Z80">
        <f>IF($B80=1,BucketedDelta($G80,$H80,$I80,$K80,$L80,$N80,$O80,$P80,$D80,$T80,$J80,RealTime!$A$2:$B$43,TODAY(),FALSE),"")</f>
        <v/>
      </c>
    </row>
    <row r="81">
      <c r="F81">
        <f>IF($E81="","",NotionalForDelta($E81,$G81,$H81,$I81,$K81,$L81,$N81,$O81,$P81,$T81,RealTime!$A$2:$B$43,TODAY()))</f>
        <v/>
      </c>
      <c r="Q81">
        <f>FairRate($G81,$H81,$I81,$K81,$L81,$N81,$O81,$P81,RealTime!$A$2:$B$43,TODAY())</f>
        <v/>
      </c>
      <c r="R81">
        <f>IF(ISNUMBER(Q80),Q81-Q80,"")</f>
        <v/>
      </c>
      <c r="S81">
        <f>IF(AND(ISNUMBER(Q80),ISNUMBER(Q82)),2*Q81-Q80-Q82,"")</f>
        <v/>
      </c>
      <c r="U81">
        <f>SwapPV($G81,$H81,$I81,$K81,$L81,$N81,$O81,$P81,$D81,$T81,$J81,RealTime!$A$2:$B$43,TODAY())</f>
        <v/>
      </c>
      <c r="V81">
        <f>SwapDelta($G81,$H81,$I81,$K81,$L81,$N81,$O81,$P81,$D81,$T81,$J81,RealTime!$A$2:$B$43,TODAY())</f>
        <v/>
      </c>
      <c r="W81">
        <f>SwapAnnuityDelta($G81,$H81,$I81,$K81,$L81,$N81,$O81,$P81,$D81,$T81,RealTime!$A$2:$B$43,TODAY())</f>
        <v/>
      </c>
      <c r="Z81">
        <f>IF($B81=1,BucketedDelta($G81,$H81,$I81,$K81,$L81,$N81,$O81,$P81,$D81,$T81,$J81,RealTime!$A$2:$B$43,TODAY(),FALSE),"")</f>
        <v/>
      </c>
    </row>
    <row r="82">
      <c r="F82">
        <f>IF($E82="","",NotionalForDelta($E82,$G82,$H82,$I82,$K82,$L82,$N82,$O82,$P82,$T82,RealTime!$A$2:$B$43,TODAY()))</f>
        <v/>
      </c>
      <c r="Q82">
        <f>FairRate($G82,$H82,$I82,$K82,$L82,$N82,$O82,$P82,RealTime!$A$2:$B$43,TODAY())</f>
        <v/>
      </c>
      <c r="R82">
        <f>IF(ISNUMBER(Q81),Q82-Q81,"")</f>
        <v/>
      </c>
      <c r="S82">
        <f>IF(AND(ISNUMBER(Q81),ISNUMBER(Q83)),2*Q82-Q81-Q83,"")</f>
        <v/>
      </c>
      <c r="U82">
        <f>SwapPV($G82,$H82,$I82,$K82,$L82,$N82,$O82,$P82,$D82,$T82,$J82,RealTime!$A$2:$B$43,TODAY())</f>
        <v/>
      </c>
      <c r="V82">
        <f>SwapDelta($G82,$H82,$I82,$K82,$L82,$N82,$O82,$P82,$D82,$T82,$J82,RealTime!$A$2:$B$43,TODAY())</f>
        <v/>
      </c>
      <c r="W82">
        <f>SwapAnnuityDelta($G82,$H82,$I82,$K82,$L82,$N82,$O82,$P82,$D82,$T82,RealTime!$A$2:$B$43,TODAY())</f>
        <v/>
      </c>
      <c r="Z82">
        <f>IF($B82=1,BucketedDelta($G82,$H82,$I82,$K82,$L82,$N82,$O82,$P82,$D82,$T82,$J82,RealTime!$A$2:$B$43,TODAY(),FALSE),"")</f>
        <v/>
      </c>
    </row>
    <row r="83">
      <c r="F83">
        <f>IF($E83="","",NotionalForDelta($E83,$G83,$H83,$I83,$K83,$L83,$N83,$O83,$P83,$T83,RealTime!$A$2:$B$43,TODAY()))</f>
        <v/>
      </c>
      <c r="Q83">
        <f>FairRate($G83,$H83,$I83,$K83,$L83,$N83,$O83,$P83,RealTime!$A$2:$B$43,TODAY())</f>
        <v/>
      </c>
      <c r="R83">
        <f>IF(ISNUMBER(Q82),Q83-Q82,"")</f>
        <v/>
      </c>
      <c r="S83">
        <f>IF(AND(ISNUMBER(Q82),ISNUMBER(Q84)),2*Q83-Q82-Q84,"")</f>
        <v/>
      </c>
      <c r="U83">
        <f>SwapPV($G83,$H83,$I83,$K83,$L83,$N83,$O83,$P83,$D83,$T83,$J83,RealTime!$A$2:$B$43,TODAY())</f>
        <v/>
      </c>
      <c r="V83">
        <f>SwapDelta($G83,$H83,$I83,$K83,$L83,$N83,$O83,$P83,$D83,$T83,$J83,RealTime!$A$2:$B$43,TODAY())</f>
        <v/>
      </c>
      <c r="W83">
        <f>SwapAnnuityDelta($G83,$H83,$I83,$K83,$L83,$N83,$O83,$P83,$D83,$T83,RealTime!$A$2:$B$43,TODAY())</f>
        <v/>
      </c>
      <c r="Z83">
        <f>IF($B83=1,BucketedDelta($G83,$H83,$I83,$K83,$L83,$N83,$O83,$P83,$D83,$T83,$J83,RealTime!$A$2:$B$43,TODAY(),FALSE),"")</f>
        <v/>
      </c>
    </row>
    <row r="84">
      <c r="F84">
        <f>IF($E84="","",NotionalForDelta($E84,$G84,$H84,$I84,$K84,$L84,$N84,$O84,$P84,$T84,RealTime!$A$2:$B$43,TODAY()))</f>
        <v/>
      </c>
      <c r="Q84">
        <f>FairRate($G84,$H84,$I84,$K84,$L84,$N84,$O84,$P84,RealTime!$A$2:$B$43,TODAY())</f>
        <v/>
      </c>
      <c r="R84">
        <f>IF(ISNUMBER(Q83),Q84-Q83,"")</f>
        <v/>
      </c>
      <c r="S84">
        <f>IF(AND(ISNUMBER(Q83),ISNUMBER(Q85)),2*Q84-Q83-Q85,"")</f>
        <v/>
      </c>
      <c r="U84">
        <f>SwapPV($G84,$H84,$I84,$K84,$L84,$N84,$O84,$P84,$D84,$T84,$J84,RealTime!$A$2:$B$43,TODAY())</f>
        <v/>
      </c>
      <c r="V84">
        <f>SwapDelta($G84,$H84,$I84,$K84,$L84,$N84,$O84,$P84,$D84,$T84,$J84,RealTime!$A$2:$B$43,TODAY())</f>
        <v/>
      </c>
      <c r="W84">
        <f>SwapAnnuityDelta($G84,$H84,$I84,$K84,$L84,$N84,$O84,$P84,$D84,$T84,RealTime!$A$2:$B$43,TODAY())</f>
        <v/>
      </c>
      <c r="Z84">
        <f>IF($B84=1,BucketedDelta($G84,$H84,$I84,$K84,$L84,$N84,$O84,$P84,$D84,$T84,$J84,RealTime!$A$2:$B$43,TODAY(),FALSE),"")</f>
        <v/>
      </c>
    </row>
    <row r="85">
      <c r="F85">
        <f>IF($E85="","",NotionalForDelta($E85,$G85,$H85,$I85,$K85,$L85,$N85,$O85,$P85,$T85,RealTime!$A$2:$B$43,TODAY()))</f>
        <v/>
      </c>
      <c r="Q85">
        <f>FairRate($G85,$H85,$I85,$K85,$L85,$N85,$O85,$P85,RealTime!$A$2:$B$43,TODAY())</f>
        <v/>
      </c>
      <c r="R85">
        <f>IF(ISNUMBER(Q84),Q85-Q84,"")</f>
        <v/>
      </c>
      <c r="S85">
        <f>IF(AND(ISNUMBER(Q84),ISNUMBER(Q86)),2*Q85-Q84-Q86,"")</f>
        <v/>
      </c>
      <c r="U85">
        <f>SwapPV($G85,$H85,$I85,$K85,$L85,$N85,$O85,$P85,$D85,$T85,$J85,RealTime!$A$2:$B$43,TODAY())</f>
        <v/>
      </c>
      <c r="V85">
        <f>SwapDelta($G85,$H85,$I85,$K85,$L85,$N85,$O85,$P85,$D85,$T85,$J85,RealTime!$A$2:$B$43,TODAY())</f>
        <v/>
      </c>
      <c r="W85">
        <f>SwapAnnuityDelta($G85,$H85,$I85,$K85,$L85,$N85,$O85,$P85,$D85,$T85,RealTime!$A$2:$B$43,TODAY())</f>
        <v/>
      </c>
      <c r="Z85">
        <f>IF($B85=1,BucketedDelta($G85,$H85,$I85,$K85,$L85,$N85,$O85,$P85,$D85,$T85,$J85,RealTime!$A$2:$B$43,TODAY(),FALSE),"")</f>
        <v/>
      </c>
    </row>
    <row r="86">
      <c r="F86">
        <f>IF($E86="","",NotionalForDelta($E86,$G86,$H86,$I86,$K86,$L86,$N86,$O86,$P86,$T86,RealTime!$A$2:$B$43,TODAY()))</f>
        <v/>
      </c>
      <c r="Q86">
        <f>FairRate($G86,$H86,$I86,$K86,$L86,$N86,$O86,$P86,RealTime!$A$2:$B$43,TODAY())</f>
        <v/>
      </c>
      <c r="R86">
        <f>IF(ISNUMBER(Q85),Q86-Q85,"")</f>
        <v/>
      </c>
      <c r="S86">
        <f>IF(AND(ISNUMBER(Q85),ISNUMBER(Q87)),2*Q86-Q85-Q87,"")</f>
        <v/>
      </c>
      <c r="U86">
        <f>SwapPV($G86,$H86,$I86,$K86,$L86,$N86,$O86,$P86,$D86,$T86,$J86,RealTime!$A$2:$B$43,TODAY())</f>
        <v/>
      </c>
      <c r="V86">
        <f>SwapDelta($G86,$H86,$I86,$K86,$L86,$N86,$O86,$P86,$D86,$T86,$J86,RealTime!$A$2:$B$43,TODAY())</f>
        <v/>
      </c>
      <c r="W86">
        <f>SwapAnnuityDelta($G86,$H86,$I86,$K86,$L86,$N86,$O86,$P86,$D86,$T86,RealTime!$A$2:$B$43,TODAY())</f>
        <v/>
      </c>
      <c r="Z86">
        <f>IF($B86=1,BucketedDelta($G86,$H86,$I86,$K86,$L86,$N86,$O86,$P86,$D86,$T86,$J86,RealTime!$A$2:$B$43,TODAY(),FALSE),"")</f>
        <v/>
      </c>
    </row>
    <row r="87">
      <c r="F87">
        <f>IF($E87="","",NotionalForDelta($E87,$G87,$H87,$I87,$K87,$L87,$N87,$O87,$P87,$T87,RealTime!$A$2:$B$43,TODAY()))</f>
        <v/>
      </c>
      <c r="Q87">
        <f>FairRate($G87,$H87,$I87,$K87,$L87,$N87,$O87,$P87,RealTime!$A$2:$B$43,TODAY())</f>
        <v/>
      </c>
      <c r="R87">
        <f>IF(ISNUMBER(Q86),Q87-Q86,"")</f>
        <v/>
      </c>
      <c r="S87">
        <f>IF(AND(ISNUMBER(Q86),ISNUMBER(Q88)),2*Q87-Q86-Q88,"")</f>
        <v/>
      </c>
      <c r="U87">
        <f>SwapPV($G87,$H87,$I87,$K87,$L87,$N87,$O87,$P87,$D87,$T87,$J87,RealTime!$A$2:$B$43,TODAY())</f>
        <v/>
      </c>
      <c r="V87">
        <f>SwapDelta($G87,$H87,$I87,$K87,$L87,$N87,$O87,$P87,$D87,$T87,$J87,RealTime!$A$2:$B$43,TODAY())</f>
        <v/>
      </c>
      <c r="W87">
        <f>SwapAnnuityDelta($G87,$H87,$I87,$K87,$L87,$N87,$O87,$P87,$D87,$T87,RealTime!$A$2:$B$43,TODAY())</f>
        <v/>
      </c>
      <c r="Z87">
        <f>IF($B87=1,BucketedDelta($G87,$H87,$I87,$K87,$L87,$N87,$O87,$P87,$D87,$T87,$J87,RealTime!$A$2:$B$43,TODAY(),FALSE),"")</f>
        <v/>
      </c>
    </row>
    <row r="88">
      <c r="F88">
        <f>IF($E88="","",NotionalForDelta($E88,$G88,$H88,$I88,$K88,$L88,$N88,$O88,$P88,$T88,RealTime!$A$2:$B$43,TODAY()))</f>
        <v/>
      </c>
      <c r="Q88">
        <f>FairRate($G88,$H88,$I88,$K88,$L88,$N88,$O88,$P88,RealTime!$A$2:$B$43,TODAY())</f>
        <v/>
      </c>
      <c r="R88">
        <f>IF(ISNUMBER(Q87),Q88-Q87,"")</f>
        <v/>
      </c>
      <c r="S88">
        <f>IF(AND(ISNUMBER(Q87),ISNUMBER(Q89)),2*Q88-Q87-Q89,"")</f>
        <v/>
      </c>
      <c r="U88">
        <f>SwapPV($G88,$H88,$I88,$K88,$L88,$N88,$O88,$P88,$D88,$T88,$J88,RealTime!$A$2:$B$43,TODAY())</f>
        <v/>
      </c>
      <c r="V88">
        <f>SwapDelta($G88,$H88,$I88,$K88,$L88,$N88,$O88,$P88,$D88,$T88,$J88,RealTime!$A$2:$B$43,TODAY())</f>
        <v/>
      </c>
      <c r="W88">
        <f>SwapAnnuityDelta($G88,$H88,$I88,$K88,$L88,$N88,$O88,$P88,$D88,$T88,RealTime!$A$2:$B$43,TODAY())</f>
        <v/>
      </c>
      <c r="Z88">
        <f>IF($B88=1,BucketedDelta($G88,$H88,$I88,$K88,$L88,$N88,$O88,$P88,$D88,$T88,$J88,RealTime!$A$2:$B$43,TODAY(),FALSE),"")</f>
        <v/>
      </c>
    </row>
    <row r="89">
      <c r="F89">
        <f>IF($E89="","",NotionalForDelta($E89,$G89,$H89,$I89,$K89,$L89,$N89,$O89,$P89,$T89,RealTime!$A$2:$B$43,TODAY()))</f>
        <v/>
      </c>
      <c r="Q89">
        <f>FairRate($G89,$H89,$I89,$K89,$L89,$N89,$O89,$P89,RealTime!$A$2:$B$43,TODAY())</f>
        <v/>
      </c>
      <c r="R89">
        <f>IF(ISNUMBER(Q88),Q89-Q88,"")</f>
        <v/>
      </c>
      <c r="S89">
        <f>IF(AND(ISNUMBER(Q88),ISNUMBER(Q90)),2*Q89-Q88-Q90,"")</f>
        <v/>
      </c>
      <c r="U89">
        <f>SwapPV($G89,$H89,$I89,$K89,$L89,$N89,$O89,$P89,$D89,$T89,$J89,RealTime!$A$2:$B$43,TODAY())</f>
        <v/>
      </c>
      <c r="V89">
        <f>SwapDelta($G89,$H89,$I89,$K89,$L89,$N89,$O89,$P89,$D89,$T89,$J89,RealTime!$A$2:$B$43,TODAY())</f>
        <v/>
      </c>
      <c r="W89">
        <f>SwapAnnuityDelta($G89,$H89,$I89,$K89,$L89,$N89,$O89,$P89,$D89,$T89,RealTime!$A$2:$B$43,TODAY())</f>
        <v/>
      </c>
      <c r="Z89">
        <f>IF($B89=1,BucketedDelta($G89,$H89,$I89,$K89,$L89,$N89,$O89,$P89,$D89,$T89,$J89,RealTime!$A$2:$B$43,TODAY(),FALSE),"")</f>
        <v/>
      </c>
    </row>
    <row r="90">
      <c r="F90">
        <f>IF($E90="","",NotionalForDelta($E90,$G90,$H90,$I90,$K90,$L90,$N90,$O90,$P90,$T90,RealTime!$A$2:$B$43,TODAY()))</f>
        <v/>
      </c>
      <c r="Q90">
        <f>FairRate($G90,$H90,$I90,$K90,$L90,$N90,$O90,$P90,RealTime!$A$2:$B$43,TODAY())</f>
        <v/>
      </c>
      <c r="R90">
        <f>IF(ISNUMBER(Q89),Q90-Q89,"")</f>
        <v/>
      </c>
      <c r="S90">
        <f>IF(AND(ISNUMBER(Q89),ISNUMBER(Q91)),2*Q90-Q89-Q91,"")</f>
        <v/>
      </c>
      <c r="U90">
        <f>SwapPV($G90,$H90,$I90,$K90,$L90,$N90,$O90,$P90,$D90,$T90,$J90,RealTime!$A$2:$B$43,TODAY())</f>
        <v/>
      </c>
      <c r="V90">
        <f>SwapDelta($G90,$H90,$I90,$K90,$L90,$N90,$O90,$P90,$D90,$T90,$J90,RealTime!$A$2:$B$43,TODAY())</f>
        <v/>
      </c>
      <c r="W90">
        <f>SwapAnnuityDelta($G90,$H90,$I90,$K90,$L90,$N90,$O90,$P90,$D90,$T90,RealTime!$A$2:$B$43,TODAY())</f>
        <v/>
      </c>
      <c r="Z90">
        <f>IF($B90=1,BucketedDelta($G90,$H90,$I90,$K90,$L90,$N90,$O90,$P90,$D90,$T90,$J90,RealTime!$A$2:$B$43,TODAY(),FALSE),"")</f>
        <v/>
      </c>
    </row>
    <row r="91">
      <c r="F91">
        <f>IF($E91="","",NotionalForDelta($E91,$G91,$H91,$I91,$K91,$L91,$N91,$O91,$P91,$T91,RealTime!$A$2:$B$43,TODAY()))</f>
        <v/>
      </c>
      <c r="Q91">
        <f>FairRate($G91,$H91,$I91,$K91,$L91,$N91,$O91,$P91,RealTime!$A$2:$B$43,TODAY())</f>
        <v/>
      </c>
      <c r="R91">
        <f>IF(ISNUMBER(Q90),Q91-Q90,"")</f>
        <v/>
      </c>
      <c r="S91">
        <f>IF(AND(ISNUMBER(Q90),ISNUMBER(Q92)),2*Q91-Q90-Q92,"")</f>
        <v/>
      </c>
      <c r="U91">
        <f>SwapPV($G91,$H91,$I91,$K91,$L91,$N91,$O91,$P91,$D91,$T91,$J91,RealTime!$A$2:$B$43,TODAY())</f>
        <v/>
      </c>
      <c r="V91">
        <f>SwapDelta($G91,$H91,$I91,$K91,$L91,$N91,$O91,$P91,$D91,$T91,$J91,RealTime!$A$2:$B$43,TODAY())</f>
        <v/>
      </c>
      <c r="W91">
        <f>SwapAnnuityDelta($G91,$H91,$I91,$K91,$L91,$N91,$O91,$P91,$D91,$T91,RealTime!$A$2:$B$43,TODAY())</f>
        <v/>
      </c>
      <c r="Z91">
        <f>IF($B91=1,BucketedDelta($G91,$H91,$I91,$K91,$L91,$N91,$O91,$P91,$D91,$T91,$J91,RealTime!$A$2:$B$43,TODAY(),FALSE),"")</f>
        <v/>
      </c>
    </row>
    <row r="92">
      <c r="F92">
        <f>IF($E92="","",NotionalForDelta($E92,$G92,$H92,$I92,$K92,$L92,$N92,$O92,$P92,$T92,RealTime!$A$2:$B$43,TODAY()))</f>
        <v/>
      </c>
      <c r="Q92">
        <f>FairRate($G92,$H92,$I92,$K92,$L92,$N92,$O92,$P92,RealTime!$A$2:$B$43,TODAY())</f>
        <v/>
      </c>
      <c r="R92">
        <f>IF(ISNUMBER(Q91),Q92-Q91,"")</f>
        <v/>
      </c>
      <c r="S92">
        <f>IF(AND(ISNUMBER(Q91),ISNUMBER(Q93)),2*Q92-Q91-Q93,"")</f>
        <v/>
      </c>
      <c r="U92">
        <f>SwapPV($G92,$H92,$I92,$K92,$L92,$N92,$O92,$P92,$D92,$T92,$J92,RealTime!$A$2:$B$43,TODAY())</f>
        <v/>
      </c>
      <c r="V92">
        <f>SwapDelta($G92,$H92,$I92,$K92,$L92,$N92,$O92,$P92,$D92,$T92,$J92,RealTime!$A$2:$B$43,TODAY())</f>
        <v/>
      </c>
      <c r="W92">
        <f>SwapAnnuityDelta($G92,$H92,$I92,$K92,$L92,$N92,$O92,$P92,$D92,$T92,RealTime!$A$2:$B$43,TODAY())</f>
        <v/>
      </c>
      <c r="Z92">
        <f>IF($B92=1,BucketedDelta($G92,$H92,$I92,$K92,$L92,$N92,$O92,$P92,$D92,$T92,$J92,RealTime!$A$2:$B$43,TODAY(),FALSE),"")</f>
        <v/>
      </c>
    </row>
    <row r="93">
      <c r="F93">
        <f>IF($E93="","",NotionalForDelta($E93,$G93,$H93,$I93,$K93,$L93,$N93,$O93,$P93,$T93,RealTime!$A$2:$B$43,TODAY()))</f>
        <v/>
      </c>
      <c r="Q93">
        <f>FairRate($G93,$H93,$I93,$K93,$L93,$N93,$O93,$P93,RealTime!$A$2:$B$43,TODAY())</f>
        <v/>
      </c>
      <c r="R93">
        <f>IF(ISNUMBER(Q92),Q93-Q92,"")</f>
        <v/>
      </c>
      <c r="S93">
        <f>IF(AND(ISNUMBER(Q92),ISNUMBER(Q94)),2*Q93-Q92-Q94,"")</f>
        <v/>
      </c>
      <c r="U93">
        <f>SwapPV($G93,$H93,$I93,$K93,$L93,$N93,$O93,$P93,$D93,$T93,$J93,RealTime!$A$2:$B$43,TODAY())</f>
        <v/>
      </c>
      <c r="V93">
        <f>SwapDelta($G93,$H93,$I93,$K93,$L93,$N93,$O93,$P93,$D93,$T93,$J93,RealTime!$A$2:$B$43,TODAY())</f>
        <v/>
      </c>
      <c r="W93">
        <f>SwapAnnuityDelta($G93,$H93,$I93,$K93,$L93,$N93,$O93,$P93,$D93,$T93,RealTime!$A$2:$B$43,TODAY())</f>
        <v/>
      </c>
      <c r="Z93">
        <f>IF($B93=1,BucketedDelta($G93,$H93,$I93,$K93,$L93,$N93,$O93,$P93,$D93,$T93,$J93,RealTime!$A$2:$B$43,TODAY(),FALSE),"")</f>
        <v/>
      </c>
    </row>
    <row r="94">
      <c r="F94">
        <f>IF($E94="","",NotionalForDelta($E94,$G94,$H94,$I94,$K94,$L94,$N94,$O94,$P94,$T94,RealTime!$A$2:$B$43,TODAY()))</f>
        <v/>
      </c>
      <c r="Q94">
        <f>FairRate($G94,$H94,$I94,$K94,$L94,$N94,$O94,$P94,RealTime!$A$2:$B$43,TODAY())</f>
        <v/>
      </c>
      <c r="R94">
        <f>IF(ISNUMBER(Q93),Q94-Q93,"")</f>
        <v/>
      </c>
      <c r="S94">
        <f>IF(AND(ISNUMBER(Q93),ISNUMBER(Q95)),2*Q94-Q93-Q95,"")</f>
        <v/>
      </c>
      <c r="U94">
        <f>SwapPV($G94,$H94,$I94,$K94,$L94,$N94,$O94,$P94,$D94,$T94,$J94,RealTime!$A$2:$B$43,TODAY())</f>
        <v/>
      </c>
      <c r="V94">
        <f>SwapDelta($G94,$H94,$I94,$K94,$L94,$N94,$O94,$P94,$D94,$T94,$J94,RealTime!$A$2:$B$43,TODAY())</f>
        <v/>
      </c>
      <c r="W94">
        <f>SwapAnnuityDelta($G94,$H94,$I94,$K94,$L94,$N94,$O94,$P94,$D94,$T94,RealTime!$A$2:$B$43,TODAY())</f>
        <v/>
      </c>
      <c r="Z94">
        <f>IF($B94=1,BucketedDelta($G94,$H94,$I94,$K94,$L94,$N94,$O94,$P94,$D94,$T94,$J94,RealTime!$A$2:$B$43,TODAY(),FALSE),"")</f>
        <v/>
      </c>
    </row>
    <row r="95">
      <c r="F95">
        <f>IF($E95="","",NotionalForDelta($E95,$G95,$H95,$I95,$K95,$L95,$N95,$O95,$P95,$T95,RealTime!$A$2:$B$43,TODAY()))</f>
        <v/>
      </c>
      <c r="Q95">
        <f>FairRate($G95,$H95,$I95,$K95,$L95,$N95,$O95,$P95,RealTime!$A$2:$B$43,TODAY())</f>
        <v/>
      </c>
      <c r="R95">
        <f>IF(ISNUMBER(Q94),Q95-Q94,"")</f>
        <v/>
      </c>
      <c r="S95">
        <f>IF(AND(ISNUMBER(Q94),ISNUMBER(Q96)),2*Q95-Q94-Q96,"")</f>
        <v/>
      </c>
      <c r="U95">
        <f>SwapPV($G95,$H95,$I95,$K95,$L95,$N95,$O95,$P95,$D95,$T95,$J95,RealTime!$A$2:$B$43,TODAY())</f>
        <v/>
      </c>
      <c r="V95">
        <f>SwapDelta($G95,$H95,$I95,$K95,$L95,$N95,$O95,$P95,$D95,$T95,$J95,RealTime!$A$2:$B$43,TODAY())</f>
        <v/>
      </c>
      <c r="W95">
        <f>SwapAnnuityDelta($G95,$H95,$I95,$K95,$L95,$N95,$O95,$P95,$D95,$T95,RealTime!$A$2:$B$43,TODAY())</f>
        <v/>
      </c>
      <c r="Z95">
        <f>IF($B95=1,BucketedDelta($G95,$H95,$I95,$K95,$L95,$N95,$O95,$P95,$D95,$T95,$J95,RealTime!$A$2:$B$43,TODAY(),FALSE),"")</f>
        <v/>
      </c>
    </row>
    <row r="96">
      <c r="F96">
        <f>IF($E96="","",NotionalForDelta($E96,$G96,$H96,$I96,$K96,$L96,$N96,$O96,$P96,$T96,RealTime!$A$2:$B$43,TODAY()))</f>
        <v/>
      </c>
      <c r="Q96">
        <f>FairRate($G96,$H96,$I96,$K96,$L96,$N96,$O96,$P96,RealTime!$A$2:$B$43,TODAY())</f>
        <v/>
      </c>
      <c r="R96">
        <f>IF(ISNUMBER(Q95),Q96-Q95,"")</f>
        <v/>
      </c>
      <c r="S96">
        <f>IF(AND(ISNUMBER(Q95),ISNUMBER(Q97)),2*Q96-Q95-Q97,"")</f>
        <v/>
      </c>
      <c r="U96">
        <f>SwapPV($G96,$H96,$I96,$K96,$L96,$N96,$O96,$P96,$D96,$T96,$J96,RealTime!$A$2:$B$43,TODAY())</f>
        <v/>
      </c>
      <c r="V96">
        <f>SwapDelta($G96,$H96,$I96,$K96,$L96,$N96,$O96,$P96,$D96,$T96,$J96,RealTime!$A$2:$B$43,TODAY())</f>
        <v/>
      </c>
      <c r="W96">
        <f>SwapAnnuityDelta($G96,$H96,$I96,$K96,$L96,$N96,$O96,$P96,$D96,$T96,RealTime!$A$2:$B$43,TODAY())</f>
        <v/>
      </c>
      <c r="Z96">
        <f>IF($B96=1,BucketedDelta($G96,$H96,$I96,$K96,$L96,$N96,$O96,$P96,$D96,$T96,$J96,RealTime!$A$2:$B$43,TODAY(),FALSE),"")</f>
        <v/>
      </c>
    </row>
    <row r="97">
      <c r="F97">
        <f>IF($E97="","",NotionalForDelta($E97,$G97,$H97,$I97,$K97,$L97,$N97,$O97,$P97,$T97,RealTime!$A$2:$B$43,TODAY()))</f>
        <v/>
      </c>
      <c r="Q97">
        <f>FairRate($G97,$H97,$I97,$K97,$L97,$N97,$O97,$P97,RealTime!$A$2:$B$43,TODAY())</f>
        <v/>
      </c>
      <c r="R97">
        <f>IF(ISNUMBER(Q96),Q97-Q96,"")</f>
        <v/>
      </c>
      <c r="S97">
        <f>IF(AND(ISNUMBER(Q96),ISNUMBER(Q98)),2*Q97-Q96-Q98,"")</f>
        <v/>
      </c>
      <c r="U97">
        <f>SwapPV($G97,$H97,$I97,$K97,$L97,$N97,$O97,$P97,$D97,$T97,$J97,RealTime!$A$2:$B$43,TODAY())</f>
        <v/>
      </c>
      <c r="V97">
        <f>SwapDelta($G97,$H97,$I97,$K97,$L97,$N97,$O97,$P97,$D97,$T97,$J97,RealTime!$A$2:$B$43,TODAY())</f>
        <v/>
      </c>
      <c r="W97">
        <f>SwapAnnuityDelta($G97,$H97,$I97,$K97,$L97,$N97,$O97,$P97,$D97,$T97,RealTime!$A$2:$B$43,TODAY())</f>
        <v/>
      </c>
      <c r="Z97">
        <f>IF($B97=1,BucketedDelta($G97,$H97,$I97,$K97,$L97,$N97,$O97,$P97,$D97,$T97,$J97,RealTime!$A$2:$B$43,TODAY(),FALSE),"")</f>
        <v/>
      </c>
    </row>
    <row r="98">
      <c r="F98">
        <f>IF($E98="","",NotionalForDelta($E98,$G98,$H98,$I98,$K98,$L98,$N98,$O98,$P98,$T98,RealTime!$A$2:$B$43,TODAY()))</f>
        <v/>
      </c>
      <c r="Q98">
        <f>FairRate($G98,$H98,$I98,$K98,$L98,$N98,$O98,$P98,RealTime!$A$2:$B$43,TODAY())</f>
        <v/>
      </c>
      <c r="R98">
        <f>IF(ISNUMBER(Q97),Q98-Q97,"")</f>
        <v/>
      </c>
      <c r="S98">
        <f>IF(AND(ISNUMBER(Q97),ISNUMBER(Q99)),2*Q98-Q97-Q99,"")</f>
        <v/>
      </c>
      <c r="U98">
        <f>SwapPV($G98,$H98,$I98,$K98,$L98,$N98,$O98,$P98,$D98,$T98,$J98,RealTime!$A$2:$B$43,TODAY())</f>
        <v/>
      </c>
      <c r="V98">
        <f>SwapDelta($G98,$H98,$I98,$K98,$L98,$N98,$O98,$P98,$D98,$T98,$J98,RealTime!$A$2:$B$43,TODAY())</f>
        <v/>
      </c>
      <c r="W98">
        <f>SwapAnnuityDelta($G98,$H98,$I98,$K98,$L98,$N98,$O98,$P98,$D98,$T98,RealTime!$A$2:$B$43,TODAY())</f>
        <v/>
      </c>
      <c r="Z98">
        <f>IF($B98=1,BucketedDelta($G98,$H98,$I98,$K98,$L98,$N98,$O98,$P98,$D98,$T98,$J98,RealTime!$A$2:$B$43,TODAY(),FALSE),"")</f>
        <v/>
      </c>
    </row>
    <row r="99">
      <c r="F99">
        <f>IF($E99="","",NotionalForDelta($E99,$G99,$H99,$I99,$K99,$L99,$N99,$O99,$P99,$T99,RealTime!$A$2:$B$43,TODAY()))</f>
        <v/>
      </c>
      <c r="Q99">
        <f>FairRate($G99,$H99,$I99,$K99,$L99,$N99,$O99,$P99,RealTime!$A$2:$B$43,TODAY())</f>
        <v/>
      </c>
      <c r="R99">
        <f>IF(ISNUMBER(Q98),Q99-Q98,"")</f>
        <v/>
      </c>
      <c r="S99">
        <f>IF(AND(ISNUMBER(Q98),ISNUMBER(Q100)),2*Q99-Q98-Q100,"")</f>
        <v/>
      </c>
      <c r="U99">
        <f>SwapPV($G99,$H99,$I99,$K99,$L99,$N99,$O99,$P99,$D99,$T99,$J99,RealTime!$A$2:$B$43,TODAY())</f>
        <v/>
      </c>
      <c r="V99">
        <f>SwapDelta($G99,$H99,$I99,$K99,$L99,$N99,$O99,$P99,$D99,$T99,$J99,RealTime!$A$2:$B$43,TODAY())</f>
        <v/>
      </c>
      <c r="W99">
        <f>SwapAnnuityDelta($G99,$H99,$I99,$K99,$L99,$N99,$O99,$P99,$D99,$T99,RealTime!$A$2:$B$43,TODAY())</f>
        <v/>
      </c>
      <c r="Z99">
        <f>IF($B99=1,BucketedDelta($G99,$H99,$I99,$K99,$L99,$N99,$O99,$P99,$D99,$T99,$J99,RealTime!$A$2:$B$43,TODAY(),FALSE),"")</f>
        <v/>
      </c>
    </row>
    <row r="100">
      <c r="A100" t="n">
        <v>0</v>
      </c>
      <c r="F100">
        <f>IF($E100="","",NotionalForDelta($E100,$G100,$H100,$I100,$K100,$L100,$N100,$O100,$P100,$T100,RealTime!$A$2:$B$43,TODAY()))</f>
        <v/>
      </c>
      <c r="Q100">
        <f>FairRate($G100,$H100,$I100,$K100,$L100,$N100,$O100,$P100,RealTime!$A$2:$B$43,TODAY())</f>
        <v/>
      </c>
      <c r="R100">
        <f>IF(ISNUMBER(Q99),Q100-Q99,"")</f>
        <v/>
      </c>
      <c r="S100">
        <f>IF(AND(ISNUMBER(Q99),ISNUMBER(Q101)),2*Q100-Q99-Q101,"")</f>
        <v/>
      </c>
      <c r="U100">
        <f>SwapPV($G100,$H100,$I100,$K100,$L100,$N100,$O100,$P100,$D100,$T100,$J100,RealTime!$A$2:$B$43,TODAY())</f>
        <v/>
      </c>
      <c r="V100">
        <f>SwapDelta($G100,$H100,$I100,$K100,$L100,$N100,$O100,$P100,$D100,$T100,$J100,RealTime!$A$2:$B$43,TODAY())</f>
        <v/>
      </c>
      <c r="W100">
        <f>SwapAnnuityDelta($G100,$H100,$I100,$K100,$L100,$N100,$O100,$P100,$D100,$T100,RealTime!$A$2:$B$43,TODAY())</f>
        <v/>
      </c>
      <c r="Z100">
        <f>IF($B100=1,BucketedDelta($G100,$H100,$I100,$K100,$L100,$N100,$O100,$P100,$D100,$T100,$J100,RealTime!$A$2:$B$43,TODAY(),FALSE),"")</f>
        <v/>
      </c>
    </row>
    <row r="101">
      <c r="F101">
        <f>IF($E101="","",NotionalForDelta($E101,$G101,$H101,$I101,$K101,$L101,$N101,$O101,$P101,$T101,RealTime!$A$2:$B$43,TODAY()))</f>
        <v/>
      </c>
      <c r="Q101">
        <f>FairRate($G101,$H101,$I101,$K101,$L101,$N101,$O101,$P101,RealTime!$A$2:$B$43,TODAY())</f>
        <v/>
      </c>
      <c r="R101">
        <f>IF(ISNUMBER(Q100),Q101-Q100,"")</f>
        <v/>
      </c>
      <c r="S101">
        <f>IF(AND(ISNUMBER(Q100),ISNUMBER(Q102)),2*Q101-Q100-Q102,"")</f>
        <v/>
      </c>
      <c r="U101">
        <f>SwapPV($G101,$H101,$I101,$K101,$L101,$N101,$O101,$P101,$D101,$T101,$J101,RealTime!$A$2:$B$43,TODAY())</f>
        <v/>
      </c>
      <c r="V101">
        <f>SwapDelta($G101,$H101,$I101,$K101,$L101,$N101,$O101,$P101,$D101,$T101,$J101,RealTime!$A$2:$B$43,TODAY())</f>
        <v/>
      </c>
      <c r="W101">
        <f>SwapAnnuityDelta($G101,$H101,$I101,$K101,$L101,$N101,$O101,$P101,$D101,$T101,RealTime!$A$2:$B$43,TODAY())</f>
        <v/>
      </c>
      <c r="Z101">
        <f>IF($B101=1,BucketedDelta($G101,$H101,$I101,$K101,$L101,$N101,$O101,$P101,$D101,$T101,$J101,RealTime!$A$2:$B$43,TODAY(),FALSE),"")</f>
        <v/>
      </c>
    </row>
    <row r="102">
      <c r="F102">
        <f>IF($E102="","",NotionalForDelta($E102,$G102,$H102,$I102,$K102,$L102,$N102,$O102,$P102,$T102,RealTime!$A$2:$B$43,TODAY()))</f>
        <v/>
      </c>
      <c r="Q102">
        <f>FairRate($G102,$H102,$I102,$K102,$L102,$N102,$O102,$P102,RealTime!$A$2:$B$43,TODAY())</f>
        <v/>
      </c>
      <c r="R102">
        <f>IF(ISNUMBER(Q101),Q102-Q101,"")</f>
        <v/>
      </c>
      <c r="S102">
        <f>IF(AND(ISNUMBER(Q101),ISNUMBER(Q103)),2*Q102-Q101-Q103,"")</f>
        <v/>
      </c>
      <c r="U102">
        <f>SwapPV($G102,$H102,$I102,$K102,$L102,$N102,$O102,$P102,$D102,$T102,$J102,RealTime!$A$2:$B$43,TODAY())</f>
        <v/>
      </c>
      <c r="V102">
        <f>SwapDelta($G102,$H102,$I102,$K102,$L102,$N102,$O102,$P102,$D102,$T102,$J102,RealTime!$A$2:$B$43,TODAY())</f>
        <v/>
      </c>
      <c r="W102">
        <f>SwapAnnuityDelta($G102,$H102,$I102,$K102,$L102,$N102,$O102,$P102,$D102,$T102,RealTime!$A$2:$B$43,TODAY())</f>
        <v/>
      </c>
      <c r="Z102">
        <f>IF($B102=1,BucketedDelta($G102,$H102,$I102,$K102,$L102,$N102,$O102,$P102,$D102,$T102,$J102,RealTime!$A$2:$B$43,TODAY(),FALSE),"")</f>
        <v/>
      </c>
    </row>
    <row r="103">
      <c r="F103">
        <f>IF($E103="","",NotionalForDelta($E103,$G103,$H103,$I103,$K103,$L103,$N103,$O103,$P103,$T103,RealTime!$A$2:$B$43,TODAY()))</f>
        <v/>
      </c>
      <c r="Q103">
        <f>FairRate($G103,$H103,$I103,$K103,$L103,$N103,$O103,$P103,RealTime!$A$2:$B$43,TODAY())</f>
        <v/>
      </c>
      <c r="R103">
        <f>IF(ISNUMBER(Q102),Q103-Q102,"")</f>
        <v/>
      </c>
      <c r="S103">
        <f>IF(AND(ISNUMBER(Q102),ISNUMBER(Q104)),2*Q103-Q102-Q104,"")</f>
        <v/>
      </c>
      <c r="U103">
        <f>SwapPV($G103,$H103,$I103,$K103,$L103,$N103,$O103,$P103,$D103,$T103,$J103,RealTime!$A$2:$B$43,TODAY())</f>
        <v/>
      </c>
      <c r="V103">
        <f>SwapDelta($G103,$H103,$I103,$K103,$L103,$N103,$O103,$P103,$D103,$T103,$J103,RealTime!$A$2:$B$43,TODAY())</f>
        <v/>
      </c>
      <c r="W103">
        <f>SwapAnnuityDelta($G103,$H103,$I103,$K103,$L103,$N103,$O103,$P103,$D103,$T103,RealTime!$A$2:$B$43,TODAY())</f>
        <v/>
      </c>
      <c r="Z103">
        <f>IF($B103=1,BucketedDelta($G103,$H103,$I103,$K103,$L103,$N103,$O103,$P103,$D103,$T103,$J103,RealTime!$A$2:$B$43,TODAY(),FALSE),"")</f>
        <v/>
      </c>
    </row>
    <row r="104">
      <c r="F104">
        <f>IF($E104="","",NotionalForDelta($E104,$G104,$H104,$I104,$K104,$L104,$N104,$O104,$P104,$T104,RealTime!$A$2:$B$43,TODAY()))</f>
        <v/>
      </c>
      <c r="Q104">
        <f>FairRate($G104,$H104,$I104,$K104,$L104,$N104,$O104,$P104,RealTime!$A$2:$B$43,TODAY())</f>
        <v/>
      </c>
      <c r="R104">
        <f>IF(ISNUMBER(Q103),Q104-Q103,"")</f>
        <v/>
      </c>
      <c r="S104">
        <f>IF(AND(ISNUMBER(Q103),ISNUMBER(Q105)),2*Q104-Q103-Q105,"")</f>
        <v/>
      </c>
      <c r="U104">
        <f>SwapPV($G104,$H104,$I104,$K104,$L104,$N104,$O104,$P104,$D104,$T104,$J104,RealTime!$A$2:$B$43,TODAY())</f>
        <v/>
      </c>
      <c r="V104">
        <f>SwapDelta($G104,$H104,$I104,$K104,$L104,$N104,$O104,$P104,$D104,$T104,$J104,RealTime!$A$2:$B$43,TODAY())</f>
        <v/>
      </c>
      <c r="W104">
        <f>SwapAnnuityDelta($G104,$H104,$I104,$K104,$L104,$N104,$O104,$P104,$D104,$T104,RealTime!$A$2:$B$43,TODAY())</f>
        <v/>
      </c>
      <c r="Z104">
        <f>IF($B104=1,BucketedDelta($G104,$H104,$I104,$K104,$L104,$N104,$O104,$P104,$D104,$T104,$J104,RealTime!$A$2:$B$43,TODAY(),FALSE),"")</f>
        <v/>
      </c>
    </row>
    <row r="105">
      <c r="F105">
        <f>IF($E105="","",NotionalForDelta($E105,$G105,$H105,$I105,$K105,$L105,$N105,$O105,$P105,$T105,RealTime!$A$2:$B$43,TODAY()))</f>
        <v/>
      </c>
      <c r="Q105">
        <f>FairRate($G105,$H105,$I105,$K105,$L105,$N105,$O105,$P105,RealTime!$A$2:$B$43,TODAY())</f>
        <v/>
      </c>
      <c r="R105">
        <f>IF(ISNUMBER(Q104),Q105-Q104,"")</f>
        <v/>
      </c>
      <c r="S105">
        <f>IF(AND(ISNUMBER(Q104),ISNUMBER(Q106)),2*Q105-Q104-Q106,"")</f>
        <v/>
      </c>
      <c r="U105">
        <f>SwapPV($G105,$H105,$I105,$K105,$L105,$N105,$O105,$P105,$D105,$T105,$J105,RealTime!$A$2:$B$43,TODAY())</f>
        <v/>
      </c>
      <c r="V105">
        <f>SwapDelta($G105,$H105,$I105,$K105,$L105,$N105,$O105,$P105,$D105,$T105,$J105,RealTime!$A$2:$B$43,TODAY())</f>
        <v/>
      </c>
      <c r="W105">
        <f>SwapAnnuityDelta($G105,$H105,$I105,$K105,$L105,$N105,$O105,$P105,$D105,$T105,RealTime!$A$2:$B$43,TODAY())</f>
        <v/>
      </c>
      <c r="Z105">
        <f>IF($B105=1,BucketedDelta($G105,$H105,$I105,$K105,$L105,$N105,$O105,$P105,$D105,$T105,$J105,RealTime!$A$2:$B$43,TODAY(),FALSE),"")</f>
        <v/>
      </c>
    </row>
    <row r="106">
      <c r="F106">
        <f>IF($E106="","",NotionalForDelta($E106,$G106,$H106,$I106,$K106,$L106,$N106,$O106,$P106,$T106,RealTime!$A$2:$B$43,TODAY()))</f>
        <v/>
      </c>
      <c r="Q106">
        <f>FairRate($G106,$H106,$I106,$K106,$L106,$N106,$O106,$P106,RealTime!$A$2:$B$43,TODAY())</f>
        <v/>
      </c>
      <c r="R106">
        <f>IF(ISNUMBER(Q105),Q106-Q105,"")</f>
        <v/>
      </c>
      <c r="S106">
        <f>IF(AND(ISNUMBER(Q105),ISNUMBER(Q107)),2*Q106-Q105-Q107,"")</f>
        <v/>
      </c>
      <c r="U106">
        <f>SwapPV($G106,$H106,$I106,$K106,$L106,$N106,$O106,$P106,$D106,$T106,$J106,RealTime!$A$2:$B$43,TODAY())</f>
        <v/>
      </c>
      <c r="V106">
        <f>SwapDelta($G106,$H106,$I106,$K106,$L106,$N106,$O106,$P106,$D106,$T106,$J106,RealTime!$A$2:$B$43,TODAY())</f>
        <v/>
      </c>
      <c r="W106">
        <f>SwapAnnuityDelta($G106,$H106,$I106,$K106,$L106,$N106,$O106,$P106,$D106,$T106,RealTime!$A$2:$B$43,TODAY())</f>
        <v/>
      </c>
      <c r="Z106">
        <f>IF($B106=1,BucketedDelta($G106,$H106,$I106,$K106,$L106,$N106,$O106,$P106,$D106,$T106,$J106,RealTime!$A$2:$B$43,TODAY(),FALSE),"")</f>
        <v/>
      </c>
    </row>
    <row r="107">
      <c r="F107">
        <f>IF($E107="","",NotionalForDelta($E107,$G107,$H107,$I107,$K107,$L107,$N107,$O107,$P107,$T107,RealTime!$A$2:$B$43,TODAY()))</f>
        <v/>
      </c>
      <c r="Q107">
        <f>FairRate($G107,$H107,$I107,$K107,$L107,$N107,$O107,$P107,RealTime!$A$2:$B$43,TODAY())</f>
        <v/>
      </c>
      <c r="R107">
        <f>IF(ISNUMBER(Q106),Q107-Q106,"")</f>
        <v/>
      </c>
      <c r="S107">
        <f>IF(AND(ISNUMBER(Q106),ISNUMBER(Q108)),2*Q107-Q106-Q108,"")</f>
        <v/>
      </c>
      <c r="U107">
        <f>SwapPV($G107,$H107,$I107,$K107,$L107,$N107,$O107,$P107,$D107,$T107,$J107,RealTime!$A$2:$B$43,TODAY())</f>
        <v/>
      </c>
      <c r="V107">
        <f>SwapDelta($G107,$H107,$I107,$K107,$L107,$N107,$O107,$P107,$D107,$T107,$J107,RealTime!$A$2:$B$43,TODAY())</f>
        <v/>
      </c>
      <c r="W107">
        <f>SwapAnnuityDelta($G107,$H107,$I107,$K107,$L107,$N107,$O107,$P107,$D107,$T107,RealTime!$A$2:$B$43,TODAY())</f>
        <v/>
      </c>
      <c r="Z107">
        <f>IF($B107=1,BucketedDelta($G107,$H107,$I107,$K107,$L107,$N107,$O107,$P107,$D107,$T107,$J107,RealTime!$A$2:$B$43,TODAY(),FALSE),"")</f>
        <v/>
      </c>
    </row>
    <row r="108">
      <c r="F108">
        <f>IF($E108="","",NotionalForDelta($E108,$G108,$H108,$I108,$K108,$L108,$N108,$O108,$P108,$T108,RealTime!$A$2:$B$43,TODAY()))</f>
        <v/>
      </c>
      <c r="Q108">
        <f>FairRate($G108,$H108,$I108,$K108,$L108,$N108,$O108,$P108,RealTime!$A$2:$B$43,TODAY())</f>
        <v/>
      </c>
      <c r="R108">
        <f>IF(ISNUMBER(Q107),Q108-Q107,"")</f>
        <v/>
      </c>
      <c r="S108">
        <f>IF(AND(ISNUMBER(Q107),ISNUMBER(Q109)),2*Q108-Q107-Q109,"")</f>
        <v/>
      </c>
      <c r="U108">
        <f>SwapPV($G108,$H108,$I108,$K108,$L108,$N108,$O108,$P108,$D108,$T108,$J108,RealTime!$A$2:$B$43,TODAY())</f>
        <v/>
      </c>
      <c r="V108">
        <f>SwapDelta($G108,$H108,$I108,$K108,$L108,$N108,$O108,$P108,$D108,$T108,$J108,RealTime!$A$2:$B$43,TODAY())</f>
        <v/>
      </c>
      <c r="W108">
        <f>SwapAnnuityDelta($G108,$H108,$I108,$K108,$L108,$N108,$O108,$P108,$D108,$T108,RealTime!$A$2:$B$43,TODAY())</f>
        <v/>
      </c>
      <c r="Z108">
        <f>IF($B108=1,BucketedDelta($G108,$H108,$I108,$K108,$L108,$N108,$O108,$P108,$D108,$T108,$J108,RealTime!$A$2:$B$43,TODAY(),FALSE),"")</f>
        <v/>
      </c>
    </row>
    <row r="109">
      <c r="F109">
        <f>IF($E109="","",NotionalForDelta($E109,$G109,$H109,$I109,$K109,$L109,$N109,$O109,$P109,$T109,RealTime!$A$2:$B$43,TODAY()))</f>
        <v/>
      </c>
      <c r="Q109">
        <f>FairRate($G109,$H109,$I109,$K109,$L109,$N109,$O109,$P109,RealTime!$A$2:$B$43,TODAY())</f>
        <v/>
      </c>
      <c r="R109">
        <f>IF(ISNUMBER(Q108),Q109-Q108,"")</f>
        <v/>
      </c>
      <c r="S109">
        <f>IF(AND(ISNUMBER(Q108),ISNUMBER(Q110)),2*Q109-Q108-Q110,"")</f>
        <v/>
      </c>
      <c r="U109">
        <f>SwapPV($G109,$H109,$I109,$K109,$L109,$N109,$O109,$P109,$D109,$T109,$J109,RealTime!$A$2:$B$43,TODAY())</f>
        <v/>
      </c>
      <c r="V109">
        <f>SwapDelta($G109,$H109,$I109,$K109,$L109,$N109,$O109,$P109,$D109,$T109,$J109,RealTime!$A$2:$B$43,TODAY())</f>
        <v/>
      </c>
      <c r="W109">
        <f>SwapAnnuityDelta($G109,$H109,$I109,$K109,$L109,$N109,$O109,$P109,$D109,$T109,RealTime!$A$2:$B$43,TODAY())</f>
        <v/>
      </c>
      <c r="Z109">
        <f>IF($B109=1,BucketedDelta($G109,$H109,$I109,$K109,$L109,$N109,$O109,$P109,$D109,$T109,$J109,RealTime!$A$2:$B$43,TODAY(),FALSE),"")</f>
        <v/>
      </c>
    </row>
    <row r="110">
      <c r="F110">
        <f>IF($E110="","",NotionalForDelta($E110,$G110,$H110,$I110,$K110,$L110,$N110,$O110,$P110,$T110,RealTime!$A$2:$B$43,TODAY()))</f>
        <v/>
      </c>
      <c r="Q110">
        <f>FairRate($G110,$H110,$I110,$K110,$L110,$N110,$O110,$P110,RealTime!$A$2:$B$43,TODAY())</f>
        <v/>
      </c>
      <c r="R110">
        <f>IF(ISNUMBER(Q109),Q110-Q109,"")</f>
        <v/>
      </c>
      <c r="S110">
        <f>IF(AND(ISNUMBER(Q109),ISNUMBER(Q111)),2*Q110-Q109-Q111,"")</f>
        <v/>
      </c>
      <c r="U110">
        <f>SwapPV($G110,$H110,$I110,$K110,$L110,$N110,$O110,$P110,$D110,$T110,$J110,RealTime!$A$2:$B$43,TODAY())</f>
        <v/>
      </c>
      <c r="V110">
        <f>SwapDelta($G110,$H110,$I110,$K110,$L110,$N110,$O110,$P110,$D110,$T110,$J110,RealTime!$A$2:$B$43,TODAY())</f>
        <v/>
      </c>
      <c r="W110">
        <f>SwapAnnuityDelta($G110,$H110,$I110,$K110,$L110,$N110,$O110,$P110,$D110,$T110,RealTime!$A$2:$B$43,TODAY())</f>
        <v/>
      </c>
      <c r="Z110">
        <f>IF($B110=1,BucketedDelta($G110,$H110,$I110,$K110,$L110,$N110,$O110,$P110,$D110,$T110,$J110,RealTime!$A$2:$B$43,TODAY(),FALSE),"")</f>
        <v/>
      </c>
    </row>
    <row r="111">
      <c r="F111">
        <f>IF($E111="","",NotionalForDelta($E111,$G111,$H111,$I111,$K111,$L111,$N111,$O111,$P111,$T111,RealTime!$A$2:$B$43,TODAY()))</f>
        <v/>
      </c>
      <c r="Q111">
        <f>FairRate($G111,$H111,$I111,$K111,$L111,$N111,$O111,$P111,RealTime!$A$2:$B$43,TODAY())</f>
        <v/>
      </c>
      <c r="R111">
        <f>IF(ISNUMBER(Q110),Q111-Q110,"")</f>
        <v/>
      </c>
      <c r="S111">
        <f>IF(AND(ISNUMBER(Q110),ISNUMBER(Q112)),2*Q111-Q110-Q112,"")</f>
        <v/>
      </c>
      <c r="U111">
        <f>SwapPV($G111,$H111,$I111,$K111,$L111,$N111,$O111,$P111,$D111,$T111,$J111,RealTime!$A$2:$B$43,TODAY())</f>
        <v/>
      </c>
      <c r="V111">
        <f>SwapDelta($G111,$H111,$I111,$K111,$L111,$N111,$O111,$P111,$D111,$T111,$J111,RealTime!$A$2:$B$43,TODAY())</f>
        <v/>
      </c>
      <c r="W111">
        <f>SwapAnnuityDelta($G111,$H111,$I111,$K111,$L111,$N111,$O111,$P111,$D111,$T111,RealTime!$A$2:$B$43,TODAY())</f>
        <v/>
      </c>
      <c r="Z111">
        <f>IF($B111=1,BucketedDelta($G111,$H111,$I111,$K111,$L111,$N111,$O111,$P111,$D111,$T111,$J111,RealTime!$A$2:$B$43,TODAY(),FALSE),"")</f>
        <v/>
      </c>
    </row>
    <row r="112">
      <c r="F112">
        <f>IF($E112="","",NotionalForDelta($E112,$G112,$H112,$I112,$K112,$L112,$N112,$O112,$P112,$T112,RealTime!$A$2:$B$43,TODAY()))</f>
        <v/>
      </c>
      <c r="Q112">
        <f>FairRate($G112,$H112,$I112,$K112,$L112,$N112,$O112,$P112,RealTime!$A$2:$B$43,TODAY())</f>
        <v/>
      </c>
      <c r="R112">
        <f>IF(ISNUMBER(Q111),Q112-Q111,"")</f>
        <v/>
      </c>
      <c r="S112">
        <f>IF(AND(ISNUMBER(Q111),ISNUMBER(Q113)),2*Q112-Q111-Q113,"")</f>
        <v/>
      </c>
      <c r="U112">
        <f>SwapPV($G112,$H112,$I112,$K112,$L112,$N112,$O112,$P112,$D112,$T112,$J112,RealTime!$A$2:$B$43,TODAY())</f>
        <v/>
      </c>
      <c r="V112">
        <f>SwapDelta($G112,$H112,$I112,$K112,$L112,$N112,$O112,$P112,$D112,$T112,$J112,RealTime!$A$2:$B$43,TODAY())</f>
        <v/>
      </c>
      <c r="W112">
        <f>SwapAnnuityDelta($G112,$H112,$I112,$K112,$L112,$N112,$O112,$P112,$D112,$T112,RealTime!$A$2:$B$43,TODAY())</f>
        <v/>
      </c>
      <c r="Z112">
        <f>IF($B112=1,BucketedDelta($G112,$H112,$I112,$K112,$L112,$N112,$O112,$P112,$D112,$T112,$J112,RealTime!$A$2:$B$43,TODAY(),FALSE),"")</f>
        <v/>
      </c>
    </row>
    <row r="113">
      <c r="F113">
        <f>IF($E113="","",NotionalForDelta($E113,$G113,$H113,$I113,$K113,$L113,$N113,$O113,$P113,$T113,RealTime!$A$2:$B$43,TODAY()))</f>
        <v/>
      </c>
      <c r="Q113">
        <f>FairRate($G113,$H113,$I113,$K113,$L113,$N113,$O113,$P113,RealTime!$A$2:$B$43,TODAY())</f>
        <v/>
      </c>
      <c r="R113">
        <f>IF(ISNUMBER(Q112),Q113-Q112,"")</f>
        <v/>
      </c>
      <c r="S113">
        <f>IF(AND(ISNUMBER(Q112),ISNUMBER(Q114)),2*Q113-Q112-Q114,"")</f>
        <v/>
      </c>
      <c r="U113">
        <f>SwapPV($G113,$H113,$I113,$K113,$L113,$N113,$O113,$P113,$D113,$T113,$J113,RealTime!$A$2:$B$43,TODAY())</f>
        <v/>
      </c>
      <c r="V113">
        <f>SwapDelta($G113,$H113,$I113,$K113,$L113,$N113,$O113,$P113,$D113,$T113,$J113,RealTime!$A$2:$B$43,TODAY())</f>
        <v/>
      </c>
      <c r="W113">
        <f>SwapAnnuityDelta($G113,$H113,$I113,$K113,$L113,$N113,$O113,$P113,$D113,$T113,RealTime!$A$2:$B$43,TODAY())</f>
        <v/>
      </c>
      <c r="Z113">
        <f>IF($B113=1,BucketedDelta($G113,$H113,$I113,$K113,$L113,$N113,$O113,$P113,$D113,$T113,$J113,RealTime!$A$2:$B$43,TODAY(),FALSE),"")</f>
        <v/>
      </c>
    </row>
    <row r="114">
      <c r="F114">
        <f>IF($E114="","",NotionalForDelta($E114,$G114,$H114,$I114,$K114,$L114,$N114,$O114,$P114,$T114,RealTime!$A$2:$B$43,TODAY()))</f>
        <v/>
      </c>
      <c r="Q114">
        <f>FairRate($G114,$H114,$I114,$K114,$L114,$N114,$O114,$P114,RealTime!$A$2:$B$43,TODAY())</f>
        <v/>
      </c>
      <c r="R114">
        <f>IF(ISNUMBER(Q113),Q114-Q113,"")</f>
        <v/>
      </c>
      <c r="S114">
        <f>IF(AND(ISNUMBER(Q113),ISNUMBER(Q115)),2*Q114-Q113-Q115,"")</f>
        <v/>
      </c>
      <c r="U114">
        <f>SwapPV($G114,$H114,$I114,$K114,$L114,$N114,$O114,$P114,$D114,$T114,$J114,RealTime!$A$2:$B$43,TODAY())</f>
        <v/>
      </c>
      <c r="V114">
        <f>SwapDelta($G114,$H114,$I114,$K114,$L114,$N114,$O114,$P114,$D114,$T114,$J114,RealTime!$A$2:$B$43,TODAY())</f>
        <v/>
      </c>
      <c r="W114">
        <f>SwapAnnuityDelta($G114,$H114,$I114,$K114,$L114,$N114,$O114,$P114,$D114,$T114,RealTime!$A$2:$B$43,TODAY())</f>
        <v/>
      </c>
      <c r="Z114">
        <f>IF($B114=1,BucketedDelta($G114,$H114,$I114,$K114,$L114,$N114,$O114,$P114,$D114,$T114,$J114,RealTime!$A$2:$B$43,TODAY(),FALSE),"")</f>
        <v/>
      </c>
    </row>
    <row r="115">
      <c r="F115">
        <f>IF($E115="","",NotionalForDelta($E115,$G115,$H115,$I115,$K115,$L115,$N115,$O115,$P115,$T115,RealTime!$A$2:$B$43,TODAY()))</f>
        <v/>
      </c>
      <c r="Q115">
        <f>FairRate($G115,$H115,$I115,$K115,$L115,$N115,$O115,$P115,RealTime!$A$2:$B$43,TODAY())</f>
        <v/>
      </c>
      <c r="R115">
        <f>IF(ISNUMBER(Q114),Q115-Q114,"")</f>
        <v/>
      </c>
      <c r="S115">
        <f>IF(AND(ISNUMBER(Q114),ISNUMBER(Q116)),2*Q115-Q114-Q116,"")</f>
        <v/>
      </c>
      <c r="U115">
        <f>SwapPV($G115,$H115,$I115,$K115,$L115,$N115,$O115,$P115,$D115,$T115,$J115,RealTime!$A$2:$B$43,TODAY())</f>
        <v/>
      </c>
      <c r="V115">
        <f>SwapDelta($G115,$H115,$I115,$K115,$L115,$N115,$O115,$P115,$D115,$T115,$J115,RealTime!$A$2:$B$43,TODAY())</f>
        <v/>
      </c>
      <c r="W115">
        <f>SwapAnnuityDelta($G115,$H115,$I115,$K115,$L115,$N115,$O115,$P115,$D115,$T115,RealTime!$A$2:$B$43,TODAY())</f>
        <v/>
      </c>
      <c r="Z115">
        <f>IF($B115=1,BucketedDelta($G115,$H115,$I115,$K115,$L115,$N115,$O115,$P115,$D115,$T115,$J115,RealTime!$A$2:$B$43,TODAY(),FALSE),"")</f>
        <v/>
      </c>
    </row>
    <row r="116">
      <c r="F116">
        <f>IF($E116="","",NotionalForDelta($E116,$G116,$H116,$I116,$K116,$L116,$N116,$O116,$P116,$T116,RealTime!$A$2:$B$43,TODAY()))</f>
        <v/>
      </c>
      <c r="Q116">
        <f>FairRate($G116,$H116,$I116,$K116,$L116,$N116,$O116,$P116,RealTime!$A$2:$B$43,TODAY())</f>
        <v/>
      </c>
      <c r="R116">
        <f>IF(ISNUMBER(Q115),Q116-Q115,"")</f>
        <v/>
      </c>
      <c r="S116">
        <f>IF(AND(ISNUMBER(Q115),ISNUMBER(Q117)),2*Q116-Q115-Q117,"")</f>
        <v/>
      </c>
      <c r="U116">
        <f>SwapPV($G116,$H116,$I116,$K116,$L116,$N116,$O116,$P116,$D116,$T116,$J116,RealTime!$A$2:$B$43,TODAY())</f>
        <v/>
      </c>
      <c r="V116">
        <f>SwapDelta($G116,$H116,$I116,$K116,$L116,$N116,$O116,$P116,$D116,$T116,$J116,RealTime!$A$2:$B$43,TODAY())</f>
        <v/>
      </c>
      <c r="W116">
        <f>SwapAnnuityDelta($G116,$H116,$I116,$K116,$L116,$N116,$O116,$P116,$D116,$T116,RealTime!$A$2:$B$43,TODAY())</f>
        <v/>
      </c>
      <c r="Z116">
        <f>IF($B116=1,BucketedDelta($G116,$H116,$I116,$K116,$L116,$N116,$O116,$P116,$D116,$T116,$J116,RealTime!$A$2:$B$43,TODAY(),FALSE),"")</f>
        <v/>
      </c>
    </row>
    <row r="117">
      <c r="F117">
        <f>IF($E117="","",NotionalForDelta($E117,$G117,$H117,$I117,$K117,$L117,$N117,$O117,$P117,$T117,RealTime!$A$2:$B$43,TODAY()))</f>
        <v/>
      </c>
      <c r="Q117">
        <f>FairRate($G117,$H117,$I117,$K117,$L117,$N117,$O117,$P117,RealTime!$A$2:$B$43,TODAY())</f>
        <v/>
      </c>
      <c r="R117">
        <f>IF(ISNUMBER(Q116),Q117-Q116,"")</f>
        <v/>
      </c>
      <c r="S117">
        <f>IF(AND(ISNUMBER(Q116),ISNUMBER(Q118)),2*Q117-Q116-Q118,"")</f>
        <v/>
      </c>
      <c r="U117">
        <f>SwapPV($G117,$H117,$I117,$K117,$L117,$N117,$O117,$P117,$D117,$T117,$J117,RealTime!$A$2:$B$43,TODAY())</f>
        <v/>
      </c>
      <c r="V117">
        <f>SwapDelta($G117,$H117,$I117,$K117,$L117,$N117,$O117,$P117,$D117,$T117,$J117,RealTime!$A$2:$B$43,TODAY())</f>
        <v/>
      </c>
      <c r="W117">
        <f>SwapAnnuityDelta($G117,$H117,$I117,$K117,$L117,$N117,$O117,$P117,$D117,$T117,RealTime!$A$2:$B$43,TODAY())</f>
        <v/>
      </c>
      <c r="Z117">
        <f>IF($B117=1,BucketedDelta($G117,$H117,$I117,$K117,$L117,$N117,$O117,$P117,$D117,$T117,$J117,RealTime!$A$2:$B$43,TODAY(),FALSE),"")</f>
        <v/>
      </c>
    </row>
    <row r="118">
      <c r="F118">
        <f>IF($E118="","",NotionalForDelta($E118,$G118,$H118,$I118,$K118,$L118,$N118,$O118,$P118,$T118,RealTime!$A$2:$B$43,TODAY()))</f>
        <v/>
      </c>
      <c r="Q118">
        <f>FairRate($G118,$H118,$I118,$K118,$L118,$N118,$O118,$P118,RealTime!$A$2:$B$43,TODAY())</f>
        <v/>
      </c>
      <c r="R118">
        <f>IF(ISNUMBER(Q117),Q118-Q117,"")</f>
        <v/>
      </c>
      <c r="S118">
        <f>IF(AND(ISNUMBER(Q117),ISNUMBER(Q119)),2*Q118-Q117-Q119,"")</f>
        <v/>
      </c>
      <c r="U118">
        <f>SwapPV($G118,$H118,$I118,$K118,$L118,$N118,$O118,$P118,$D118,$T118,$J118,RealTime!$A$2:$B$43,TODAY())</f>
        <v/>
      </c>
      <c r="V118">
        <f>SwapDelta($G118,$H118,$I118,$K118,$L118,$N118,$O118,$P118,$D118,$T118,$J118,RealTime!$A$2:$B$43,TODAY())</f>
        <v/>
      </c>
      <c r="W118">
        <f>SwapAnnuityDelta($G118,$H118,$I118,$K118,$L118,$N118,$O118,$P118,$D118,$T118,RealTime!$A$2:$B$43,TODAY())</f>
        <v/>
      </c>
      <c r="Z118">
        <f>IF($B118=1,BucketedDelta($G118,$H118,$I118,$K118,$L118,$N118,$O118,$P118,$D118,$T118,$J118,RealTime!$A$2:$B$43,TODAY(),FALSE),"")</f>
        <v/>
      </c>
    </row>
    <row r="119">
      <c r="F119">
        <f>IF($E119="","",NotionalForDelta($E119,$G119,$H119,$I119,$K119,$L119,$N119,$O119,$P119,$T119,RealTime!$A$2:$B$43,TODAY()))</f>
        <v/>
      </c>
      <c r="Q119">
        <f>FairRate($G119,$H119,$I119,$K119,$L119,$N119,$O119,$P119,RealTime!$A$2:$B$43,TODAY())</f>
        <v/>
      </c>
      <c r="R119">
        <f>IF(ISNUMBER(Q118),Q119-Q118,"")</f>
        <v/>
      </c>
      <c r="S119">
        <f>IF(AND(ISNUMBER(Q118),ISNUMBER(Q120)),2*Q119-Q118-Q120,"")</f>
        <v/>
      </c>
      <c r="U119">
        <f>SwapPV($G119,$H119,$I119,$K119,$L119,$N119,$O119,$P119,$D119,$T119,$J119,RealTime!$A$2:$B$43,TODAY())</f>
        <v/>
      </c>
      <c r="V119">
        <f>SwapDelta($G119,$H119,$I119,$K119,$L119,$N119,$O119,$P119,$D119,$T119,$J119,RealTime!$A$2:$B$43,TODAY())</f>
        <v/>
      </c>
      <c r="W119">
        <f>SwapAnnuityDelta($G119,$H119,$I119,$K119,$L119,$N119,$O119,$P119,$D119,$T119,RealTime!$A$2:$B$43,TODAY())</f>
        <v/>
      </c>
      <c r="Z119">
        <f>IF($B119=1,BucketedDelta($G119,$H119,$I119,$K119,$L119,$N119,$O119,$P119,$D119,$T119,$J119,RealTime!$A$2:$B$43,TODAY(),FALSE),"")</f>
        <v/>
      </c>
    </row>
    <row r="120">
      <c r="F120">
        <f>IF($E120="","",NotionalForDelta($E120,$G120,$H120,$I120,$K120,$L120,$N120,$O120,$P120,$T120,RealTime!$A$2:$B$43,TODAY()))</f>
        <v/>
      </c>
      <c r="Q120">
        <f>FairRate($G120,$H120,$I120,$K120,$L120,$N120,$O120,$P120,RealTime!$A$2:$B$43,TODAY())</f>
        <v/>
      </c>
      <c r="R120">
        <f>IF(ISNUMBER(Q119),Q120-Q119,"")</f>
        <v/>
      </c>
      <c r="S120">
        <f>IF(AND(ISNUMBER(Q119),ISNUMBER(Q121)),2*Q120-Q119-Q121,"")</f>
        <v/>
      </c>
      <c r="U120">
        <f>SwapPV($G120,$H120,$I120,$K120,$L120,$N120,$O120,$P120,$D120,$T120,$J120,RealTime!$A$2:$B$43,TODAY())</f>
        <v/>
      </c>
      <c r="V120">
        <f>SwapDelta($G120,$H120,$I120,$K120,$L120,$N120,$O120,$P120,$D120,$T120,$J120,RealTime!$A$2:$B$43,TODAY())</f>
        <v/>
      </c>
      <c r="W120">
        <f>SwapAnnuityDelta($G120,$H120,$I120,$K120,$L120,$N120,$O120,$P120,$D120,$T120,RealTime!$A$2:$B$43,TODAY())</f>
        <v/>
      </c>
      <c r="Z120">
        <f>IF($B120=1,BucketedDelta($G120,$H120,$I120,$K120,$L120,$N120,$O120,$P120,$D120,$T120,$J120,RealTime!$A$2:$B$43,TODAY(),FALSE),"")</f>
        <v/>
      </c>
    </row>
    <row r="121">
      <c r="F121">
        <f>IF($E121="","",NotionalForDelta($E121,$G121,$H121,$I121,$K121,$L121,$N121,$O121,$P121,$T121,RealTime!$A$2:$B$43,TODAY()))</f>
        <v/>
      </c>
      <c r="Q121">
        <f>FairRate($G121,$H121,$I121,$K121,$L121,$N121,$O121,$P121,RealTime!$A$2:$B$43,TODAY())</f>
        <v/>
      </c>
      <c r="R121">
        <f>IF(ISNUMBER(Q120),Q121-Q120,"")</f>
        <v/>
      </c>
      <c r="S121">
        <f>IF(AND(ISNUMBER(Q120),ISNUMBER(Q122)),2*Q121-Q120-Q122,"")</f>
        <v/>
      </c>
      <c r="U121">
        <f>SwapPV($G121,$H121,$I121,$K121,$L121,$N121,$O121,$P121,$D121,$T121,$J121,RealTime!$A$2:$B$43,TODAY())</f>
        <v/>
      </c>
      <c r="V121">
        <f>SwapDelta($G121,$H121,$I121,$K121,$L121,$N121,$O121,$P121,$D121,$T121,$J121,RealTime!$A$2:$B$43,TODAY())</f>
        <v/>
      </c>
      <c r="W121">
        <f>SwapAnnuityDelta($G121,$H121,$I121,$K121,$L121,$N121,$O121,$P121,$D121,$T121,RealTime!$A$2:$B$43,TODAY())</f>
        <v/>
      </c>
      <c r="Z121">
        <f>IF($B121=1,BucketedDelta($G121,$H121,$I121,$K121,$L121,$N121,$O121,$P121,$D121,$T121,$J121,RealTime!$A$2:$B$43,TODAY(),FALSE),"")</f>
        <v/>
      </c>
    </row>
    <row r="122">
      <c r="F122">
        <f>IF($E122="","",NotionalForDelta($E122,$G122,$H122,$I122,$K122,$L122,$N122,$O122,$P122,$T122,RealTime!$A$2:$B$43,TODAY()))</f>
        <v/>
      </c>
      <c r="Q122">
        <f>FairRate($G122,$H122,$I122,$K122,$L122,$N122,$O122,$P122,RealTime!$A$2:$B$43,TODAY())</f>
        <v/>
      </c>
      <c r="R122">
        <f>IF(ISNUMBER(Q121),Q122-Q121,"")</f>
        <v/>
      </c>
      <c r="S122">
        <f>IF(AND(ISNUMBER(Q121),ISNUMBER(Q123)),2*Q122-Q121-Q123,"")</f>
        <v/>
      </c>
      <c r="U122">
        <f>SwapPV($G122,$H122,$I122,$K122,$L122,$N122,$O122,$P122,$D122,$T122,$J122,RealTime!$A$2:$B$43,TODAY())</f>
        <v/>
      </c>
      <c r="V122">
        <f>SwapDelta($G122,$H122,$I122,$K122,$L122,$N122,$O122,$P122,$D122,$T122,$J122,RealTime!$A$2:$B$43,TODAY())</f>
        <v/>
      </c>
      <c r="W122">
        <f>SwapAnnuityDelta($G122,$H122,$I122,$K122,$L122,$N122,$O122,$P122,$D122,$T122,RealTime!$A$2:$B$43,TODAY())</f>
        <v/>
      </c>
      <c r="Z122">
        <f>IF($B122=1,BucketedDelta($G122,$H122,$I122,$K122,$L122,$N122,$O122,$P122,$D122,$T122,$J122,RealTime!$A$2:$B$43,TODAY(),FALSE),"")</f>
        <v/>
      </c>
    </row>
    <row r="123">
      <c r="F123">
        <f>IF($E123="","",NotionalForDelta($E123,$G123,$H123,$I123,$K123,$L123,$N123,$O123,$P123,$T123,RealTime!$A$2:$B$43,TODAY()))</f>
        <v/>
      </c>
      <c r="Q123">
        <f>FairRate($G123,$H123,$I123,$K123,$L123,$N123,$O123,$P123,RealTime!$A$2:$B$43,TODAY())</f>
        <v/>
      </c>
      <c r="R123">
        <f>IF(ISNUMBER(Q122),Q123-Q122,"")</f>
        <v/>
      </c>
      <c r="S123">
        <f>IF(AND(ISNUMBER(Q122),ISNUMBER(Q124)),2*Q123-Q122-Q124,"")</f>
        <v/>
      </c>
      <c r="U123">
        <f>SwapPV($G123,$H123,$I123,$K123,$L123,$N123,$O123,$P123,$D123,$T123,$J123,RealTime!$A$2:$B$43,TODAY())</f>
        <v/>
      </c>
      <c r="V123">
        <f>SwapDelta($G123,$H123,$I123,$K123,$L123,$N123,$O123,$P123,$D123,$T123,$J123,RealTime!$A$2:$B$43,TODAY())</f>
        <v/>
      </c>
      <c r="W123">
        <f>SwapAnnuityDelta($G123,$H123,$I123,$K123,$L123,$N123,$O123,$P123,$D123,$T123,RealTime!$A$2:$B$43,TODAY())</f>
        <v/>
      </c>
      <c r="Z123">
        <f>IF($B123=1,BucketedDelta($G123,$H123,$I123,$K123,$L123,$N123,$O123,$P123,$D123,$T123,$J123,RealTime!$A$2:$B$43,TODAY(),FALSE),"")</f>
        <v/>
      </c>
    </row>
    <row r="124">
      <c r="F124">
        <f>IF($E124="","",NotionalForDelta($E124,$G124,$H124,$I124,$K124,$L124,$N124,$O124,$P124,$T124,RealTime!$A$2:$B$43,TODAY()))</f>
        <v/>
      </c>
      <c r="Q124">
        <f>FairRate($G124,$H124,$I124,$K124,$L124,$N124,$O124,$P124,RealTime!$A$2:$B$43,TODAY())</f>
        <v/>
      </c>
      <c r="R124">
        <f>IF(ISNUMBER(Q123),Q124-Q123,"")</f>
        <v/>
      </c>
      <c r="S124">
        <f>IF(AND(ISNUMBER(Q123),ISNUMBER(Q125)),2*Q124-Q123-Q125,"")</f>
        <v/>
      </c>
      <c r="U124">
        <f>SwapPV($G124,$H124,$I124,$K124,$L124,$N124,$O124,$P124,$D124,$T124,$J124,RealTime!$A$2:$B$43,TODAY())</f>
        <v/>
      </c>
      <c r="V124">
        <f>SwapDelta($G124,$H124,$I124,$K124,$L124,$N124,$O124,$P124,$D124,$T124,$J124,RealTime!$A$2:$B$43,TODAY())</f>
        <v/>
      </c>
      <c r="W124">
        <f>SwapAnnuityDelta($G124,$H124,$I124,$K124,$L124,$N124,$O124,$P124,$D124,$T124,RealTime!$A$2:$B$43,TODAY())</f>
        <v/>
      </c>
      <c r="Z124">
        <f>IF($B124=1,BucketedDelta($G124,$H124,$I124,$K124,$L124,$N124,$O124,$P124,$D124,$T124,$J124,RealTime!$A$2:$B$43,TODAY(),FALSE),"")</f>
        <v/>
      </c>
    </row>
    <row r="125">
      <c r="F125">
        <f>IF($E125="","",NotionalForDelta($E125,$G125,$H125,$I125,$K125,$L125,$N125,$O125,$P125,$T125,RealTime!$A$2:$B$43,TODAY()))</f>
        <v/>
      </c>
      <c r="Q125">
        <f>FairRate($G125,$H125,$I125,$K125,$L125,$N125,$O125,$P125,RealTime!$A$2:$B$43,TODAY())</f>
        <v/>
      </c>
      <c r="R125">
        <f>IF(ISNUMBER(Q124),Q125-Q124,"")</f>
        <v/>
      </c>
      <c r="S125">
        <f>IF(AND(ISNUMBER(Q124),ISNUMBER(Q126)),2*Q125-Q124-Q126,"")</f>
        <v/>
      </c>
      <c r="U125">
        <f>SwapPV($G125,$H125,$I125,$K125,$L125,$N125,$O125,$P125,$D125,$T125,$J125,RealTime!$A$2:$B$43,TODAY())</f>
        <v/>
      </c>
      <c r="V125">
        <f>SwapDelta($G125,$H125,$I125,$K125,$L125,$N125,$O125,$P125,$D125,$T125,$J125,RealTime!$A$2:$B$43,TODAY())</f>
        <v/>
      </c>
      <c r="W125">
        <f>SwapAnnuityDelta($G125,$H125,$I125,$K125,$L125,$N125,$O125,$P125,$D125,$T125,RealTime!$A$2:$B$43,TODAY())</f>
        <v/>
      </c>
      <c r="Z125">
        <f>IF($B125=1,BucketedDelta($G125,$H125,$I125,$K125,$L125,$N125,$O125,$P125,$D125,$T125,$J125,RealTime!$A$2:$B$43,TODAY(),FALSE),"")</f>
        <v/>
      </c>
    </row>
    <row r="126">
      <c r="F126">
        <f>IF($E126="","",NotionalForDelta($E126,$G126,$H126,$I126,$K126,$L126,$N126,$O126,$P126,$T126,RealTime!$A$2:$B$43,TODAY()))</f>
        <v/>
      </c>
      <c r="Q126">
        <f>FairRate($G126,$H126,$I126,$K126,$L126,$N126,$O126,$P126,RealTime!$A$2:$B$43,TODAY())</f>
        <v/>
      </c>
      <c r="R126">
        <f>IF(ISNUMBER(Q125),Q126-Q125,"")</f>
        <v/>
      </c>
      <c r="S126">
        <f>IF(AND(ISNUMBER(Q125),ISNUMBER(Q127)),2*Q126-Q125-Q127,"")</f>
        <v/>
      </c>
      <c r="U126">
        <f>SwapPV($G126,$H126,$I126,$K126,$L126,$N126,$O126,$P126,$D126,$T126,$J126,RealTime!$A$2:$B$43,TODAY())</f>
        <v/>
      </c>
      <c r="V126">
        <f>SwapDelta($G126,$H126,$I126,$K126,$L126,$N126,$O126,$P126,$D126,$T126,$J126,RealTime!$A$2:$B$43,TODAY())</f>
        <v/>
      </c>
      <c r="W126">
        <f>SwapAnnuityDelta($G126,$H126,$I126,$K126,$L126,$N126,$O126,$P126,$D126,$T126,RealTime!$A$2:$B$43,TODAY())</f>
        <v/>
      </c>
      <c r="Z126">
        <f>IF($B126=1,BucketedDelta($G126,$H126,$I126,$K126,$L126,$N126,$O126,$P126,$D126,$T126,$J126,RealTime!$A$2:$B$43,TODAY(),FALSE),"")</f>
        <v/>
      </c>
    </row>
    <row r="127">
      <c r="F127">
        <f>IF($E127="","",NotionalForDelta($E127,$G127,$H127,$I127,$K127,$L127,$N127,$O127,$P127,$T127,RealTime!$A$2:$B$43,TODAY()))</f>
        <v/>
      </c>
      <c r="Q127">
        <f>FairRate($G127,$H127,$I127,$K127,$L127,$N127,$O127,$P127,RealTime!$A$2:$B$43,TODAY())</f>
        <v/>
      </c>
      <c r="R127">
        <f>IF(ISNUMBER(Q126),Q127-Q126,"")</f>
        <v/>
      </c>
      <c r="S127">
        <f>IF(AND(ISNUMBER(Q126),ISNUMBER(Q128)),2*Q127-Q126-Q128,"")</f>
        <v/>
      </c>
      <c r="U127">
        <f>SwapPV($G127,$H127,$I127,$K127,$L127,$N127,$O127,$P127,$D127,$T127,$J127,RealTime!$A$2:$B$43,TODAY())</f>
        <v/>
      </c>
      <c r="V127">
        <f>SwapDelta($G127,$H127,$I127,$K127,$L127,$N127,$O127,$P127,$D127,$T127,$J127,RealTime!$A$2:$B$43,TODAY())</f>
        <v/>
      </c>
      <c r="W127">
        <f>SwapAnnuityDelta($G127,$H127,$I127,$K127,$L127,$N127,$O127,$P127,$D127,$T127,RealTime!$A$2:$B$43,TODAY())</f>
        <v/>
      </c>
      <c r="Z127">
        <f>IF($B127=1,BucketedDelta($G127,$H127,$I127,$K127,$L127,$N127,$O127,$P127,$D127,$T127,$J127,RealTime!$A$2:$B$43,TODAY(),FALSE),"")</f>
        <v/>
      </c>
    </row>
    <row r="128">
      <c r="F128">
        <f>IF($E128="","",NotionalForDelta($E128,$G128,$H128,$I128,$K128,$L128,$N128,$O128,$P128,$T128,RealTime!$A$2:$B$43,TODAY()))</f>
        <v/>
      </c>
      <c r="Q128">
        <f>FairRate($G128,$H128,$I128,$K128,$L128,$N128,$O128,$P128,RealTime!$A$2:$B$43,TODAY())</f>
        <v/>
      </c>
      <c r="R128">
        <f>IF(ISNUMBER(Q127),Q128-Q127,"")</f>
        <v/>
      </c>
      <c r="S128">
        <f>IF(AND(ISNUMBER(Q127),ISNUMBER(Q129)),2*Q128-Q127-Q129,"")</f>
        <v/>
      </c>
      <c r="U128">
        <f>SwapPV($G128,$H128,$I128,$K128,$L128,$N128,$O128,$P128,$D128,$T128,$J128,RealTime!$A$2:$B$43,TODAY())</f>
        <v/>
      </c>
      <c r="V128">
        <f>SwapDelta($G128,$H128,$I128,$K128,$L128,$N128,$O128,$P128,$D128,$T128,$J128,RealTime!$A$2:$B$43,TODAY())</f>
        <v/>
      </c>
      <c r="W128">
        <f>SwapAnnuityDelta($G128,$H128,$I128,$K128,$L128,$N128,$O128,$P128,$D128,$T128,RealTime!$A$2:$B$43,TODAY())</f>
        <v/>
      </c>
      <c r="Z128">
        <f>IF($B128=1,BucketedDelta($G128,$H128,$I128,$K128,$L128,$N128,$O128,$P128,$D128,$T128,$J128,RealTime!$A$2:$B$43,TODAY(),FALSE),"")</f>
        <v/>
      </c>
    </row>
    <row r="129">
      <c r="F129">
        <f>IF($E129="","",NotionalForDelta($E129,$G129,$H129,$I129,$K129,$L129,$N129,$O129,$P129,$T129,RealTime!$A$2:$B$43,TODAY()))</f>
        <v/>
      </c>
      <c r="Q129">
        <f>FairRate($G129,$H129,$I129,$K129,$L129,$N129,$O129,$P129,RealTime!$A$2:$B$43,TODAY())</f>
        <v/>
      </c>
      <c r="R129">
        <f>IF(ISNUMBER(Q128),Q129-Q128,"")</f>
        <v/>
      </c>
      <c r="S129">
        <f>IF(AND(ISNUMBER(Q128),ISNUMBER(Q130)),2*Q129-Q128-Q130,"")</f>
        <v/>
      </c>
      <c r="U129">
        <f>SwapPV($G129,$H129,$I129,$K129,$L129,$N129,$O129,$P129,$D129,$T129,$J129,RealTime!$A$2:$B$43,TODAY())</f>
        <v/>
      </c>
      <c r="V129">
        <f>SwapDelta($G129,$H129,$I129,$K129,$L129,$N129,$O129,$P129,$D129,$T129,$J129,RealTime!$A$2:$B$43,TODAY())</f>
        <v/>
      </c>
      <c r="W129">
        <f>SwapAnnuityDelta($G129,$H129,$I129,$K129,$L129,$N129,$O129,$P129,$D129,$T129,RealTime!$A$2:$B$43,TODAY())</f>
        <v/>
      </c>
      <c r="Z129">
        <f>IF($B129=1,BucketedDelta($G129,$H129,$I129,$K129,$L129,$N129,$O129,$P129,$D129,$T129,$J129,RealTime!$A$2:$B$43,TODAY(),FALSE),"")</f>
        <v/>
      </c>
    </row>
    <row r="130">
      <c r="F130">
        <f>IF($E130="","",NotionalForDelta($E130,$G130,$H130,$I130,$K130,$L130,$N130,$O130,$P130,$T130,RealTime!$A$2:$B$43,TODAY()))</f>
        <v/>
      </c>
      <c r="Q130">
        <f>FairRate($G130,$H130,$I130,$K130,$L130,$N130,$O130,$P130,RealTime!$A$2:$B$43,TODAY())</f>
        <v/>
      </c>
      <c r="R130">
        <f>IF(ISNUMBER(Q129),Q130-Q129,"")</f>
        <v/>
      </c>
      <c r="S130">
        <f>IF(AND(ISNUMBER(Q129),ISNUMBER(Q131)),2*Q130-Q129-Q131,"")</f>
        <v/>
      </c>
      <c r="U130">
        <f>SwapPV($G130,$H130,$I130,$K130,$L130,$N130,$O130,$P130,$D130,$T130,$J130,RealTime!$A$2:$B$43,TODAY())</f>
        <v/>
      </c>
      <c r="V130">
        <f>SwapDelta($G130,$H130,$I130,$K130,$L130,$N130,$O130,$P130,$D130,$T130,$J130,RealTime!$A$2:$B$43,TODAY())</f>
        <v/>
      </c>
      <c r="W130">
        <f>SwapAnnuityDelta($G130,$H130,$I130,$K130,$L130,$N130,$O130,$P130,$D130,$T130,RealTime!$A$2:$B$43,TODAY())</f>
        <v/>
      </c>
      <c r="Z130">
        <f>IF($B130=1,BucketedDelta($G130,$H130,$I130,$K130,$L130,$N130,$O130,$P130,$D130,$T130,$J130,RealTime!$A$2:$B$43,TODAY(),FALSE),"")</f>
        <v/>
      </c>
    </row>
    <row r="131">
      <c r="F131">
        <f>IF($E131="","",NotionalForDelta($E131,$G131,$H131,$I131,$K131,$L131,$N131,$O131,$P131,$T131,RealTime!$A$2:$B$43,TODAY()))</f>
        <v/>
      </c>
      <c r="Q131">
        <f>FairRate($G131,$H131,$I131,$K131,$L131,$N131,$O131,$P131,RealTime!$A$2:$B$43,TODAY())</f>
        <v/>
      </c>
      <c r="R131">
        <f>IF(ISNUMBER(Q130),Q131-Q130,"")</f>
        <v/>
      </c>
      <c r="S131">
        <f>IF(AND(ISNUMBER(Q130),ISNUMBER(Q132)),2*Q131-Q130-Q132,"")</f>
        <v/>
      </c>
      <c r="U131">
        <f>SwapPV($G131,$H131,$I131,$K131,$L131,$N131,$O131,$P131,$D131,$T131,$J131,RealTime!$A$2:$B$43,TODAY())</f>
        <v/>
      </c>
      <c r="V131">
        <f>SwapDelta($G131,$H131,$I131,$K131,$L131,$N131,$O131,$P131,$D131,$T131,$J131,RealTime!$A$2:$B$43,TODAY())</f>
        <v/>
      </c>
      <c r="W131">
        <f>SwapAnnuityDelta($G131,$H131,$I131,$K131,$L131,$N131,$O131,$P131,$D131,$T131,RealTime!$A$2:$B$43,TODAY())</f>
        <v/>
      </c>
      <c r="Z131">
        <f>IF($B131=1,BucketedDelta($G131,$H131,$I131,$K131,$L131,$N131,$O131,$P131,$D131,$T131,$J131,RealTime!$A$2:$B$43,TODAY(),FALSE),"")</f>
        <v/>
      </c>
    </row>
    <row r="132">
      <c r="F132">
        <f>IF($E132="","",NotionalForDelta($E132,$G132,$H132,$I132,$K132,$L132,$N132,$O132,$P132,$T132,RealTime!$A$2:$B$43,TODAY()))</f>
        <v/>
      </c>
      <c r="Q132">
        <f>FairRate($G132,$H132,$I132,$K132,$L132,$N132,$O132,$P132,RealTime!$A$2:$B$43,TODAY())</f>
        <v/>
      </c>
      <c r="R132">
        <f>IF(ISNUMBER(Q131),Q132-Q131,"")</f>
        <v/>
      </c>
      <c r="S132">
        <f>IF(AND(ISNUMBER(Q131),ISNUMBER(Q133)),2*Q132-Q131-Q133,"")</f>
        <v/>
      </c>
      <c r="U132">
        <f>SwapPV($G132,$H132,$I132,$K132,$L132,$N132,$O132,$P132,$D132,$T132,$J132,RealTime!$A$2:$B$43,TODAY())</f>
        <v/>
      </c>
      <c r="V132">
        <f>SwapDelta($G132,$H132,$I132,$K132,$L132,$N132,$O132,$P132,$D132,$T132,$J132,RealTime!$A$2:$B$43,TODAY())</f>
        <v/>
      </c>
      <c r="W132">
        <f>SwapAnnuityDelta($G132,$H132,$I132,$K132,$L132,$N132,$O132,$P132,$D132,$T132,RealTime!$A$2:$B$43,TODAY())</f>
        <v/>
      </c>
      <c r="Z132">
        <f>IF($B132=1,BucketedDelta($G132,$H132,$I132,$K132,$L132,$N132,$O132,$P132,$D132,$T132,$J132,RealTime!$A$2:$B$43,TODAY(),FALSE),"")</f>
        <v/>
      </c>
    </row>
    <row r="133">
      <c r="F133">
        <f>IF($E133="","",NotionalForDelta($E133,$G133,$H133,$I133,$K133,$L133,$N133,$O133,$P133,$T133,RealTime!$A$2:$B$43,TODAY()))</f>
        <v/>
      </c>
      <c r="Q133">
        <f>FairRate($G133,$H133,$I133,$K133,$L133,$N133,$O133,$P133,RealTime!$A$2:$B$43,TODAY())</f>
        <v/>
      </c>
      <c r="R133">
        <f>IF(ISNUMBER(Q132),Q133-Q132,"")</f>
        <v/>
      </c>
      <c r="S133">
        <f>IF(AND(ISNUMBER(Q132),ISNUMBER(Q134)),2*Q133-Q132-Q134,"")</f>
        <v/>
      </c>
      <c r="U133">
        <f>SwapPV($G133,$H133,$I133,$K133,$L133,$N133,$O133,$P133,$D133,$T133,$J133,RealTime!$A$2:$B$43,TODAY())</f>
        <v/>
      </c>
      <c r="V133">
        <f>SwapDelta($G133,$H133,$I133,$K133,$L133,$N133,$O133,$P133,$D133,$T133,$J133,RealTime!$A$2:$B$43,TODAY())</f>
        <v/>
      </c>
      <c r="W133">
        <f>SwapAnnuityDelta($G133,$H133,$I133,$K133,$L133,$N133,$O133,$P133,$D133,$T133,RealTime!$A$2:$B$43,TODAY())</f>
        <v/>
      </c>
      <c r="Z133">
        <f>IF($B133=1,BucketedDelta($G133,$H133,$I133,$K133,$L133,$N133,$O133,$P133,$D133,$T133,$J133,RealTime!$A$2:$B$43,TODAY(),FALSE),"")</f>
        <v/>
      </c>
    </row>
    <row r="134">
      <c r="F134">
        <f>IF($E134="","",NotionalForDelta($E134,$G134,$H134,$I134,$K134,$L134,$N134,$O134,$P134,$T134,RealTime!$A$2:$B$43,TODAY()))</f>
        <v/>
      </c>
      <c r="Q134">
        <f>FairRate($G134,$H134,$I134,$K134,$L134,$N134,$O134,$P134,RealTime!$A$2:$B$43,TODAY())</f>
        <v/>
      </c>
      <c r="R134">
        <f>IF(ISNUMBER(Q133),Q134-Q133,"")</f>
        <v/>
      </c>
      <c r="S134">
        <f>IF(AND(ISNUMBER(Q133),ISNUMBER(Q135)),2*Q134-Q133-Q135,"")</f>
        <v/>
      </c>
      <c r="U134">
        <f>SwapPV($G134,$H134,$I134,$K134,$L134,$N134,$O134,$P134,$D134,$T134,$J134,RealTime!$A$2:$B$43,TODAY())</f>
        <v/>
      </c>
      <c r="V134">
        <f>SwapDelta($G134,$H134,$I134,$K134,$L134,$N134,$O134,$P134,$D134,$T134,$J134,RealTime!$A$2:$B$43,TODAY())</f>
        <v/>
      </c>
      <c r="W134">
        <f>SwapAnnuityDelta($G134,$H134,$I134,$K134,$L134,$N134,$O134,$P134,$D134,$T134,RealTime!$A$2:$B$43,TODAY())</f>
        <v/>
      </c>
      <c r="Z134">
        <f>IF($B134=1,BucketedDelta($G134,$H134,$I134,$K134,$L134,$N134,$O134,$P134,$D134,$T134,$J134,RealTime!$A$2:$B$43,TODAY(),FALSE),"")</f>
        <v/>
      </c>
    </row>
    <row r="135">
      <c r="F135">
        <f>IF($E135="","",NotionalForDelta($E135,$G135,$H135,$I135,$K135,$L135,$N135,$O135,$P135,$T135,RealTime!$A$2:$B$43,TODAY()))</f>
        <v/>
      </c>
      <c r="Q135">
        <f>FairRate($G135,$H135,$I135,$K135,$L135,$N135,$O135,$P135,RealTime!$A$2:$B$43,TODAY())</f>
        <v/>
      </c>
      <c r="R135">
        <f>IF(ISNUMBER(Q134),Q135-Q134,"")</f>
        <v/>
      </c>
      <c r="S135">
        <f>IF(AND(ISNUMBER(Q134),ISNUMBER(Q136)),2*Q135-Q134-Q136,"")</f>
        <v/>
      </c>
      <c r="U135">
        <f>SwapPV($G135,$H135,$I135,$K135,$L135,$N135,$O135,$P135,$D135,$T135,$J135,RealTime!$A$2:$B$43,TODAY())</f>
        <v/>
      </c>
      <c r="V135">
        <f>SwapDelta($G135,$H135,$I135,$K135,$L135,$N135,$O135,$P135,$D135,$T135,$J135,RealTime!$A$2:$B$43,TODAY())</f>
        <v/>
      </c>
      <c r="W135">
        <f>SwapAnnuityDelta($G135,$H135,$I135,$K135,$L135,$N135,$O135,$P135,$D135,$T135,RealTime!$A$2:$B$43,TODAY())</f>
        <v/>
      </c>
      <c r="Z135">
        <f>IF($B135=1,BucketedDelta($G135,$H135,$I135,$K135,$L135,$N135,$O135,$P135,$D135,$T135,$J135,RealTime!$A$2:$B$43,TODAY(),FALSE),"")</f>
        <v/>
      </c>
    </row>
    <row r="136">
      <c r="F136">
        <f>IF($E136="","",NotionalForDelta($E136,$G136,$H136,$I136,$K136,$L136,$N136,$O136,$P136,$T136,RealTime!$A$2:$B$43,TODAY()))</f>
        <v/>
      </c>
      <c r="Q136">
        <f>FairRate($G136,$H136,$I136,$K136,$L136,$N136,$O136,$P136,RealTime!$A$2:$B$43,TODAY())</f>
        <v/>
      </c>
      <c r="R136">
        <f>IF(ISNUMBER(Q135),Q136-Q135,"")</f>
        <v/>
      </c>
      <c r="S136">
        <f>IF(AND(ISNUMBER(Q135),ISNUMBER(Q137)),2*Q136-Q135-Q137,"")</f>
        <v/>
      </c>
      <c r="U136">
        <f>SwapPV($G136,$H136,$I136,$K136,$L136,$N136,$O136,$P136,$D136,$T136,$J136,RealTime!$A$2:$B$43,TODAY())</f>
        <v/>
      </c>
      <c r="V136">
        <f>SwapDelta($G136,$H136,$I136,$K136,$L136,$N136,$O136,$P136,$D136,$T136,$J136,RealTime!$A$2:$B$43,TODAY())</f>
        <v/>
      </c>
      <c r="W136">
        <f>SwapAnnuityDelta($G136,$H136,$I136,$K136,$L136,$N136,$O136,$P136,$D136,$T136,RealTime!$A$2:$B$43,TODAY())</f>
        <v/>
      </c>
      <c r="Z136">
        <f>IF($B136=1,BucketedDelta($G136,$H136,$I136,$K136,$L136,$N136,$O136,$P136,$D136,$T136,$J136,RealTime!$A$2:$B$43,TODAY(),FALSE),"")</f>
        <v/>
      </c>
    </row>
    <row r="137">
      <c r="F137">
        <f>IF($E137="","",NotionalForDelta($E137,$G137,$H137,$I137,$K137,$L137,$N137,$O137,$P137,$T137,RealTime!$A$2:$B$43,TODAY()))</f>
        <v/>
      </c>
      <c r="Q137">
        <f>FairRate($G137,$H137,$I137,$K137,$L137,$N137,$O137,$P137,RealTime!$A$2:$B$43,TODAY())</f>
        <v/>
      </c>
      <c r="R137">
        <f>IF(ISNUMBER(Q136),Q137-Q136,"")</f>
        <v/>
      </c>
      <c r="S137">
        <f>IF(AND(ISNUMBER(Q136),ISNUMBER(Q138)),2*Q137-Q136-Q138,"")</f>
        <v/>
      </c>
      <c r="U137">
        <f>SwapPV($G137,$H137,$I137,$K137,$L137,$N137,$O137,$P137,$D137,$T137,$J137,RealTime!$A$2:$B$43,TODAY())</f>
        <v/>
      </c>
      <c r="V137">
        <f>SwapDelta($G137,$H137,$I137,$K137,$L137,$N137,$O137,$P137,$D137,$T137,$J137,RealTime!$A$2:$B$43,TODAY())</f>
        <v/>
      </c>
      <c r="W137">
        <f>SwapAnnuityDelta($G137,$H137,$I137,$K137,$L137,$N137,$O137,$P137,$D137,$T137,RealTime!$A$2:$B$43,TODAY())</f>
        <v/>
      </c>
      <c r="Z137">
        <f>IF($B137=1,BucketedDelta($G137,$H137,$I137,$K137,$L137,$N137,$O137,$P137,$D137,$T137,$J137,RealTime!$A$2:$B$43,TODAY(),FALSE),"")</f>
        <v/>
      </c>
    </row>
    <row r="138">
      <c r="F138">
        <f>IF($E138="","",NotionalForDelta($E138,$G138,$H138,$I138,$K138,$L138,$N138,$O138,$P138,$T138,RealTime!$A$2:$B$43,TODAY()))</f>
        <v/>
      </c>
      <c r="Q138">
        <f>FairRate($G138,$H138,$I138,$K138,$L138,$N138,$O138,$P138,RealTime!$A$2:$B$43,TODAY())</f>
        <v/>
      </c>
      <c r="R138">
        <f>IF(ISNUMBER(Q137),Q138-Q137,"")</f>
        <v/>
      </c>
      <c r="S138">
        <f>IF(AND(ISNUMBER(Q137),ISNUMBER(Q139)),2*Q138-Q137-Q139,"")</f>
        <v/>
      </c>
      <c r="U138">
        <f>SwapPV($G138,$H138,$I138,$K138,$L138,$N138,$O138,$P138,$D138,$T138,$J138,RealTime!$A$2:$B$43,TODAY())</f>
        <v/>
      </c>
      <c r="V138">
        <f>SwapDelta($G138,$H138,$I138,$K138,$L138,$N138,$O138,$P138,$D138,$T138,$J138,RealTime!$A$2:$B$43,TODAY())</f>
        <v/>
      </c>
      <c r="W138">
        <f>SwapAnnuityDelta($G138,$H138,$I138,$K138,$L138,$N138,$O138,$P138,$D138,$T138,RealTime!$A$2:$B$43,TODAY())</f>
        <v/>
      </c>
      <c r="Z138">
        <f>IF($B138=1,BucketedDelta($G138,$H138,$I138,$K138,$L138,$N138,$O138,$P138,$D138,$T138,$J138,RealTime!$A$2:$B$43,TODAY(),FALSE),"")</f>
        <v/>
      </c>
    </row>
    <row r="139">
      <c r="F139">
        <f>IF($E139="","",NotionalForDelta($E139,$G139,$H139,$I139,$K139,$L139,$N139,$O139,$P139,$T139,RealTime!$A$2:$B$43,TODAY()))</f>
        <v/>
      </c>
      <c r="Q139">
        <f>FairRate($G139,$H139,$I139,$K139,$L139,$N139,$O139,$P139,RealTime!$A$2:$B$43,TODAY())</f>
        <v/>
      </c>
      <c r="R139">
        <f>IF(ISNUMBER(Q138),Q139-Q138,"")</f>
        <v/>
      </c>
      <c r="S139">
        <f>IF(AND(ISNUMBER(Q138),ISNUMBER(Q140)),2*Q139-Q138-Q140,"")</f>
        <v/>
      </c>
      <c r="U139">
        <f>SwapPV($G139,$H139,$I139,$K139,$L139,$N139,$O139,$P139,$D139,$T139,$J139,RealTime!$A$2:$B$43,TODAY())</f>
        <v/>
      </c>
      <c r="V139">
        <f>SwapDelta($G139,$H139,$I139,$K139,$L139,$N139,$O139,$P139,$D139,$T139,$J139,RealTime!$A$2:$B$43,TODAY())</f>
        <v/>
      </c>
      <c r="W139">
        <f>SwapAnnuityDelta($G139,$H139,$I139,$K139,$L139,$N139,$O139,$P139,$D139,$T139,RealTime!$A$2:$B$43,TODAY())</f>
        <v/>
      </c>
      <c r="Z139">
        <f>IF($B139=1,BucketedDelta($G139,$H139,$I139,$K139,$L139,$N139,$O139,$P139,$D139,$T139,$J139,RealTime!$A$2:$B$43,TODAY(),FALSE),"")</f>
        <v/>
      </c>
    </row>
    <row r="140">
      <c r="F140">
        <f>IF($E140="","",NotionalForDelta($E140,$G140,$H140,$I140,$K140,$L140,$N140,$O140,$P140,$T140,RealTime!$A$2:$B$43,TODAY()))</f>
        <v/>
      </c>
      <c r="Q140">
        <f>FairRate($G140,$H140,$I140,$K140,$L140,$N140,$O140,$P140,RealTime!$A$2:$B$43,TODAY())</f>
        <v/>
      </c>
      <c r="R140">
        <f>IF(ISNUMBER(Q139),Q140-Q139,"")</f>
        <v/>
      </c>
      <c r="S140">
        <f>IF(AND(ISNUMBER(Q139),ISNUMBER(Q141)),2*Q140-Q139-Q141,"")</f>
        <v/>
      </c>
      <c r="U140">
        <f>SwapPV($G140,$H140,$I140,$K140,$L140,$N140,$O140,$P140,$D140,$T140,$J140,RealTime!$A$2:$B$43,TODAY())</f>
        <v/>
      </c>
      <c r="V140">
        <f>SwapDelta($G140,$H140,$I140,$K140,$L140,$N140,$O140,$P140,$D140,$T140,$J140,RealTime!$A$2:$B$43,TODAY())</f>
        <v/>
      </c>
      <c r="W140">
        <f>SwapAnnuityDelta($G140,$H140,$I140,$K140,$L140,$N140,$O140,$P140,$D140,$T140,RealTime!$A$2:$B$43,TODAY())</f>
        <v/>
      </c>
      <c r="Z140">
        <f>IF($B140=1,BucketedDelta($G140,$H140,$I140,$K140,$L140,$N140,$O140,$P140,$D140,$T140,$J140,RealTime!$A$2:$B$43,TODAY(),FALSE),"")</f>
        <v/>
      </c>
    </row>
    <row r="141">
      <c r="F141">
        <f>IF($E141="","",NotionalForDelta($E141,$G141,$H141,$I141,$K141,$L141,$N141,$O141,$P141,$T141,RealTime!$A$2:$B$43,TODAY()))</f>
        <v/>
      </c>
      <c r="Q141">
        <f>FairRate($G141,$H141,$I141,$K141,$L141,$N141,$O141,$P141,RealTime!$A$2:$B$43,TODAY())</f>
        <v/>
      </c>
      <c r="R141">
        <f>IF(ISNUMBER(Q140),Q141-Q140,"")</f>
        <v/>
      </c>
      <c r="S141">
        <f>IF(AND(ISNUMBER(Q140),ISNUMBER(Q142)),2*Q141-Q140-Q142,"")</f>
        <v/>
      </c>
      <c r="U141">
        <f>SwapPV($G141,$H141,$I141,$K141,$L141,$N141,$O141,$P141,$D141,$T141,$J141,RealTime!$A$2:$B$43,TODAY())</f>
        <v/>
      </c>
      <c r="V141">
        <f>SwapDelta($G141,$H141,$I141,$K141,$L141,$N141,$O141,$P141,$D141,$T141,$J141,RealTime!$A$2:$B$43,TODAY())</f>
        <v/>
      </c>
      <c r="W141">
        <f>SwapAnnuityDelta($G141,$H141,$I141,$K141,$L141,$N141,$O141,$P141,$D141,$T141,RealTime!$A$2:$B$43,TODAY())</f>
        <v/>
      </c>
      <c r="Z141">
        <f>IF($B141=1,BucketedDelta($G141,$H141,$I141,$K141,$L141,$N141,$O141,$P141,$D141,$T141,$J141,RealTime!$A$2:$B$43,TODAY(),FALSE),"")</f>
        <v/>
      </c>
    </row>
    <row r="142">
      <c r="F142">
        <f>IF($E142="","",NotionalForDelta($E142,$G142,$H142,$I142,$K142,$L142,$N142,$O142,$P142,$T142,RealTime!$A$2:$B$43,TODAY()))</f>
        <v/>
      </c>
      <c r="Q142">
        <f>FairRate($G142,$H142,$I142,$K142,$L142,$N142,$O142,$P142,RealTime!$A$2:$B$43,TODAY())</f>
        <v/>
      </c>
      <c r="R142">
        <f>IF(ISNUMBER(Q141),Q142-Q141,"")</f>
        <v/>
      </c>
      <c r="S142">
        <f>IF(AND(ISNUMBER(Q141),ISNUMBER(Q143)),2*Q142-Q141-Q143,"")</f>
        <v/>
      </c>
      <c r="U142">
        <f>SwapPV($G142,$H142,$I142,$K142,$L142,$N142,$O142,$P142,$D142,$T142,$J142,RealTime!$A$2:$B$43,TODAY())</f>
        <v/>
      </c>
      <c r="V142">
        <f>SwapDelta($G142,$H142,$I142,$K142,$L142,$N142,$O142,$P142,$D142,$T142,$J142,RealTime!$A$2:$B$43,TODAY())</f>
        <v/>
      </c>
      <c r="W142">
        <f>SwapAnnuityDelta($G142,$H142,$I142,$K142,$L142,$N142,$O142,$P142,$D142,$T142,RealTime!$A$2:$B$43,TODAY())</f>
        <v/>
      </c>
      <c r="Z142">
        <f>IF($B142=1,BucketedDelta($G142,$H142,$I142,$K142,$L142,$N142,$O142,$P142,$D142,$T142,$J142,RealTime!$A$2:$B$43,TODAY(),FALSE),"")</f>
        <v/>
      </c>
    </row>
    <row r="143">
      <c r="F143">
        <f>IF($E143="","",NotionalForDelta($E143,$G143,$H143,$I143,$K143,$L143,$N143,$O143,$P143,$T143,RealTime!$A$2:$B$43,TODAY()))</f>
        <v/>
      </c>
      <c r="Q143">
        <f>FairRate($G143,$H143,$I143,$K143,$L143,$N143,$O143,$P143,RealTime!$A$2:$B$43,TODAY())</f>
        <v/>
      </c>
      <c r="R143">
        <f>IF(ISNUMBER(Q142),Q143-Q142,"")</f>
        <v/>
      </c>
      <c r="S143">
        <f>IF(AND(ISNUMBER(Q142),ISNUMBER(Q144)),2*Q143-Q142-Q144,"")</f>
        <v/>
      </c>
      <c r="U143">
        <f>SwapPV($G143,$H143,$I143,$K143,$L143,$N143,$O143,$P143,$D143,$T143,$J143,RealTime!$A$2:$B$43,TODAY())</f>
        <v/>
      </c>
      <c r="V143">
        <f>SwapDelta($G143,$H143,$I143,$K143,$L143,$N143,$O143,$P143,$D143,$T143,$J143,RealTime!$A$2:$B$43,TODAY())</f>
        <v/>
      </c>
      <c r="W143">
        <f>SwapAnnuityDelta($G143,$H143,$I143,$K143,$L143,$N143,$O143,$P143,$D143,$T143,RealTime!$A$2:$B$43,TODAY())</f>
        <v/>
      </c>
      <c r="Z143">
        <f>IF($B143=1,BucketedDelta($G143,$H143,$I143,$K143,$L143,$N143,$O143,$P143,$D143,$T143,$J143,RealTime!$A$2:$B$43,TODAY(),FALSE),"")</f>
        <v/>
      </c>
    </row>
    <row r="144">
      <c r="F144">
        <f>IF($E144="","",NotionalForDelta($E144,$G144,$H144,$I144,$K144,$L144,$N144,$O144,$P144,$T144,RealTime!$A$2:$B$43,TODAY()))</f>
        <v/>
      </c>
      <c r="Q144">
        <f>FairRate($G144,$H144,$I144,$K144,$L144,$N144,$O144,$P144,RealTime!$A$2:$B$43,TODAY())</f>
        <v/>
      </c>
      <c r="R144">
        <f>IF(ISNUMBER(Q143),Q144-Q143,"")</f>
        <v/>
      </c>
      <c r="S144">
        <f>IF(AND(ISNUMBER(Q143),ISNUMBER(Q145)),2*Q144-Q143-Q145,"")</f>
        <v/>
      </c>
      <c r="U144">
        <f>SwapPV($G144,$H144,$I144,$K144,$L144,$N144,$O144,$P144,$D144,$T144,$J144,RealTime!$A$2:$B$43,TODAY())</f>
        <v/>
      </c>
      <c r="V144">
        <f>SwapDelta($G144,$H144,$I144,$K144,$L144,$N144,$O144,$P144,$D144,$T144,$J144,RealTime!$A$2:$B$43,TODAY())</f>
        <v/>
      </c>
      <c r="W144">
        <f>SwapAnnuityDelta($G144,$H144,$I144,$K144,$L144,$N144,$O144,$P144,$D144,$T144,RealTime!$A$2:$B$43,TODAY())</f>
        <v/>
      </c>
      <c r="Z144">
        <f>IF($B144=1,BucketedDelta($G144,$H144,$I144,$K144,$L144,$N144,$O144,$P144,$D144,$T144,$J144,RealTime!$A$2:$B$43,TODAY(),FALSE),"")</f>
        <v/>
      </c>
    </row>
    <row r="145">
      <c r="F145">
        <f>IF($E145="","",NotionalForDelta($E145,$G145,$H145,$I145,$K145,$L145,$N145,$O145,$P145,$T145,RealTime!$A$2:$B$43,TODAY()))</f>
        <v/>
      </c>
      <c r="Q145">
        <f>FairRate($G145,$H145,$I145,$K145,$L145,$N145,$O145,$P145,RealTime!$A$2:$B$43,TODAY())</f>
        <v/>
      </c>
      <c r="R145">
        <f>IF(ISNUMBER(Q144),Q145-Q144,"")</f>
        <v/>
      </c>
      <c r="S145">
        <f>IF(AND(ISNUMBER(Q144),ISNUMBER(Q146)),2*Q145-Q144-Q146,"")</f>
        <v/>
      </c>
      <c r="U145">
        <f>SwapPV($G145,$H145,$I145,$K145,$L145,$N145,$O145,$P145,$D145,$T145,$J145,RealTime!$A$2:$B$43,TODAY())</f>
        <v/>
      </c>
      <c r="V145">
        <f>SwapDelta($G145,$H145,$I145,$K145,$L145,$N145,$O145,$P145,$D145,$T145,$J145,RealTime!$A$2:$B$43,TODAY())</f>
        <v/>
      </c>
      <c r="W145">
        <f>SwapAnnuityDelta($G145,$H145,$I145,$K145,$L145,$N145,$O145,$P145,$D145,$T145,RealTime!$A$2:$B$43,TODAY())</f>
        <v/>
      </c>
      <c r="Z145">
        <f>IF($B145=1,BucketedDelta($G145,$H145,$I145,$K145,$L145,$N145,$O145,$P145,$D145,$T145,$J145,RealTime!$A$2:$B$43,TODAY(),FALSE),"")</f>
        <v/>
      </c>
    </row>
    <row r="146">
      <c r="F146">
        <f>IF($E146="","",NotionalForDelta($E146,$G146,$H146,$I146,$K146,$L146,$N146,$O146,$P146,$T146,RealTime!$A$2:$B$43,TODAY()))</f>
        <v/>
      </c>
      <c r="Q146">
        <f>FairRate($G146,$H146,$I146,$K146,$L146,$N146,$O146,$P146,RealTime!$A$2:$B$43,TODAY())</f>
        <v/>
      </c>
      <c r="R146">
        <f>IF(ISNUMBER(Q145),Q146-Q145,"")</f>
        <v/>
      </c>
      <c r="S146">
        <f>IF(AND(ISNUMBER(Q145),ISNUMBER(Q147)),2*Q146-Q145-Q147,"")</f>
        <v/>
      </c>
      <c r="U146">
        <f>SwapPV($G146,$H146,$I146,$K146,$L146,$N146,$O146,$P146,$D146,$T146,$J146,RealTime!$A$2:$B$43,TODAY())</f>
        <v/>
      </c>
      <c r="V146">
        <f>SwapDelta($G146,$H146,$I146,$K146,$L146,$N146,$O146,$P146,$D146,$T146,$J146,RealTime!$A$2:$B$43,TODAY())</f>
        <v/>
      </c>
      <c r="W146">
        <f>SwapAnnuityDelta($G146,$H146,$I146,$K146,$L146,$N146,$O146,$P146,$D146,$T146,RealTime!$A$2:$B$43,TODAY())</f>
        <v/>
      </c>
      <c r="Z146">
        <f>IF($B146=1,BucketedDelta($G146,$H146,$I146,$K146,$L146,$N146,$O146,$P146,$D146,$T146,$J146,RealTime!$A$2:$B$43,TODAY(),FALSE),"")</f>
        <v/>
      </c>
    </row>
    <row r="147">
      <c r="F147">
        <f>IF($E147="","",NotionalForDelta($E147,$G147,$H147,$I147,$K147,$L147,$N147,$O147,$P147,$T147,RealTime!$A$2:$B$43,TODAY()))</f>
        <v/>
      </c>
      <c r="Q147">
        <f>FairRate($G147,$H147,$I147,$K147,$L147,$N147,$O147,$P147,RealTime!$A$2:$B$43,TODAY())</f>
        <v/>
      </c>
      <c r="R147">
        <f>IF(ISNUMBER(Q146),Q147-Q146,"")</f>
        <v/>
      </c>
      <c r="S147">
        <f>IF(AND(ISNUMBER(Q146),ISNUMBER(Q148)),2*Q147-Q146-Q148,"")</f>
        <v/>
      </c>
      <c r="U147">
        <f>SwapPV($G147,$H147,$I147,$K147,$L147,$N147,$O147,$P147,$D147,$T147,$J147,RealTime!$A$2:$B$43,TODAY())</f>
        <v/>
      </c>
      <c r="V147">
        <f>SwapDelta($G147,$H147,$I147,$K147,$L147,$N147,$O147,$P147,$D147,$T147,$J147,RealTime!$A$2:$B$43,TODAY())</f>
        <v/>
      </c>
      <c r="W147">
        <f>SwapAnnuityDelta($G147,$H147,$I147,$K147,$L147,$N147,$O147,$P147,$D147,$T147,RealTime!$A$2:$B$43,TODAY())</f>
        <v/>
      </c>
      <c r="Z147">
        <f>IF($B147=1,BucketedDelta($G147,$H147,$I147,$K147,$L147,$N147,$O147,$P147,$D147,$T147,$J147,RealTime!$A$2:$B$43,TODAY(),FALSE),"")</f>
        <v/>
      </c>
    </row>
    <row r="148">
      <c r="F148">
        <f>IF($E148="","",NotionalForDelta($E148,$G148,$H148,$I148,$K148,$L148,$N148,$O148,$P148,$T148,RealTime!$A$2:$B$43,TODAY()))</f>
        <v/>
      </c>
      <c r="Q148">
        <f>FairRate($G148,$H148,$I148,$K148,$L148,$N148,$O148,$P148,RealTime!$A$2:$B$43,TODAY())</f>
        <v/>
      </c>
      <c r="R148">
        <f>IF(ISNUMBER(Q147),Q148-Q147,"")</f>
        <v/>
      </c>
      <c r="S148">
        <f>IF(AND(ISNUMBER(Q147),ISNUMBER(Q149)),2*Q148-Q147-Q149,"")</f>
        <v/>
      </c>
      <c r="U148">
        <f>SwapPV($G148,$H148,$I148,$K148,$L148,$N148,$O148,$P148,$D148,$T148,$J148,RealTime!$A$2:$B$43,TODAY())</f>
        <v/>
      </c>
      <c r="V148">
        <f>SwapDelta($G148,$H148,$I148,$K148,$L148,$N148,$O148,$P148,$D148,$T148,$J148,RealTime!$A$2:$B$43,TODAY())</f>
        <v/>
      </c>
      <c r="W148">
        <f>SwapAnnuityDelta($G148,$H148,$I148,$K148,$L148,$N148,$O148,$P148,$D148,$T148,RealTime!$A$2:$B$43,TODAY())</f>
        <v/>
      </c>
      <c r="Z148">
        <f>IF($B148=1,BucketedDelta($G148,$H148,$I148,$K148,$L148,$N148,$O148,$P148,$D148,$T148,$J148,RealTime!$A$2:$B$43,TODAY(),FALSE),"")</f>
        <v/>
      </c>
    </row>
    <row r="149">
      <c r="F149">
        <f>IF($E149="","",NotionalForDelta($E149,$G149,$H149,$I149,$K149,$L149,$N149,$O149,$P149,$T149,RealTime!$A$2:$B$43,TODAY()))</f>
        <v/>
      </c>
      <c r="Q149">
        <f>FairRate($G149,$H149,$I149,$K149,$L149,$N149,$O149,$P149,RealTime!$A$2:$B$43,TODAY())</f>
        <v/>
      </c>
      <c r="R149">
        <f>IF(ISNUMBER(Q148),Q149-Q148,"")</f>
        <v/>
      </c>
      <c r="S149">
        <f>IF(AND(ISNUMBER(Q148),ISNUMBER(Q150)),2*Q149-Q148-Q150,"")</f>
        <v/>
      </c>
      <c r="U149">
        <f>SwapPV($G149,$H149,$I149,$K149,$L149,$N149,$O149,$P149,$D149,$T149,$J149,RealTime!$A$2:$B$43,TODAY())</f>
        <v/>
      </c>
      <c r="V149">
        <f>SwapDelta($G149,$H149,$I149,$K149,$L149,$N149,$O149,$P149,$D149,$T149,$J149,RealTime!$A$2:$B$43,TODAY())</f>
        <v/>
      </c>
      <c r="W149">
        <f>SwapAnnuityDelta($G149,$H149,$I149,$K149,$L149,$N149,$O149,$P149,$D149,$T149,RealTime!$A$2:$B$43,TODAY())</f>
        <v/>
      </c>
      <c r="Z149">
        <f>IF($B149=1,BucketedDelta($G149,$H149,$I149,$K149,$L149,$N149,$O149,$P149,$D149,$T149,$J149,RealTime!$A$2:$B$43,TODAY(),FALSE),"")</f>
        <v/>
      </c>
    </row>
    <row r="150">
      <c r="F150">
        <f>IF($E150="","",NotionalForDelta($E150,$G150,$H150,$I150,$K150,$L150,$N150,$O150,$P150,$T150,RealTime!$A$2:$B$43,TODAY()))</f>
        <v/>
      </c>
      <c r="Q150">
        <f>FairRate($G150,$H150,$I150,$K150,$L150,$N150,$O150,$P150,RealTime!$A$2:$B$43,TODAY())</f>
        <v/>
      </c>
      <c r="R150">
        <f>IF(ISNUMBER(Q149),Q150-Q149,"")</f>
        <v/>
      </c>
      <c r="S150">
        <f>IF(AND(ISNUMBER(Q149),ISNUMBER(Q151)),2*Q150-Q149-Q151,"")</f>
        <v/>
      </c>
      <c r="U150">
        <f>SwapPV($G150,$H150,$I150,$K150,$L150,$N150,$O150,$P150,$D150,$T150,$J150,RealTime!$A$2:$B$43,TODAY())</f>
        <v/>
      </c>
      <c r="V150">
        <f>SwapDelta($G150,$H150,$I150,$K150,$L150,$N150,$O150,$P150,$D150,$T150,$J150,RealTime!$A$2:$B$43,TODAY())</f>
        <v/>
      </c>
      <c r="W150">
        <f>SwapAnnuityDelta($G150,$H150,$I150,$K150,$L150,$N150,$O150,$P150,$D150,$T150,RealTime!$A$2:$B$43,TODAY())</f>
        <v/>
      </c>
      <c r="Z150">
        <f>IF($B150=1,BucketedDelta($G150,$H150,$I150,$K150,$L150,$N150,$O150,$P150,$D150,$T150,$J150,RealTime!$A$2:$B$43,TODAY(),FALSE),"")</f>
        <v/>
      </c>
    </row>
    <row r="151">
      <c r="F151">
        <f>IF($E151="","",NotionalForDelta($E151,$G151,$H151,$I151,$K151,$L151,$N151,$O151,$P151,$T151,RealTime!$A$2:$B$43,TODAY()))</f>
        <v/>
      </c>
      <c r="Q151">
        <f>FairRate($G151,$H151,$I151,$K151,$L151,$N151,$O151,$P151,RealTime!$A$2:$B$43,TODAY())</f>
        <v/>
      </c>
      <c r="R151">
        <f>IF(ISNUMBER(Q150),Q151-Q150,"")</f>
        <v/>
      </c>
      <c r="S151">
        <f>IF(AND(ISNUMBER(Q150),ISNUMBER(Q152)),2*Q151-Q150-Q152,"")</f>
        <v/>
      </c>
      <c r="U151">
        <f>SwapPV($G151,$H151,$I151,$K151,$L151,$N151,$O151,$P151,$D151,$T151,$J151,RealTime!$A$2:$B$43,TODAY())</f>
        <v/>
      </c>
      <c r="V151">
        <f>SwapDelta($G151,$H151,$I151,$K151,$L151,$N151,$O151,$P151,$D151,$T151,$J151,RealTime!$A$2:$B$43,TODAY())</f>
        <v/>
      </c>
      <c r="W151">
        <f>SwapAnnuityDelta($G151,$H151,$I151,$K151,$L151,$N151,$O151,$P151,$D151,$T151,RealTime!$A$2:$B$43,TODAY())</f>
        <v/>
      </c>
      <c r="Z151">
        <f>IF($B151=1,BucketedDelta($G151,$H151,$I151,$K151,$L151,$N151,$O151,$P151,$D151,$T151,$J151,RealTime!$A$2:$B$43,TODAY(),FALSE),"")</f>
        <v/>
      </c>
    </row>
    <row r="152">
      <c r="F152">
        <f>IF($E152="","",NotionalForDelta($E152,$G152,$H152,$I152,$K152,$L152,$N152,$O152,$P152,$T152,RealTime!$A$2:$B$43,TODAY()))</f>
        <v/>
      </c>
      <c r="Q152">
        <f>FairRate($G152,$H152,$I152,$K152,$L152,$N152,$O152,$P152,RealTime!$A$2:$B$43,TODAY())</f>
        <v/>
      </c>
      <c r="R152">
        <f>IF(ISNUMBER(Q151),Q152-Q151,"")</f>
        <v/>
      </c>
      <c r="S152">
        <f>IF(AND(ISNUMBER(Q151),ISNUMBER(Q153)),2*Q152-Q151-Q153,"")</f>
        <v/>
      </c>
      <c r="U152">
        <f>SwapPV($G152,$H152,$I152,$K152,$L152,$N152,$O152,$P152,$D152,$T152,$J152,RealTime!$A$2:$B$43,TODAY())</f>
        <v/>
      </c>
      <c r="V152">
        <f>SwapDelta($G152,$H152,$I152,$K152,$L152,$N152,$O152,$P152,$D152,$T152,$J152,RealTime!$A$2:$B$43,TODAY())</f>
        <v/>
      </c>
      <c r="W152">
        <f>SwapAnnuityDelta($G152,$H152,$I152,$K152,$L152,$N152,$O152,$P152,$D152,$T152,RealTime!$A$2:$B$43,TODAY())</f>
        <v/>
      </c>
      <c r="Z152">
        <f>IF($B152=1,BucketedDelta($G152,$H152,$I152,$K152,$L152,$N152,$O152,$P152,$D152,$T152,$J152,RealTime!$A$2:$B$43,TODAY(),FALSE),"")</f>
        <v/>
      </c>
    </row>
    <row r="153">
      <c r="F153">
        <f>IF($E153="","",NotionalForDelta($E153,$G153,$H153,$I153,$K153,$L153,$N153,$O153,$P153,$T153,RealTime!$A$2:$B$43,TODAY()))</f>
        <v/>
      </c>
      <c r="Q153">
        <f>FairRate($G153,$H153,$I153,$K153,$L153,$N153,$O153,$P153,RealTime!$A$2:$B$43,TODAY())</f>
        <v/>
      </c>
      <c r="R153">
        <f>IF(ISNUMBER(Q152),Q153-Q152,"")</f>
        <v/>
      </c>
      <c r="S153">
        <f>IF(AND(ISNUMBER(Q152),ISNUMBER(Q154)),2*Q153-Q152-Q154,"")</f>
        <v/>
      </c>
      <c r="U153">
        <f>SwapPV($G153,$H153,$I153,$K153,$L153,$N153,$O153,$P153,$D153,$T153,$J153,RealTime!$A$2:$B$43,TODAY())</f>
        <v/>
      </c>
      <c r="V153">
        <f>SwapDelta($G153,$H153,$I153,$K153,$L153,$N153,$O153,$P153,$D153,$T153,$J153,RealTime!$A$2:$B$43,TODAY())</f>
        <v/>
      </c>
      <c r="W153">
        <f>SwapAnnuityDelta($G153,$H153,$I153,$K153,$L153,$N153,$O153,$P153,$D153,$T153,RealTime!$A$2:$B$43,TODAY())</f>
        <v/>
      </c>
      <c r="Z153">
        <f>IF($B153=1,BucketedDelta($G153,$H153,$I153,$K153,$L153,$N153,$O153,$P153,$D153,$T153,$J153,RealTime!$A$2:$B$43,TODAY(),FALSE),"")</f>
        <v/>
      </c>
    </row>
    <row r="154">
      <c r="F154">
        <f>IF($E154="","",NotionalForDelta($E154,$G154,$H154,$I154,$K154,$L154,$N154,$O154,$P154,$T154,RealTime!$A$2:$B$43,TODAY()))</f>
        <v/>
      </c>
      <c r="Q154">
        <f>FairRate($G154,$H154,$I154,$K154,$L154,$N154,$O154,$P154,RealTime!$A$2:$B$43,TODAY())</f>
        <v/>
      </c>
      <c r="R154">
        <f>IF(ISNUMBER(Q153),Q154-Q153,"")</f>
        <v/>
      </c>
      <c r="S154">
        <f>IF(AND(ISNUMBER(Q153),ISNUMBER(Q155)),2*Q154-Q153-Q155,"")</f>
        <v/>
      </c>
      <c r="U154">
        <f>SwapPV($G154,$H154,$I154,$K154,$L154,$N154,$O154,$P154,$D154,$T154,$J154,RealTime!$A$2:$B$43,TODAY())</f>
        <v/>
      </c>
      <c r="V154">
        <f>SwapDelta($G154,$H154,$I154,$K154,$L154,$N154,$O154,$P154,$D154,$T154,$J154,RealTime!$A$2:$B$43,TODAY())</f>
        <v/>
      </c>
      <c r="W154">
        <f>SwapAnnuityDelta($G154,$H154,$I154,$K154,$L154,$N154,$O154,$P154,$D154,$T154,RealTime!$A$2:$B$43,TODAY())</f>
        <v/>
      </c>
      <c r="Z154">
        <f>IF($B154=1,BucketedDelta($G154,$H154,$I154,$K154,$L154,$N154,$O154,$P154,$D154,$T154,$J154,RealTime!$A$2:$B$43,TODAY(),FALSE),"")</f>
        <v/>
      </c>
    </row>
    <row r="155">
      <c r="F155">
        <f>IF($E155="","",NotionalForDelta($E155,$G155,$H155,$I155,$K155,$L155,$N155,$O155,$P155,$T155,RealTime!$A$2:$B$43,TODAY()))</f>
        <v/>
      </c>
      <c r="Q155">
        <f>FairRate($G155,$H155,$I155,$K155,$L155,$N155,$O155,$P155,RealTime!$A$2:$B$43,TODAY())</f>
        <v/>
      </c>
      <c r="R155">
        <f>IF(ISNUMBER(Q154),Q155-Q154,"")</f>
        <v/>
      </c>
      <c r="S155">
        <f>IF(AND(ISNUMBER(Q154),ISNUMBER(Q156)),2*Q155-Q154-Q156,"")</f>
        <v/>
      </c>
      <c r="U155">
        <f>SwapPV($G155,$H155,$I155,$K155,$L155,$N155,$O155,$P155,$D155,$T155,$J155,RealTime!$A$2:$B$43,TODAY())</f>
        <v/>
      </c>
      <c r="V155">
        <f>SwapDelta($G155,$H155,$I155,$K155,$L155,$N155,$O155,$P155,$D155,$T155,$J155,RealTime!$A$2:$B$43,TODAY())</f>
        <v/>
      </c>
      <c r="W155">
        <f>SwapAnnuityDelta($G155,$H155,$I155,$K155,$L155,$N155,$O155,$P155,$D155,$T155,RealTime!$A$2:$B$43,TODAY())</f>
        <v/>
      </c>
      <c r="Z155">
        <f>IF($B155=1,BucketedDelta($G155,$H155,$I155,$K155,$L155,$N155,$O155,$P155,$D155,$T155,$J155,RealTime!$A$2:$B$43,TODAY(),FALSE),"")</f>
        <v/>
      </c>
    </row>
    <row r="156">
      <c r="F156">
        <f>IF($E156="","",NotionalForDelta($E156,$G156,$H156,$I156,$K156,$L156,$N156,$O156,$P156,$T156,RealTime!$A$2:$B$43,TODAY()))</f>
        <v/>
      </c>
      <c r="Q156">
        <f>FairRate($G156,$H156,$I156,$K156,$L156,$N156,$O156,$P156,RealTime!$A$2:$B$43,TODAY())</f>
        <v/>
      </c>
      <c r="R156">
        <f>IF(ISNUMBER(Q155),Q156-Q155,"")</f>
        <v/>
      </c>
      <c r="S156">
        <f>IF(AND(ISNUMBER(Q155),ISNUMBER(Q157)),2*Q156-Q155-Q157,"")</f>
        <v/>
      </c>
      <c r="U156">
        <f>SwapPV($G156,$H156,$I156,$K156,$L156,$N156,$O156,$P156,$D156,$T156,$J156,RealTime!$A$2:$B$43,TODAY())</f>
        <v/>
      </c>
      <c r="V156">
        <f>SwapDelta($G156,$H156,$I156,$K156,$L156,$N156,$O156,$P156,$D156,$T156,$J156,RealTime!$A$2:$B$43,TODAY())</f>
        <v/>
      </c>
      <c r="W156">
        <f>SwapAnnuityDelta($G156,$H156,$I156,$K156,$L156,$N156,$O156,$P156,$D156,$T156,RealTime!$A$2:$B$43,TODAY())</f>
        <v/>
      </c>
      <c r="Z156">
        <f>IF($B156=1,BucketedDelta($G156,$H156,$I156,$K156,$L156,$N156,$O156,$P156,$D156,$T156,$J156,RealTime!$A$2:$B$43,TODAY(),FALSE),"")</f>
        <v/>
      </c>
    </row>
    <row r="157">
      <c r="F157">
        <f>IF($E157="","",NotionalForDelta($E157,$G157,$H157,$I157,$K157,$L157,$N157,$O157,$P157,$T157,RealTime!$A$2:$B$43,TODAY()))</f>
        <v/>
      </c>
      <c r="Q157">
        <f>FairRate($G157,$H157,$I157,$K157,$L157,$N157,$O157,$P157,RealTime!$A$2:$B$43,TODAY())</f>
        <v/>
      </c>
      <c r="R157">
        <f>IF(ISNUMBER(Q156),Q157-Q156,"")</f>
        <v/>
      </c>
      <c r="S157">
        <f>IF(AND(ISNUMBER(Q156),ISNUMBER(Q158)),2*Q157-Q156-Q158,"")</f>
        <v/>
      </c>
      <c r="U157">
        <f>SwapPV($G157,$H157,$I157,$K157,$L157,$N157,$O157,$P157,$D157,$T157,$J157,RealTime!$A$2:$B$43,TODAY())</f>
        <v/>
      </c>
      <c r="V157">
        <f>SwapDelta($G157,$H157,$I157,$K157,$L157,$N157,$O157,$P157,$D157,$T157,$J157,RealTime!$A$2:$B$43,TODAY())</f>
        <v/>
      </c>
      <c r="W157">
        <f>SwapAnnuityDelta($G157,$H157,$I157,$K157,$L157,$N157,$O157,$P157,$D157,$T157,RealTime!$A$2:$B$43,TODAY())</f>
        <v/>
      </c>
      <c r="Z157">
        <f>IF($B157=1,BucketedDelta($G157,$H157,$I157,$K157,$L157,$N157,$O157,$P157,$D157,$T157,$J157,RealTime!$A$2:$B$43,TODAY(),FALSE),"")</f>
        <v/>
      </c>
    </row>
    <row r="158">
      <c r="F158">
        <f>IF($E158="","",NotionalForDelta($E158,$G158,$H158,$I158,$K158,$L158,$N158,$O158,$P158,$T158,RealTime!$A$2:$B$43,TODAY()))</f>
        <v/>
      </c>
      <c r="Q158">
        <f>FairRate($G158,$H158,$I158,$K158,$L158,$N158,$O158,$P158,RealTime!$A$2:$B$43,TODAY())</f>
        <v/>
      </c>
      <c r="R158">
        <f>IF(ISNUMBER(Q157),Q158-Q157,"")</f>
        <v/>
      </c>
      <c r="S158">
        <f>IF(AND(ISNUMBER(Q157),ISNUMBER(Q159)),2*Q158-Q157-Q159,"")</f>
        <v/>
      </c>
      <c r="U158">
        <f>SwapPV($G158,$H158,$I158,$K158,$L158,$N158,$O158,$P158,$D158,$T158,$J158,RealTime!$A$2:$B$43,TODAY())</f>
        <v/>
      </c>
      <c r="V158">
        <f>SwapDelta($G158,$H158,$I158,$K158,$L158,$N158,$O158,$P158,$D158,$T158,$J158,RealTime!$A$2:$B$43,TODAY())</f>
        <v/>
      </c>
      <c r="W158">
        <f>SwapAnnuityDelta($G158,$H158,$I158,$K158,$L158,$N158,$O158,$P158,$D158,$T158,RealTime!$A$2:$B$43,TODAY())</f>
        <v/>
      </c>
      <c r="Z158">
        <f>IF($B158=1,BucketedDelta($G158,$H158,$I158,$K158,$L158,$N158,$O158,$P158,$D158,$T158,$J158,RealTime!$A$2:$B$43,TODAY(),FALSE),"")</f>
        <v/>
      </c>
    </row>
    <row r="159">
      <c r="F159">
        <f>IF($E159="","",NotionalForDelta($E159,$G159,$H159,$I159,$K159,$L159,$N159,$O159,$P159,$T159,RealTime!$A$2:$B$43,TODAY()))</f>
        <v/>
      </c>
      <c r="Q159">
        <f>FairRate($G159,$H159,$I159,$K159,$L159,$N159,$O159,$P159,RealTime!$A$2:$B$43,TODAY())</f>
        <v/>
      </c>
      <c r="R159">
        <f>IF(ISNUMBER(Q158),Q159-Q158,"")</f>
        <v/>
      </c>
      <c r="S159">
        <f>IF(AND(ISNUMBER(Q158),ISNUMBER(Q160)),2*Q159-Q158-Q160,"")</f>
        <v/>
      </c>
      <c r="U159">
        <f>SwapPV($G159,$H159,$I159,$K159,$L159,$N159,$O159,$P159,$D159,$T159,$J159,RealTime!$A$2:$B$43,TODAY())</f>
        <v/>
      </c>
      <c r="V159">
        <f>SwapDelta($G159,$H159,$I159,$K159,$L159,$N159,$O159,$P159,$D159,$T159,$J159,RealTime!$A$2:$B$43,TODAY())</f>
        <v/>
      </c>
      <c r="W159">
        <f>SwapAnnuityDelta($G159,$H159,$I159,$K159,$L159,$N159,$O159,$P159,$D159,$T159,RealTime!$A$2:$B$43,TODAY())</f>
        <v/>
      </c>
      <c r="Z159">
        <f>IF($B159=1,BucketedDelta($G159,$H159,$I159,$K159,$L159,$N159,$O159,$P159,$D159,$T159,$J159,RealTime!$A$2:$B$43,TODAY(),FALSE),"")</f>
        <v/>
      </c>
    </row>
    <row r="160">
      <c r="F160">
        <f>IF($E160="","",NotionalForDelta($E160,$G160,$H160,$I160,$K160,$L160,$N160,$O160,$P160,$T160,RealTime!$A$2:$B$43,TODAY()))</f>
        <v/>
      </c>
      <c r="Q160">
        <f>FairRate($G160,$H160,$I160,$K160,$L160,$N160,$O160,$P160,RealTime!$A$2:$B$43,TODAY())</f>
        <v/>
      </c>
      <c r="R160">
        <f>IF(ISNUMBER(Q159),Q160-Q159,"")</f>
        <v/>
      </c>
      <c r="S160">
        <f>IF(AND(ISNUMBER(Q159),ISNUMBER(Q161)),2*Q160-Q159-Q161,"")</f>
        <v/>
      </c>
      <c r="U160">
        <f>SwapPV($G160,$H160,$I160,$K160,$L160,$N160,$O160,$P160,$D160,$T160,$J160,RealTime!$A$2:$B$43,TODAY())</f>
        <v/>
      </c>
      <c r="V160">
        <f>SwapDelta($G160,$H160,$I160,$K160,$L160,$N160,$O160,$P160,$D160,$T160,$J160,RealTime!$A$2:$B$43,TODAY())</f>
        <v/>
      </c>
      <c r="W160">
        <f>SwapAnnuityDelta($G160,$H160,$I160,$K160,$L160,$N160,$O160,$P160,$D160,$T160,RealTime!$A$2:$B$43,TODAY())</f>
        <v/>
      </c>
      <c r="Z160">
        <f>IF($B160=1,BucketedDelta($G160,$H160,$I160,$K160,$L160,$N160,$O160,$P160,$D160,$T160,$J160,RealTime!$A$2:$B$43,TODAY(),FALSE),"")</f>
        <v/>
      </c>
    </row>
    <row r="161">
      <c r="F161">
        <f>IF($E161="","",NotionalForDelta($E161,$G161,$H161,$I161,$K161,$L161,$N161,$O161,$P161,$T161,RealTime!$A$2:$B$43,TODAY()))</f>
        <v/>
      </c>
      <c r="Q161">
        <f>FairRate($G161,$H161,$I161,$K161,$L161,$N161,$O161,$P161,RealTime!$A$2:$B$43,TODAY())</f>
        <v/>
      </c>
      <c r="R161">
        <f>IF(ISNUMBER(Q160),Q161-Q160,"")</f>
        <v/>
      </c>
      <c r="S161">
        <f>IF(AND(ISNUMBER(Q160),ISNUMBER(Q162)),2*Q161-Q160-Q162,"")</f>
        <v/>
      </c>
      <c r="U161">
        <f>SwapPV($G161,$H161,$I161,$K161,$L161,$N161,$O161,$P161,$D161,$T161,$J161,RealTime!$A$2:$B$43,TODAY())</f>
        <v/>
      </c>
      <c r="V161">
        <f>SwapDelta($G161,$H161,$I161,$K161,$L161,$N161,$O161,$P161,$D161,$T161,$J161,RealTime!$A$2:$B$43,TODAY())</f>
        <v/>
      </c>
      <c r="W161">
        <f>SwapAnnuityDelta($G161,$H161,$I161,$K161,$L161,$N161,$O161,$P161,$D161,$T161,RealTime!$A$2:$B$43,TODAY())</f>
        <v/>
      </c>
      <c r="Z161">
        <f>IF($B161=1,BucketedDelta($G161,$H161,$I161,$K161,$L161,$N161,$O161,$P161,$D161,$T161,$J161,RealTime!$A$2:$B$43,TODAY(),FALSE),"")</f>
        <v/>
      </c>
    </row>
    <row r="162">
      <c r="F162">
        <f>IF($E162="","",NotionalForDelta($E162,$G162,$H162,$I162,$K162,$L162,$N162,$O162,$P162,$T162,RealTime!$A$2:$B$43,TODAY()))</f>
        <v/>
      </c>
      <c r="Q162">
        <f>FairRate($G162,$H162,$I162,$K162,$L162,$N162,$O162,$P162,RealTime!$A$2:$B$43,TODAY())</f>
        <v/>
      </c>
      <c r="R162">
        <f>IF(ISNUMBER(Q161),Q162-Q161,"")</f>
        <v/>
      </c>
      <c r="S162">
        <f>IF(AND(ISNUMBER(Q161),ISNUMBER(Q163)),2*Q162-Q161-Q163,"")</f>
        <v/>
      </c>
      <c r="U162">
        <f>SwapPV($G162,$H162,$I162,$K162,$L162,$N162,$O162,$P162,$D162,$T162,$J162,RealTime!$A$2:$B$43,TODAY())</f>
        <v/>
      </c>
      <c r="V162">
        <f>SwapDelta($G162,$H162,$I162,$K162,$L162,$N162,$O162,$P162,$D162,$T162,$J162,RealTime!$A$2:$B$43,TODAY())</f>
        <v/>
      </c>
      <c r="W162">
        <f>SwapAnnuityDelta($G162,$H162,$I162,$K162,$L162,$N162,$O162,$P162,$D162,$T162,RealTime!$A$2:$B$43,TODAY())</f>
        <v/>
      </c>
      <c r="Z162">
        <f>IF($B162=1,BucketedDelta($G162,$H162,$I162,$K162,$L162,$N162,$O162,$P162,$D162,$T162,$J162,RealTime!$A$2:$B$43,TODAY(),FALSE),"")</f>
        <v/>
      </c>
    </row>
    <row r="163">
      <c r="F163">
        <f>IF($E163="","",NotionalForDelta($E163,$G163,$H163,$I163,$K163,$L163,$N163,$O163,$P163,$T163,RealTime!$A$2:$B$43,TODAY()))</f>
        <v/>
      </c>
      <c r="Q163">
        <f>FairRate($G163,$H163,$I163,$K163,$L163,$N163,$O163,$P163,RealTime!$A$2:$B$43,TODAY())</f>
        <v/>
      </c>
      <c r="R163">
        <f>IF(ISNUMBER(Q162),Q163-Q162,"")</f>
        <v/>
      </c>
      <c r="S163">
        <f>IF(AND(ISNUMBER(Q162),ISNUMBER(Q164)),2*Q163-Q162-Q164,"")</f>
        <v/>
      </c>
      <c r="U163">
        <f>SwapPV($G163,$H163,$I163,$K163,$L163,$N163,$O163,$P163,$D163,$T163,$J163,RealTime!$A$2:$B$43,TODAY())</f>
        <v/>
      </c>
      <c r="V163">
        <f>SwapDelta($G163,$H163,$I163,$K163,$L163,$N163,$O163,$P163,$D163,$T163,$J163,RealTime!$A$2:$B$43,TODAY())</f>
        <v/>
      </c>
      <c r="W163">
        <f>SwapAnnuityDelta($G163,$H163,$I163,$K163,$L163,$N163,$O163,$P163,$D163,$T163,RealTime!$A$2:$B$43,TODAY())</f>
        <v/>
      </c>
      <c r="Z163">
        <f>IF($B163=1,BucketedDelta($G163,$H163,$I163,$K163,$L163,$N163,$O163,$P163,$D163,$T163,$J163,RealTime!$A$2:$B$43,TODAY(),FALSE),"")</f>
        <v/>
      </c>
    </row>
    <row r="164">
      <c r="F164">
        <f>IF($E164="","",NotionalForDelta($E164,$G164,$H164,$I164,$K164,$L164,$N164,$O164,$P164,$T164,RealTime!$A$2:$B$43,TODAY()))</f>
        <v/>
      </c>
      <c r="Q164">
        <f>FairRate($G164,$H164,$I164,$K164,$L164,$N164,$O164,$P164,RealTime!$A$2:$B$43,TODAY())</f>
        <v/>
      </c>
      <c r="R164">
        <f>IF(ISNUMBER(Q163),Q164-Q163,"")</f>
        <v/>
      </c>
      <c r="S164">
        <f>IF(AND(ISNUMBER(Q163),ISNUMBER(Q165)),2*Q164-Q163-Q165,"")</f>
        <v/>
      </c>
      <c r="U164">
        <f>SwapPV($G164,$H164,$I164,$K164,$L164,$N164,$O164,$P164,$D164,$T164,$J164,RealTime!$A$2:$B$43,TODAY())</f>
        <v/>
      </c>
      <c r="V164">
        <f>SwapDelta($G164,$H164,$I164,$K164,$L164,$N164,$O164,$P164,$D164,$T164,$J164,RealTime!$A$2:$B$43,TODAY())</f>
        <v/>
      </c>
      <c r="W164">
        <f>SwapAnnuityDelta($G164,$H164,$I164,$K164,$L164,$N164,$O164,$P164,$D164,$T164,RealTime!$A$2:$B$43,TODAY())</f>
        <v/>
      </c>
      <c r="Z164">
        <f>IF($B164=1,BucketedDelta($G164,$H164,$I164,$K164,$L164,$N164,$O164,$P164,$D164,$T164,$J164,RealTime!$A$2:$B$43,TODAY(),FALSE),"")</f>
        <v/>
      </c>
    </row>
    <row r="165">
      <c r="F165">
        <f>IF($E165="","",NotionalForDelta($E165,$G165,$H165,$I165,$K165,$L165,$N165,$O165,$P165,$T165,RealTime!$A$2:$B$43,TODAY()))</f>
        <v/>
      </c>
      <c r="Q165">
        <f>FairRate($G165,$H165,$I165,$K165,$L165,$N165,$O165,$P165,RealTime!$A$2:$B$43,TODAY())</f>
        <v/>
      </c>
      <c r="R165">
        <f>IF(ISNUMBER(Q164),Q165-Q164,"")</f>
        <v/>
      </c>
      <c r="S165">
        <f>IF(AND(ISNUMBER(Q164),ISNUMBER(Q166)),2*Q165-Q164-Q166,"")</f>
        <v/>
      </c>
      <c r="U165">
        <f>SwapPV($G165,$H165,$I165,$K165,$L165,$N165,$O165,$P165,$D165,$T165,$J165,RealTime!$A$2:$B$43,TODAY())</f>
        <v/>
      </c>
      <c r="V165">
        <f>SwapDelta($G165,$H165,$I165,$K165,$L165,$N165,$O165,$P165,$D165,$T165,$J165,RealTime!$A$2:$B$43,TODAY())</f>
        <v/>
      </c>
      <c r="W165">
        <f>SwapAnnuityDelta($G165,$H165,$I165,$K165,$L165,$N165,$O165,$P165,$D165,$T165,RealTime!$A$2:$B$43,TODAY())</f>
        <v/>
      </c>
      <c r="Z165">
        <f>IF($B165=1,BucketedDelta($G165,$H165,$I165,$K165,$L165,$N165,$O165,$P165,$D165,$T165,$J165,RealTime!$A$2:$B$43,TODAY(),FALSE),"")</f>
        <v/>
      </c>
    </row>
    <row r="166">
      <c r="F166">
        <f>IF($E166="","",NotionalForDelta($E166,$G166,$H166,$I166,$K166,$L166,$N166,$O166,$P166,$T166,RealTime!$A$2:$B$43,TODAY()))</f>
        <v/>
      </c>
      <c r="Q166">
        <f>FairRate($G166,$H166,$I166,$K166,$L166,$N166,$O166,$P166,RealTime!$A$2:$B$43,TODAY())</f>
        <v/>
      </c>
      <c r="R166">
        <f>IF(ISNUMBER(Q165),Q166-Q165,"")</f>
        <v/>
      </c>
      <c r="S166">
        <f>IF(AND(ISNUMBER(Q165),ISNUMBER(Q167)),2*Q166-Q165-Q167,"")</f>
        <v/>
      </c>
      <c r="U166">
        <f>SwapPV($G166,$H166,$I166,$K166,$L166,$N166,$O166,$P166,$D166,$T166,$J166,RealTime!$A$2:$B$43,TODAY())</f>
        <v/>
      </c>
      <c r="V166">
        <f>SwapDelta($G166,$H166,$I166,$K166,$L166,$N166,$O166,$P166,$D166,$T166,$J166,RealTime!$A$2:$B$43,TODAY())</f>
        <v/>
      </c>
      <c r="W166">
        <f>SwapAnnuityDelta($G166,$H166,$I166,$K166,$L166,$N166,$O166,$P166,$D166,$T166,RealTime!$A$2:$B$43,TODAY())</f>
        <v/>
      </c>
      <c r="Z166">
        <f>IF($B166=1,BucketedDelta($G166,$H166,$I166,$K166,$L166,$N166,$O166,$P166,$D166,$T166,$J166,RealTime!$A$2:$B$43,TODAY(),FALSE),"")</f>
        <v/>
      </c>
    </row>
    <row r="167">
      <c r="F167">
        <f>IF($E167="","",NotionalForDelta($E167,$G167,$H167,$I167,$K167,$L167,$N167,$O167,$P167,$T167,RealTime!$A$2:$B$43,TODAY()))</f>
        <v/>
      </c>
      <c r="Q167">
        <f>FairRate($G167,$H167,$I167,$K167,$L167,$N167,$O167,$P167,RealTime!$A$2:$B$43,TODAY())</f>
        <v/>
      </c>
      <c r="R167">
        <f>IF(ISNUMBER(Q166),Q167-Q166,"")</f>
        <v/>
      </c>
      <c r="S167">
        <f>IF(AND(ISNUMBER(Q166),ISNUMBER(Q168)),2*Q167-Q166-Q168,"")</f>
        <v/>
      </c>
      <c r="U167">
        <f>SwapPV($G167,$H167,$I167,$K167,$L167,$N167,$O167,$P167,$D167,$T167,$J167,RealTime!$A$2:$B$43,TODAY())</f>
        <v/>
      </c>
      <c r="V167">
        <f>SwapDelta($G167,$H167,$I167,$K167,$L167,$N167,$O167,$P167,$D167,$T167,$J167,RealTime!$A$2:$B$43,TODAY())</f>
        <v/>
      </c>
      <c r="W167">
        <f>SwapAnnuityDelta($G167,$H167,$I167,$K167,$L167,$N167,$O167,$P167,$D167,$T167,RealTime!$A$2:$B$43,TODAY())</f>
        <v/>
      </c>
      <c r="Z167">
        <f>IF($B167=1,BucketedDelta($G167,$H167,$I167,$K167,$L167,$N167,$O167,$P167,$D167,$T167,$J167,RealTime!$A$2:$B$43,TODAY(),FALSE),"")</f>
        <v/>
      </c>
    </row>
    <row r="168">
      <c r="F168">
        <f>IF($E168="","",NotionalForDelta($E168,$G168,$H168,$I168,$K168,$L168,$N168,$O168,$P168,$T168,RealTime!$A$2:$B$43,TODAY()))</f>
        <v/>
      </c>
      <c r="Q168">
        <f>FairRate($G168,$H168,$I168,$K168,$L168,$N168,$O168,$P168,RealTime!$A$2:$B$43,TODAY())</f>
        <v/>
      </c>
      <c r="R168">
        <f>IF(ISNUMBER(Q167),Q168-Q167,"")</f>
        <v/>
      </c>
      <c r="S168">
        <f>IF(AND(ISNUMBER(Q167),ISNUMBER(Q169)),2*Q168-Q167-Q169,"")</f>
        <v/>
      </c>
      <c r="U168">
        <f>SwapPV($G168,$H168,$I168,$K168,$L168,$N168,$O168,$P168,$D168,$T168,$J168,RealTime!$A$2:$B$43,TODAY())</f>
        <v/>
      </c>
      <c r="V168">
        <f>SwapDelta($G168,$H168,$I168,$K168,$L168,$N168,$O168,$P168,$D168,$T168,$J168,RealTime!$A$2:$B$43,TODAY())</f>
        <v/>
      </c>
      <c r="W168">
        <f>SwapAnnuityDelta($G168,$H168,$I168,$K168,$L168,$N168,$O168,$P168,$D168,$T168,RealTime!$A$2:$B$43,TODAY())</f>
        <v/>
      </c>
      <c r="Z168">
        <f>IF($B168=1,BucketedDelta($G168,$H168,$I168,$K168,$L168,$N168,$O168,$P168,$D168,$T168,$J168,RealTime!$A$2:$B$43,TODAY(),FALSE),"")</f>
        <v/>
      </c>
    </row>
    <row r="169">
      <c r="F169">
        <f>IF($E169="","",NotionalForDelta($E169,$G169,$H169,$I169,$K169,$L169,$N169,$O169,$P169,$T169,RealTime!$A$2:$B$43,TODAY()))</f>
        <v/>
      </c>
      <c r="Q169">
        <f>FairRate($G169,$H169,$I169,$K169,$L169,$N169,$O169,$P169,RealTime!$A$2:$B$43,TODAY())</f>
        <v/>
      </c>
      <c r="R169">
        <f>IF(ISNUMBER(Q168),Q169-Q168,"")</f>
        <v/>
      </c>
      <c r="S169">
        <f>IF(AND(ISNUMBER(Q168),ISNUMBER(Q170)),2*Q169-Q168-Q170,"")</f>
        <v/>
      </c>
      <c r="U169">
        <f>SwapPV($G169,$H169,$I169,$K169,$L169,$N169,$O169,$P169,$D169,$T169,$J169,RealTime!$A$2:$B$43,TODAY())</f>
        <v/>
      </c>
      <c r="V169">
        <f>SwapDelta($G169,$H169,$I169,$K169,$L169,$N169,$O169,$P169,$D169,$T169,$J169,RealTime!$A$2:$B$43,TODAY())</f>
        <v/>
      </c>
      <c r="W169">
        <f>SwapAnnuityDelta($G169,$H169,$I169,$K169,$L169,$N169,$O169,$P169,$D169,$T169,RealTime!$A$2:$B$43,TODAY())</f>
        <v/>
      </c>
      <c r="Z169">
        <f>IF($B169=1,BucketedDelta($G169,$H169,$I169,$K169,$L169,$N169,$O169,$P169,$D169,$T169,$J169,RealTime!$A$2:$B$43,TODAY(),FALSE),"")</f>
        <v/>
      </c>
    </row>
    <row r="170">
      <c r="F170">
        <f>IF($E170="","",NotionalForDelta($E170,$G170,$H170,$I170,$K170,$L170,$N170,$O170,$P170,$T170,RealTime!$A$2:$B$43,TODAY()))</f>
        <v/>
      </c>
      <c r="Q170">
        <f>FairRate($G170,$H170,$I170,$K170,$L170,$N170,$O170,$P170,RealTime!$A$2:$B$43,TODAY())</f>
        <v/>
      </c>
      <c r="R170">
        <f>IF(ISNUMBER(Q169),Q170-Q169,"")</f>
        <v/>
      </c>
      <c r="S170">
        <f>IF(AND(ISNUMBER(Q169),ISNUMBER(Q171)),2*Q170-Q169-Q171,"")</f>
        <v/>
      </c>
      <c r="U170">
        <f>SwapPV($G170,$H170,$I170,$K170,$L170,$N170,$O170,$P170,$D170,$T170,$J170,RealTime!$A$2:$B$43,TODAY())</f>
        <v/>
      </c>
      <c r="V170">
        <f>SwapDelta($G170,$H170,$I170,$K170,$L170,$N170,$O170,$P170,$D170,$T170,$J170,RealTime!$A$2:$B$43,TODAY())</f>
        <v/>
      </c>
      <c r="W170">
        <f>SwapAnnuityDelta($G170,$H170,$I170,$K170,$L170,$N170,$O170,$P170,$D170,$T170,RealTime!$A$2:$B$43,TODAY())</f>
        <v/>
      </c>
      <c r="Z170">
        <f>IF($B170=1,BucketedDelta($G170,$H170,$I170,$K170,$L170,$N170,$O170,$P170,$D170,$T170,$J170,RealTime!$A$2:$B$43,TODAY(),FALSE),"")</f>
        <v/>
      </c>
    </row>
    <row r="171">
      <c r="F171">
        <f>IF($E171="","",NotionalForDelta($E171,$G171,$H171,$I171,$K171,$L171,$N171,$O171,$P171,$T171,RealTime!$A$2:$B$43,TODAY()))</f>
        <v/>
      </c>
      <c r="Q171">
        <f>FairRate($G171,$H171,$I171,$K171,$L171,$N171,$O171,$P171,RealTime!$A$2:$B$43,TODAY())</f>
        <v/>
      </c>
      <c r="R171">
        <f>IF(ISNUMBER(Q170),Q171-Q170,"")</f>
        <v/>
      </c>
      <c r="S171">
        <f>IF(AND(ISNUMBER(Q170),ISNUMBER(Q172)),2*Q171-Q170-Q172,"")</f>
        <v/>
      </c>
      <c r="U171">
        <f>SwapPV($G171,$H171,$I171,$K171,$L171,$N171,$O171,$P171,$D171,$T171,$J171,RealTime!$A$2:$B$43,TODAY())</f>
        <v/>
      </c>
      <c r="V171">
        <f>SwapDelta($G171,$H171,$I171,$K171,$L171,$N171,$O171,$P171,$D171,$T171,$J171,RealTime!$A$2:$B$43,TODAY())</f>
        <v/>
      </c>
      <c r="W171">
        <f>SwapAnnuityDelta($G171,$H171,$I171,$K171,$L171,$N171,$O171,$P171,$D171,$T171,RealTime!$A$2:$B$43,TODAY())</f>
        <v/>
      </c>
      <c r="Z171">
        <f>IF($B171=1,BucketedDelta($G171,$H171,$I171,$K171,$L171,$N171,$O171,$P171,$D171,$T171,$J171,RealTime!$A$2:$B$43,TODAY(),FALSE),"")</f>
        <v/>
      </c>
    </row>
    <row r="172">
      <c r="F172">
        <f>IF($E172="","",NotionalForDelta($E172,$G172,$H172,$I172,$K172,$L172,$N172,$O172,$P172,$T172,RealTime!$A$2:$B$43,TODAY()))</f>
        <v/>
      </c>
      <c r="Q172">
        <f>FairRate($G172,$H172,$I172,$K172,$L172,$N172,$O172,$P172,RealTime!$A$2:$B$43,TODAY())</f>
        <v/>
      </c>
      <c r="R172">
        <f>IF(ISNUMBER(Q171),Q172-Q171,"")</f>
        <v/>
      </c>
      <c r="S172">
        <f>IF(AND(ISNUMBER(Q171),ISNUMBER(Q173)),2*Q172-Q171-Q173,"")</f>
        <v/>
      </c>
      <c r="U172">
        <f>SwapPV($G172,$H172,$I172,$K172,$L172,$N172,$O172,$P172,$D172,$T172,$J172,RealTime!$A$2:$B$43,TODAY())</f>
        <v/>
      </c>
      <c r="V172">
        <f>SwapDelta($G172,$H172,$I172,$K172,$L172,$N172,$O172,$P172,$D172,$T172,$J172,RealTime!$A$2:$B$43,TODAY())</f>
        <v/>
      </c>
      <c r="W172">
        <f>SwapAnnuityDelta($G172,$H172,$I172,$K172,$L172,$N172,$O172,$P172,$D172,$T172,RealTime!$A$2:$B$43,TODAY())</f>
        <v/>
      </c>
      <c r="Z172">
        <f>IF($B172=1,BucketedDelta($G172,$H172,$I172,$K172,$L172,$N172,$O172,$P172,$D172,$T172,$J172,RealTime!$A$2:$B$43,TODAY(),FALSE),"")</f>
        <v/>
      </c>
    </row>
    <row r="173">
      <c r="F173">
        <f>IF($E173="","",NotionalForDelta($E173,$G173,$H173,$I173,$K173,$L173,$N173,$O173,$P173,$T173,RealTime!$A$2:$B$43,TODAY()))</f>
        <v/>
      </c>
      <c r="Q173">
        <f>FairRate($G173,$H173,$I173,$K173,$L173,$N173,$O173,$P173,RealTime!$A$2:$B$43,TODAY())</f>
        <v/>
      </c>
      <c r="R173">
        <f>IF(ISNUMBER(Q172),Q173-Q172,"")</f>
        <v/>
      </c>
      <c r="S173">
        <f>IF(AND(ISNUMBER(Q172),ISNUMBER(Q174)),2*Q173-Q172-Q174,"")</f>
        <v/>
      </c>
      <c r="U173">
        <f>SwapPV($G173,$H173,$I173,$K173,$L173,$N173,$O173,$P173,$D173,$T173,$J173,RealTime!$A$2:$B$43,TODAY())</f>
        <v/>
      </c>
      <c r="V173">
        <f>SwapDelta($G173,$H173,$I173,$K173,$L173,$N173,$O173,$P173,$D173,$T173,$J173,RealTime!$A$2:$B$43,TODAY())</f>
        <v/>
      </c>
      <c r="W173">
        <f>SwapAnnuityDelta($G173,$H173,$I173,$K173,$L173,$N173,$O173,$P173,$D173,$T173,RealTime!$A$2:$B$43,TODAY())</f>
        <v/>
      </c>
      <c r="Z173">
        <f>IF($B173=1,BucketedDelta($G173,$H173,$I173,$K173,$L173,$N173,$O173,$P173,$D173,$T173,$J173,RealTime!$A$2:$B$43,TODAY(),FALSE),"")</f>
        <v/>
      </c>
    </row>
    <row r="174">
      <c r="F174">
        <f>IF($E174="","",NotionalForDelta($E174,$G174,$H174,$I174,$K174,$L174,$N174,$O174,$P174,$T174,RealTime!$A$2:$B$43,TODAY()))</f>
        <v/>
      </c>
      <c r="Q174">
        <f>FairRate($G174,$H174,$I174,$K174,$L174,$N174,$O174,$P174,RealTime!$A$2:$B$43,TODAY())</f>
        <v/>
      </c>
      <c r="R174">
        <f>IF(ISNUMBER(Q173),Q174-Q173,"")</f>
        <v/>
      </c>
      <c r="S174">
        <f>IF(AND(ISNUMBER(Q173),ISNUMBER(Q175)),2*Q174-Q173-Q175,"")</f>
        <v/>
      </c>
      <c r="U174">
        <f>SwapPV($G174,$H174,$I174,$K174,$L174,$N174,$O174,$P174,$D174,$T174,$J174,RealTime!$A$2:$B$43,TODAY())</f>
        <v/>
      </c>
      <c r="V174">
        <f>SwapDelta($G174,$H174,$I174,$K174,$L174,$N174,$O174,$P174,$D174,$T174,$J174,RealTime!$A$2:$B$43,TODAY())</f>
        <v/>
      </c>
      <c r="W174">
        <f>SwapAnnuityDelta($G174,$H174,$I174,$K174,$L174,$N174,$O174,$P174,$D174,$T174,RealTime!$A$2:$B$43,TODAY())</f>
        <v/>
      </c>
      <c r="Z174">
        <f>IF($B174=1,BucketedDelta($G174,$H174,$I174,$K174,$L174,$N174,$O174,$P174,$D174,$T174,$J174,RealTime!$A$2:$B$43,TODAY(),FALSE),"")</f>
        <v/>
      </c>
    </row>
    <row r="175">
      <c r="F175">
        <f>IF($E175="","",NotionalForDelta($E175,$G175,$H175,$I175,$K175,$L175,$N175,$O175,$P175,$T175,RealTime!$A$2:$B$43,TODAY()))</f>
        <v/>
      </c>
      <c r="Q175">
        <f>FairRate($G175,$H175,$I175,$K175,$L175,$N175,$O175,$P175,RealTime!$A$2:$B$43,TODAY())</f>
        <v/>
      </c>
      <c r="R175">
        <f>IF(ISNUMBER(Q174),Q175-Q174,"")</f>
        <v/>
      </c>
      <c r="S175">
        <f>IF(AND(ISNUMBER(Q174),ISNUMBER(Q176)),2*Q175-Q174-Q176,"")</f>
        <v/>
      </c>
      <c r="U175">
        <f>SwapPV($G175,$H175,$I175,$K175,$L175,$N175,$O175,$P175,$D175,$T175,$J175,RealTime!$A$2:$B$43,TODAY())</f>
        <v/>
      </c>
      <c r="V175">
        <f>SwapDelta($G175,$H175,$I175,$K175,$L175,$N175,$O175,$P175,$D175,$T175,$J175,RealTime!$A$2:$B$43,TODAY())</f>
        <v/>
      </c>
      <c r="W175">
        <f>SwapAnnuityDelta($G175,$H175,$I175,$K175,$L175,$N175,$O175,$P175,$D175,$T175,RealTime!$A$2:$B$43,TODAY())</f>
        <v/>
      </c>
      <c r="Z175">
        <f>IF($B175=1,BucketedDelta($G175,$H175,$I175,$K175,$L175,$N175,$O175,$P175,$D175,$T175,$J175,RealTime!$A$2:$B$43,TODAY(),FALSE),"")</f>
        <v/>
      </c>
    </row>
    <row r="176">
      <c r="F176">
        <f>IF($E176="","",NotionalForDelta($E176,$G176,$H176,$I176,$K176,$L176,$N176,$O176,$P176,$T176,RealTime!$A$2:$B$43,TODAY()))</f>
        <v/>
      </c>
      <c r="Q176">
        <f>FairRate($G176,$H176,$I176,$K176,$L176,$N176,$O176,$P176,RealTime!$A$2:$B$43,TODAY())</f>
        <v/>
      </c>
      <c r="R176">
        <f>IF(ISNUMBER(Q175),Q176-Q175,"")</f>
        <v/>
      </c>
      <c r="S176">
        <f>IF(AND(ISNUMBER(Q175),ISNUMBER(Q177)),2*Q176-Q175-Q177,"")</f>
        <v/>
      </c>
      <c r="U176">
        <f>SwapPV($G176,$H176,$I176,$K176,$L176,$N176,$O176,$P176,$D176,$T176,$J176,RealTime!$A$2:$B$43,TODAY())</f>
        <v/>
      </c>
      <c r="V176">
        <f>SwapDelta($G176,$H176,$I176,$K176,$L176,$N176,$O176,$P176,$D176,$T176,$J176,RealTime!$A$2:$B$43,TODAY())</f>
        <v/>
      </c>
      <c r="W176">
        <f>SwapAnnuityDelta($G176,$H176,$I176,$K176,$L176,$N176,$O176,$P176,$D176,$T176,RealTime!$A$2:$B$43,TODAY())</f>
        <v/>
      </c>
      <c r="Z176">
        <f>IF($B176=1,BucketedDelta($G176,$H176,$I176,$K176,$L176,$N176,$O176,$P176,$D176,$T176,$J176,RealTime!$A$2:$B$43,TODAY(),FALSE),"")</f>
        <v/>
      </c>
    </row>
    <row r="177">
      <c r="F177">
        <f>IF($E177="","",NotionalForDelta($E177,$G177,$H177,$I177,$K177,$L177,$N177,$O177,$P177,$T177,RealTime!$A$2:$B$43,TODAY()))</f>
        <v/>
      </c>
      <c r="Q177">
        <f>FairRate($G177,$H177,$I177,$K177,$L177,$N177,$O177,$P177,RealTime!$A$2:$B$43,TODAY())</f>
        <v/>
      </c>
      <c r="R177">
        <f>IF(ISNUMBER(Q176),Q177-Q176,"")</f>
        <v/>
      </c>
      <c r="S177">
        <f>IF(AND(ISNUMBER(Q176),ISNUMBER(Q178)),2*Q177-Q176-Q178,"")</f>
        <v/>
      </c>
      <c r="U177">
        <f>SwapPV($G177,$H177,$I177,$K177,$L177,$N177,$O177,$P177,$D177,$T177,$J177,RealTime!$A$2:$B$43,TODAY())</f>
        <v/>
      </c>
      <c r="V177">
        <f>SwapDelta($G177,$H177,$I177,$K177,$L177,$N177,$O177,$P177,$D177,$T177,$J177,RealTime!$A$2:$B$43,TODAY())</f>
        <v/>
      </c>
      <c r="W177">
        <f>SwapAnnuityDelta($G177,$H177,$I177,$K177,$L177,$N177,$O177,$P177,$D177,$T177,RealTime!$A$2:$B$43,TODAY())</f>
        <v/>
      </c>
      <c r="Z177">
        <f>IF($B177=1,BucketedDelta($G177,$H177,$I177,$K177,$L177,$N177,$O177,$P177,$D177,$T177,$J177,RealTime!$A$2:$B$43,TODAY(),FALSE),"")</f>
        <v/>
      </c>
    </row>
    <row r="178">
      <c r="F178">
        <f>IF($E178="","",NotionalForDelta($E178,$G178,$H178,$I178,$K178,$L178,$N178,$O178,$P178,$T178,RealTime!$A$2:$B$43,TODAY()))</f>
        <v/>
      </c>
      <c r="Q178">
        <f>FairRate($G178,$H178,$I178,$K178,$L178,$N178,$O178,$P178,RealTime!$A$2:$B$43,TODAY())</f>
        <v/>
      </c>
      <c r="R178">
        <f>IF(ISNUMBER(Q177),Q178-Q177,"")</f>
        <v/>
      </c>
      <c r="S178">
        <f>IF(AND(ISNUMBER(Q177),ISNUMBER(Q179)),2*Q178-Q177-Q179,"")</f>
        <v/>
      </c>
      <c r="U178">
        <f>SwapPV($G178,$H178,$I178,$K178,$L178,$N178,$O178,$P178,$D178,$T178,$J178,RealTime!$A$2:$B$43,TODAY())</f>
        <v/>
      </c>
      <c r="V178">
        <f>SwapDelta($G178,$H178,$I178,$K178,$L178,$N178,$O178,$P178,$D178,$T178,$J178,RealTime!$A$2:$B$43,TODAY())</f>
        <v/>
      </c>
      <c r="W178">
        <f>SwapAnnuityDelta($G178,$H178,$I178,$K178,$L178,$N178,$O178,$P178,$D178,$T178,RealTime!$A$2:$B$43,TODAY())</f>
        <v/>
      </c>
      <c r="Z178">
        <f>IF($B178=1,BucketedDelta($G178,$H178,$I178,$K178,$L178,$N178,$O178,$P178,$D178,$T178,$J178,RealTime!$A$2:$B$43,TODAY(),FALSE),"")</f>
        <v/>
      </c>
    </row>
    <row r="179">
      <c r="F179">
        <f>IF($E179="","",NotionalForDelta($E179,$G179,$H179,$I179,$K179,$L179,$N179,$O179,$P179,$T179,RealTime!$A$2:$B$43,TODAY()))</f>
        <v/>
      </c>
      <c r="Q179">
        <f>FairRate($G179,$H179,$I179,$K179,$L179,$N179,$O179,$P179,RealTime!$A$2:$B$43,TODAY())</f>
        <v/>
      </c>
      <c r="R179">
        <f>IF(ISNUMBER(Q178),Q179-Q178,"")</f>
        <v/>
      </c>
      <c r="S179">
        <f>IF(AND(ISNUMBER(Q178),ISNUMBER(Q180)),2*Q179-Q178-Q180,"")</f>
        <v/>
      </c>
      <c r="U179">
        <f>SwapPV($G179,$H179,$I179,$K179,$L179,$N179,$O179,$P179,$D179,$T179,$J179,RealTime!$A$2:$B$43,TODAY())</f>
        <v/>
      </c>
      <c r="V179">
        <f>SwapDelta($G179,$H179,$I179,$K179,$L179,$N179,$O179,$P179,$D179,$T179,$J179,RealTime!$A$2:$B$43,TODAY())</f>
        <v/>
      </c>
      <c r="W179">
        <f>SwapAnnuityDelta($G179,$H179,$I179,$K179,$L179,$N179,$O179,$P179,$D179,$T179,RealTime!$A$2:$B$43,TODAY())</f>
        <v/>
      </c>
      <c r="Z179">
        <f>IF($B179=1,BucketedDelta($G179,$H179,$I179,$K179,$L179,$N179,$O179,$P179,$D179,$T179,$J179,RealTime!$A$2:$B$43,TODAY(),FALSE),"")</f>
        <v/>
      </c>
    </row>
    <row r="180">
      <c r="F180">
        <f>IF($E180="","",NotionalForDelta($E180,$G180,$H180,$I180,$K180,$L180,$N180,$O180,$P180,$T180,RealTime!$A$2:$B$43,TODAY()))</f>
        <v/>
      </c>
      <c r="Q180">
        <f>FairRate($G180,$H180,$I180,$K180,$L180,$N180,$O180,$P180,RealTime!$A$2:$B$43,TODAY())</f>
        <v/>
      </c>
      <c r="R180">
        <f>IF(ISNUMBER(Q179),Q180-Q179,"")</f>
        <v/>
      </c>
      <c r="S180">
        <f>IF(AND(ISNUMBER(Q179),ISNUMBER(Q181)),2*Q180-Q179-Q181,"")</f>
        <v/>
      </c>
      <c r="U180">
        <f>SwapPV($G180,$H180,$I180,$K180,$L180,$N180,$O180,$P180,$D180,$T180,$J180,RealTime!$A$2:$B$43,TODAY())</f>
        <v/>
      </c>
      <c r="V180">
        <f>SwapDelta($G180,$H180,$I180,$K180,$L180,$N180,$O180,$P180,$D180,$T180,$J180,RealTime!$A$2:$B$43,TODAY())</f>
        <v/>
      </c>
      <c r="W180">
        <f>SwapAnnuityDelta($G180,$H180,$I180,$K180,$L180,$N180,$O180,$P180,$D180,$T180,RealTime!$A$2:$B$43,TODAY())</f>
        <v/>
      </c>
      <c r="Z180">
        <f>IF($B180=1,BucketedDelta($G180,$H180,$I180,$K180,$L180,$N180,$O180,$P180,$D180,$T180,$J180,RealTime!$A$2:$B$43,TODAY(),FALSE),"")</f>
        <v/>
      </c>
    </row>
    <row r="181">
      <c r="F181">
        <f>IF($E181="","",NotionalForDelta($E181,$G181,$H181,$I181,$K181,$L181,$N181,$O181,$P181,$T181,RealTime!$A$2:$B$43,TODAY()))</f>
        <v/>
      </c>
      <c r="Q181">
        <f>FairRate($G181,$H181,$I181,$K181,$L181,$N181,$O181,$P181,RealTime!$A$2:$B$43,TODAY())</f>
        <v/>
      </c>
      <c r="R181">
        <f>IF(ISNUMBER(Q180),Q181-Q180,"")</f>
        <v/>
      </c>
      <c r="S181">
        <f>IF(AND(ISNUMBER(Q180),ISNUMBER(Q182)),2*Q181-Q180-Q182,"")</f>
        <v/>
      </c>
      <c r="U181">
        <f>SwapPV($G181,$H181,$I181,$K181,$L181,$N181,$O181,$P181,$D181,$T181,$J181,RealTime!$A$2:$B$43,TODAY())</f>
        <v/>
      </c>
      <c r="V181">
        <f>SwapDelta($G181,$H181,$I181,$K181,$L181,$N181,$O181,$P181,$D181,$T181,$J181,RealTime!$A$2:$B$43,TODAY())</f>
        <v/>
      </c>
      <c r="W181">
        <f>SwapAnnuityDelta($G181,$H181,$I181,$K181,$L181,$N181,$O181,$P181,$D181,$T181,RealTime!$A$2:$B$43,TODAY())</f>
        <v/>
      </c>
      <c r="Z181">
        <f>IF($B181=1,BucketedDelta($G181,$H181,$I181,$K181,$L181,$N181,$O181,$P181,$D181,$T181,$J181,RealTime!$A$2:$B$43,TODAY(),FALSE),"")</f>
        <v/>
      </c>
    </row>
    <row r="182">
      <c r="F182">
        <f>IF($E182="","",NotionalForDelta($E182,$G182,$H182,$I182,$K182,$L182,$N182,$O182,$P182,$T182,RealTime!$A$2:$B$43,TODAY()))</f>
        <v/>
      </c>
      <c r="Q182">
        <f>FairRate($G182,$H182,$I182,$K182,$L182,$N182,$O182,$P182,RealTime!$A$2:$B$43,TODAY())</f>
        <v/>
      </c>
      <c r="R182">
        <f>IF(ISNUMBER(Q181),Q182-Q181,"")</f>
        <v/>
      </c>
      <c r="S182">
        <f>IF(AND(ISNUMBER(Q181),ISNUMBER(Q183)),2*Q182-Q181-Q183,"")</f>
        <v/>
      </c>
      <c r="U182">
        <f>SwapPV($G182,$H182,$I182,$K182,$L182,$N182,$O182,$P182,$D182,$T182,$J182,RealTime!$A$2:$B$43,TODAY())</f>
        <v/>
      </c>
      <c r="V182">
        <f>SwapDelta($G182,$H182,$I182,$K182,$L182,$N182,$O182,$P182,$D182,$T182,$J182,RealTime!$A$2:$B$43,TODAY())</f>
        <v/>
      </c>
      <c r="W182">
        <f>SwapAnnuityDelta($G182,$H182,$I182,$K182,$L182,$N182,$O182,$P182,$D182,$T182,RealTime!$A$2:$B$43,TODAY())</f>
        <v/>
      </c>
      <c r="Z182">
        <f>IF($B182=1,BucketedDelta($G182,$H182,$I182,$K182,$L182,$N182,$O182,$P182,$D182,$T182,$J182,RealTime!$A$2:$B$43,TODAY(),FALSE),"")</f>
        <v/>
      </c>
    </row>
    <row r="183">
      <c r="F183">
        <f>IF($E183="","",NotionalForDelta($E183,$G183,$H183,$I183,$K183,$L183,$N183,$O183,$P183,$T183,RealTime!$A$2:$B$43,TODAY()))</f>
        <v/>
      </c>
      <c r="Q183">
        <f>FairRate($G183,$H183,$I183,$K183,$L183,$N183,$O183,$P183,RealTime!$A$2:$B$43,TODAY())</f>
        <v/>
      </c>
      <c r="R183">
        <f>IF(ISNUMBER(Q182),Q183-Q182,"")</f>
        <v/>
      </c>
      <c r="S183">
        <f>IF(AND(ISNUMBER(Q182),ISNUMBER(Q184)),2*Q183-Q182-Q184,"")</f>
        <v/>
      </c>
      <c r="U183">
        <f>SwapPV($G183,$H183,$I183,$K183,$L183,$N183,$O183,$P183,$D183,$T183,$J183,RealTime!$A$2:$B$43,TODAY())</f>
        <v/>
      </c>
      <c r="V183">
        <f>SwapDelta($G183,$H183,$I183,$K183,$L183,$N183,$O183,$P183,$D183,$T183,$J183,RealTime!$A$2:$B$43,TODAY())</f>
        <v/>
      </c>
      <c r="W183">
        <f>SwapAnnuityDelta($G183,$H183,$I183,$K183,$L183,$N183,$O183,$P183,$D183,$T183,RealTime!$A$2:$B$43,TODAY())</f>
        <v/>
      </c>
      <c r="Z183">
        <f>IF($B183=1,BucketedDelta($G183,$H183,$I183,$K183,$L183,$N183,$O183,$P183,$D183,$T183,$J183,RealTime!$A$2:$B$43,TODAY(),FALSE),"")</f>
        <v/>
      </c>
    </row>
    <row r="184">
      <c r="F184">
        <f>IF($E184="","",NotionalForDelta($E184,$G184,$H184,$I184,$K184,$L184,$N184,$O184,$P184,$T184,RealTime!$A$2:$B$43,TODAY()))</f>
        <v/>
      </c>
      <c r="Q184">
        <f>FairRate($G184,$H184,$I184,$K184,$L184,$N184,$O184,$P184,RealTime!$A$2:$B$43,TODAY())</f>
        <v/>
      </c>
      <c r="R184">
        <f>IF(ISNUMBER(Q183),Q184-Q183,"")</f>
        <v/>
      </c>
      <c r="S184">
        <f>IF(AND(ISNUMBER(Q183),ISNUMBER(Q185)),2*Q184-Q183-Q185,"")</f>
        <v/>
      </c>
      <c r="U184">
        <f>SwapPV($G184,$H184,$I184,$K184,$L184,$N184,$O184,$P184,$D184,$T184,$J184,RealTime!$A$2:$B$43,TODAY())</f>
        <v/>
      </c>
      <c r="V184">
        <f>SwapDelta($G184,$H184,$I184,$K184,$L184,$N184,$O184,$P184,$D184,$T184,$J184,RealTime!$A$2:$B$43,TODAY())</f>
        <v/>
      </c>
      <c r="W184">
        <f>SwapAnnuityDelta($G184,$H184,$I184,$K184,$L184,$N184,$O184,$P184,$D184,$T184,RealTime!$A$2:$B$43,TODAY())</f>
        <v/>
      </c>
      <c r="Z184">
        <f>IF($B184=1,BucketedDelta($G184,$H184,$I184,$K184,$L184,$N184,$O184,$P184,$D184,$T184,$J184,RealTime!$A$2:$B$43,TODAY(),FALSE),"")</f>
        <v/>
      </c>
    </row>
    <row r="185">
      <c r="F185">
        <f>IF($E185="","",NotionalForDelta($E185,$G185,$H185,$I185,$K185,$L185,$N185,$O185,$P185,$T185,RealTime!$A$2:$B$43,TODAY()))</f>
        <v/>
      </c>
      <c r="Q185">
        <f>FairRate($G185,$H185,$I185,$K185,$L185,$N185,$O185,$P185,RealTime!$A$2:$B$43,TODAY())</f>
        <v/>
      </c>
      <c r="R185">
        <f>IF(ISNUMBER(Q184),Q185-Q184,"")</f>
        <v/>
      </c>
      <c r="S185">
        <f>IF(AND(ISNUMBER(Q184),ISNUMBER(Q186)),2*Q185-Q184-Q186,"")</f>
        <v/>
      </c>
      <c r="U185">
        <f>SwapPV($G185,$H185,$I185,$K185,$L185,$N185,$O185,$P185,$D185,$T185,$J185,RealTime!$A$2:$B$43,TODAY())</f>
        <v/>
      </c>
      <c r="V185">
        <f>SwapDelta($G185,$H185,$I185,$K185,$L185,$N185,$O185,$P185,$D185,$T185,$J185,RealTime!$A$2:$B$43,TODAY())</f>
        <v/>
      </c>
      <c r="W185">
        <f>SwapAnnuityDelta($G185,$H185,$I185,$K185,$L185,$N185,$O185,$P185,$D185,$T185,RealTime!$A$2:$B$43,TODAY())</f>
        <v/>
      </c>
      <c r="Z185">
        <f>IF($B185=1,BucketedDelta($G185,$H185,$I185,$K185,$L185,$N185,$O185,$P185,$D185,$T185,$J185,RealTime!$A$2:$B$43,TODAY(),FALSE),"")</f>
        <v/>
      </c>
    </row>
    <row r="186">
      <c r="F186">
        <f>IF($E186="","",NotionalForDelta($E186,$G186,$H186,$I186,$K186,$L186,$N186,$O186,$P186,$T186,RealTime!$A$2:$B$43,TODAY()))</f>
        <v/>
      </c>
      <c r="Q186">
        <f>FairRate($G186,$H186,$I186,$K186,$L186,$N186,$O186,$P186,RealTime!$A$2:$B$43,TODAY())</f>
        <v/>
      </c>
      <c r="R186">
        <f>IF(ISNUMBER(Q185),Q186-Q185,"")</f>
        <v/>
      </c>
      <c r="S186">
        <f>IF(AND(ISNUMBER(Q185),ISNUMBER(Q187)),2*Q186-Q185-Q187,"")</f>
        <v/>
      </c>
      <c r="U186">
        <f>SwapPV($G186,$H186,$I186,$K186,$L186,$N186,$O186,$P186,$D186,$T186,$J186,RealTime!$A$2:$B$43,TODAY())</f>
        <v/>
      </c>
      <c r="V186">
        <f>SwapDelta($G186,$H186,$I186,$K186,$L186,$N186,$O186,$P186,$D186,$T186,$J186,RealTime!$A$2:$B$43,TODAY())</f>
        <v/>
      </c>
      <c r="W186">
        <f>SwapAnnuityDelta($G186,$H186,$I186,$K186,$L186,$N186,$O186,$P186,$D186,$T186,RealTime!$A$2:$B$43,TODAY())</f>
        <v/>
      </c>
      <c r="Z186">
        <f>IF($B186=1,BucketedDelta($G186,$H186,$I186,$K186,$L186,$N186,$O186,$P186,$D186,$T186,$J186,RealTime!$A$2:$B$43,TODAY(),FALSE),"")</f>
        <v/>
      </c>
    </row>
    <row r="187">
      <c r="F187">
        <f>IF($E187="","",NotionalForDelta($E187,$G187,$H187,$I187,$K187,$L187,$N187,$O187,$P187,$T187,RealTime!$A$2:$B$43,TODAY()))</f>
        <v/>
      </c>
      <c r="Q187">
        <f>FairRate($G187,$H187,$I187,$K187,$L187,$N187,$O187,$P187,RealTime!$A$2:$B$43,TODAY())</f>
        <v/>
      </c>
      <c r="R187">
        <f>IF(ISNUMBER(Q186),Q187-Q186,"")</f>
        <v/>
      </c>
      <c r="S187">
        <f>IF(AND(ISNUMBER(Q186),ISNUMBER(Q188)),2*Q187-Q186-Q188,"")</f>
        <v/>
      </c>
      <c r="U187">
        <f>SwapPV($G187,$H187,$I187,$K187,$L187,$N187,$O187,$P187,$D187,$T187,$J187,RealTime!$A$2:$B$43,TODAY())</f>
        <v/>
      </c>
      <c r="V187">
        <f>SwapDelta($G187,$H187,$I187,$K187,$L187,$N187,$O187,$P187,$D187,$T187,$J187,RealTime!$A$2:$B$43,TODAY())</f>
        <v/>
      </c>
      <c r="W187">
        <f>SwapAnnuityDelta($G187,$H187,$I187,$K187,$L187,$N187,$O187,$P187,$D187,$T187,RealTime!$A$2:$B$43,TODAY())</f>
        <v/>
      </c>
      <c r="Z187">
        <f>IF($B187=1,BucketedDelta($G187,$H187,$I187,$K187,$L187,$N187,$O187,$P187,$D187,$T187,$J187,RealTime!$A$2:$B$43,TODAY(),FALSE),"")</f>
        <v/>
      </c>
    </row>
    <row r="188">
      <c r="F188">
        <f>IF($E188="","",NotionalForDelta($E188,$G188,$H188,$I188,$K188,$L188,$N188,$O188,$P188,$T188,RealTime!$A$2:$B$43,TODAY()))</f>
        <v/>
      </c>
      <c r="Q188">
        <f>FairRate($G188,$H188,$I188,$K188,$L188,$N188,$O188,$P188,RealTime!$A$2:$B$43,TODAY())</f>
        <v/>
      </c>
      <c r="R188">
        <f>IF(ISNUMBER(Q187),Q188-Q187,"")</f>
        <v/>
      </c>
      <c r="S188">
        <f>IF(AND(ISNUMBER(Q187),ISNUMBER(Q189)),2*Q188-Q187-Q189,"")</f>
        <v/>
      </c>
      <c r="U188">
        <f>SwapPV($G188,$H188,$I188,$K188,$L188,$N188,$O188,$P188,$D188,$T188,$J188,RealTime!$A$2:$B$43,TODAY())</f>
        <v/>
      </c>
      <c r="V188">
        <f>SwapDelta($G188,$H188,$I188,$K188,$L188,$N188,$O188,$P188,$D188,$T188,$J188,RealTime!$A$2:$B$43,TODAY())</f>
        <v/>
      </c>
      <c r="W188">
        <f>SwapAnnuityDelta($G188,$H188,$I188,$K188,$L188,$N188,$O188,$P188,$D188,$T188,RealTime!$A$2:$B$43,TODAY())</f>
        <v/>
      </c>
      <c r="Z188">
        <f>IF($B188=1,BucketedDelta($G188,$H188,$I188,$K188,$L188,$N188,$O188,$P188,$D188,$T188,$J188,RealTime!$A$2:$B$43,TODAY(),FALSE),"")</f>
        <v/>
      </c>
    </row>
    <row r="189">
      <c r="F189">
        <f>IF($E189="","",NotionalForDelta($E189,$G189,$H189,$I189,$K189,$L189,$N189,$O189,$P189,$T189,RealTime!$A$2:$B$43,TODAY()))</f>
        <v/>
      </c>
      <c r="Q189">
        <f>FairRate($G189,$H189,$I189,$K189,$L189,$N189,$O189,$P189,RealTime!$A$2:$B$43,TODAY())</f>
        <v/>
      </c>
      <c r="R189">
        <f>IF(ISNUMBER(Q188),Q189-Q188,"")</f>
        <v/>
      </c>
      <c r="S189">
        <f>IF(AND(ISNUMBER(Q188),ISNUMBER(Q190)),2*Q189-Q188-Q190,"")</f>
        <v/>
      </c>
      <c r="U189">
        <f>SwapPV($G189,$H189,$I189,$K189,$L189,$N189,$O189,$P189,$D189,$T189,$J189,RealTime!$A$2:$B$43,TODAY())</f>
        <v/>
      </c>
      <c r="V189">
        <f>SwapDelta($G189,$H189,$I189,$K189,$L189,$N189,$O189,$P189,$D189,$T189,$J189,RealTime!$A$2:$B$43,TODAY())</f>
        <v/>
      </c>
      <c r="W189">
        <f>SwapAnnuityDelta($G189,$H189,$I189,$K189,$L189,$N189,$O189,$P189,$D189,$T189,RealTime!$A$2:$B$43,TODAY())</f>
        <v/>
      </c>
      <c r="Z189">
        <f>IF($B189=1,BucketedDelta($G189,$H189,$I189,$K189,$L189,$N189,$O189,$P189,$D189,$T189,$J189,RealTime!$A$2:$B$43,TODAY(),FALSE),"")</f>
        <v/>
      </c>
    </row>
    <row r="190">
      <c r="F190">
        <f>IF($E190="","",NotionalForDelta($E190,$G190,$H190,$I190,$K190,$L190,$N190,$O190,$P190,$T190,RealTime!$A$2:$B$43,TODAY()))</f>
        <v/>
      </c>
      <c r="Q190">
        <f>FairRate($G190,$H190,$I190,$K190,$L190,$N190,$O190,$P190,RealTime!$A$2:$B$43,TODAY())</f>
        <v/>
      </c>
      <c r="R190">
        <f>IF(ISNUMBER(Q189),Q190-Q189,"")</f>
        <v/>
      </c>
      <c r="S190">
        <f>IF(AND(ISNUMBER(Q189),ISNUMBER(Q191)),2*Q190-Q189-Q191,"")</f>
        <v/>
      </c>
      <c r="U190">
        <f>SwapPV($G190,$H190,$I190,$K190,$L190,$N190,$O190,$P190,$D190,$T190,$J190,RealTime!$A$2:$B$43,TODAY())</f>
        <v/>
      </c>
      <c r="V190">
        <f>SwapDelta($G190,$H190,$I190,$K190,$L190,$N190,$O190,$P190,$D190,$T190,$J190,RealTime!$A$2:$B$43,TODAY())</f>
        <v/>
      </c>
      <c r="W190">
        <f>SwapAnnuityDelta($G190,$H190,$I190,$K190,$L190,$N190,$O190,$P190,$D190,$T190,RealTime!$A$2:$B$43,TODAY())</f>
        <v/>
      </c>
      <c r="Z190">
        <f>IF($B190=1,BucketedDelta($G190,$H190,$I190,$K190,$L190,$N190,$O190,$P190,$D190,$T190,$J190,RealTime!$A$2:$B$43,TODAY(),FALSE),"")</f>
        <v/>
      </c>
    </row>
    <row r="191">
      <c r="F191">
        <f>IF($E191="","",NotionalForDelta($E191,$G191,$H191,$I191,$K191,$L191,$N191,$O191,$P191,$T191,RealTime!$A$2:$B$43,TODAY()))</f>
        <v/>
      </c>
      <c r="Q191">
        <f>FairRate($G191,$H191,$I191,$K191,$L191,$N191,$O191,$P191,RealTime!$A$2:$B$43,TODAY())</f>
        <v/>
      </c>
      <c r="R191">
        <f>IF(ISNUMBER(Q190),Q191-Q190,"")</f>
        <v/>
      </c>
      <c r="S191">
        <f>IF(AND(ISNUMBER(Q190),ISNUMBER(Q192)),2*Q191-Q190-Q192,"")</f>
        <v/>
      </c>
      <c r="U191">
        <f>SwapPV($G191,$H191,$I191,$K191,$L191,$N191,$O191,$P191,$D191,$T191,$J191,RealTime!$A$2:$B$43,TODAY())</f>
        <v/>
      </c>
      <c r="V191">
        <f>SwapDelta($G191,$H191,$I191,$K191,$L191,$N191,$O191,$P191,$D191,$T191,$J191,RealTime!$A$2:$B$43,TODAY())</f>
        <v/>
      </c>
      <c r="W191">
        <f>SwapAnnuityDelta($G191,$H191,$I191,$K191,$L191,$N191,$O191,$P191,$D191,$T191,RealTime!$A$2:$B$43,TODAY())</f>
        <v/>
      </c>
      <c r="Z191">
        <f>IF($B191=1,BucketedDelta($G191,$H191,$I191,$K191,$L191,$N191,$O191,$P191,$D191,$T191,$J191,RealTime!$A$2:$B$43,TODAY(),FALSE),"")</f>
        <v/>
      </c>
    </row>
    <row r="192">
      <c r="F192">
        <f>IF($E192="","",NotionalForDelta($E192,$G192,$H192,$I192,$K192,$L192,$N192,$O192,$P192,$T192,RealTime!$A$2:$B$43,TODAY()))</f>
        <v/>
      </c>
      <c r="Q192">
        <f>FairRate($G192,$H192,$I192,$K192,$L192,$N192,$O192,$P192,RealTime!$A$2:$B$43,TODAY())</f>
        <v/>
      </c>
      <c r="R192">
        <f>IF(ISNUMBER(Q191),Q192-Q191,"")</f>
        <v/>
      </c>
      <c r="S192">
        <f>IF(AND(ISNUMBER(Q191),ISNUMBER(Q193)),2*Q192-Q191-Q193,"")</f>
        <v/>
      </c>
      <c r="U192">
        <f>SwapPV($G192,$H192,$I192,$K192,$L192,$N192,$O192,$P192,$D192,$T192,$J192,RealTime!$A$2:$B$43,TODAY())</f>
        <v/>
      </c>
      <c r="V192">
        <f>SwapDelta($G192,$H192,$I192,$K192,$L192,$N192,$O192,$P192,$D192,$T192,$J192,RealTime!$A$2:$B$43,TODAY())</f>
        <v/>
      </c>
      <c r="W192">
        <f>SwapAnnuityDelta($G192,$H192,$I192,$K192,$L192,$N192,$O192,$P192,$D192,$T192,RealTime!$A$2:$B$43,TODAY())</f>
        <v/>
      </c>
      <c r="Z192">
        <f>IF($B192=1,BucketedDelta($G192,$H192,$I192,$K192,$L192,$N192,$O192,$P192,$D192,$T192,$J192,RealTime!$A$2:$B$43,TODAY(),FALSE),"")</f>
        <v/>
      </c>
    </row>
    <row r="193">
      <c r="F193">
        <f>IF($E193="","",NotionalForDelta($E193,$G193,$H193,$I193,$K193,$L193,$N193,$O193,$P193,$T193,RealTime!$A$2:$B$43,TODAY()))</f>
        <v/>
      </c>
      <c r="Q193">
        <f>FairRate($G193,$H193,$I193,$K193,$L193,$N193,$O193,$P193,RealTime!$A$2:$B$43,TODAY())</f>
        <v/>
      </c>
      <c r="R193">
        <f>IF(ISNUMBER(Q192),Q193-Q192,"")</f>
        <v/>
      </c>
      <c r="S193">
        <f>IF(AND(ISNUMBER(Q192),ISNUMBER(Q194)),2*Q193-Q192-Q194,"")</f>
        <v/>
      </c>
      <c r="U193">
        <f>SwapPV($G193,$H193,$I193,$K193,$L193,$N193,$O193,$P193,$D193,$T193,$J193,RealTime!$A$2:$B$43,TODAY())</f>
        <v/>
      </c>
      <c r="V193">
        <f>SwapDelta($G193,$H193,$I193,$K193,$L193,$N193,$O193,$P193,$D193,$T193,$J193,RealTime!$A$2:$B$43,TODAY())</f>
        <v/>
      </c>
      <c r="W193">
        <f>SwapAnnuityDelta($G193,$H193,$I193,$K193,$L193,$N193,$O193,$P193,$D193,$T193,RealTime!$A$2:$B$43,TODAY())</f>
        <v/>
      </c>
      <c r="Z193">
        <f>IF($B193=1,BucketedDelta($G193,$H193,$I193,$K193,$L193,$N193,$O193,$P193,$D193,$T193,$J193,RealTime!$A$2:$B$43,TODAY(),FALSE),"")</f>
        <v/>
      </c>
    </row>
    <row r="194">
      <c r="F194">
        <f>IF($E194="","",NotionalForDelta($E194,$G194,$H194,$I194,$K194,$L194,$N194,$O194,$P194,$T194,RealTime!$A$2:$B$43,TODAY()))</f>
        <v/>
      </c>
      <c r="Q194">
        <f>FairRate($G194,$H194,$I194,$K194,$L194,$N194,$O194,$P194,RealTime!$A$2:$B$43,TODAY())</f>
        <v/>
      </c>
      <c r="R194">
        <f>IF(ISNUMBER(Q193),Q194-Q193,"")</f>
        <v/>
      </c>
      <c r="S194">
        <f>IF(AND(ISNUMBER(Q193),ISNUMBER(Q195)),2*Q194-Q193-Q195,"")</f>
        <v/>
      </c>
      <c r="U194">
        <f>SwapPV($G194,$H194,$I194,$K194,$L194,$N194,$O194,$P194,$D194,$T194,$J194,RealTime!$A$2:$B$43,TODAY())</f>
        <v/>
      </c>
      <c r="V194">
        <f>SwapDelta($G194,$H194,$I194,$K194,$L194,$N194,$O194,$P194,$D194,$T194,$J194,RealTime!$A$2:$B$43,TODAY())</f>
        <v/>
      </c>
      <c r="W194">
        <f>SwapAnnuityDelta($G194,$H194,$I194,$K194,$L194,$N194,$O194,$P194,$D194,$T194,RealTime!$A$2:$B$43,TODAY())</f>
        <v/>
      </c>
      <c r="Z194">
        <f>IF($B194=1,BucketedDelta($G194,$H194,$I194,$K194,$L194,$N194,$O194,$P194,$D194,$T194,$J194,RealTime!$A$2:$B$43,TODAY(),FALSE),"")</f>
        <v/>
      </c>
    </row>
    <row r="195">
      <c r="F195">
        <f>IF($E195="","",NotionalForDelta($E195,$G195,$H195,$I195,$K195,$L195,$N195,$O195,$P195,$T195,RealTime!$A$2:$B$43,TODAY()))</f>
        <v/>
      </c>
      <c r="Q195">
        <f>FairRate($G195,$H195,$I195,$K195,$L195,$N195,$O195,$P195,RealTime!$A$2:$B$43,TODAY())</f>
        <v/>
      </c>
      <c r="R195">
        <f>IF(ISNUMBER(Q194),Q195-Q194,"")</f>
        <v/>
      </c>
      <c r="S195">
        <f>IF(AND(ISNUMBER(Q194),ISNUMBER(Q196)),2*Q195-Q194-Q196,"")</f>
        <v/>
      </c>
      <c r="U195">
        <f>SwapPV($G195,$H195,$I195,$K195,$L195,$N195,$O195,$P195,$D195,$T195,$J195,RealTime!$A$2:$B$43,TODAY())</f>
        <v/>
      </c>
      <c r="V195">
        <f>SwapDelta($G195,$H195,$I195,$K195,$L195,$N195,$O195,$P195,$D195,$T195,$J195,RealTime!$A$2:$B$43,TODAY())</f>
        <v/>
      </c>
      <c r="W195">
        <f>SwapAnnuityDelta($G195,$H195,$I195,$K195,$L195,$N195,$O195,$P195,$D195,$T195,RealTime!$A$2:$B$43,TODAY())</f>
        <v/>
      </c>
      <c r="Z195">
        <f>IF($B195=1,BucketedDelta($G195,$H195,$I195,$K195,$L195,$N195,$O195,$P195,$D195,$T195,$J195,RealTime!$A$2:$B$43,TODAY(),FALSE),"")</f>
        <v/>
      </c>
    </row>
    <row r="196">
      <c r="F196">
        <f>IF($E196="","",NotionalForDelta($E196,$G196,$H196,$I196,$K196,$L196,$N196,$O196,$P196,$T196,RealTime!$A$2:$B$43,TODAY()))</f>
        <v/>
      </c>
      <c r="Q196">
        <f>FairRate($G196,$H196,$I196,$K196,$L196,$N196,$O196,$P196,RealTime!$A$2:$B$43,TODAY())</f>
        <v/>
      </c>
      <c r="R196">
        <f>IF(ISNUMBER(Q195),Q196-Q195,"")</f>
        <v/>
      </c>
      <c r="S196">
        <f>IF(AND(ISNUMBER(Q195),ISNUMBER(Q197)),2*Q196-Q195-Q197,"")</f>
        <v/>
      </c>
      <c r="U196">
        <f>SwapPV($G196,$H196,$I196,$K196,$L196,$N196,$O196,$P196,$D196,$T196,$J196,RealTime!$A$2:$B$43,TODAY())</f>
        <v/>
      </c>
      <c r="V196">
        <f>SwapDelta($G196,$H196,$I196,$K196,$L196,$N196,$O196,$P196,$D196,$T196,$J196,RealTime!$A$2:$B$43,TODAY())</f>
        <v/>
      </c>
      <c r="W196">
        <f>SwapAnnuityDelta($G196,$H196,$I196,$K196,$L196,$N196,$O196,$P196,$D196,$T196,RealTime!$A$2:$B$43,TODAY())</f>
        <v/>
      </c>
      <c r="Z196">
        <f>IF($B196=1,BucketedDelta($G196,$H196,$I196,$K196,$L196,$N196,$O196,$P196,$D196,$T196,$J196,RealTime!$A$2:$B$43,TODAY(),FALSE),"")</f>
        <v/>
      </c>
    </row>
    <row r="197">
      <c r="F197">
        <f>IF($E197="","",NotionalForDelta($E197,$G197,$H197,$I197,$K197,$L197,$N197,$O197,$P197,$T197,RealTime!$A$2:$B$43,TODAY()))</f>
        <v/>
      </c>
      <c r="Q197">
        <f>FairRate($G197,$H197,$I197,$K197,$L197,$N197,$O197,$P197,RealTime!$A$2:$B$43,TODAY())</f>
        <v/>
      </c>
      <c r="R197">
        <f>IF(ISNUMBER(Q196),Q197-Q196,"")</f>
        <v/>
      </c>
      <c r="S197">
        <f>IF(AND(ISNUMBER(Q196),ISNUMBER(Q198)),2*Q197-Q196-Q198,"")</f>
        <v/>
      </c>
      <c r="U197">
        <f>SwapPV($G197,$H197,$I197,$K197,$L197,$N197,$O197,$P197,$D197,$T197,$J197,RealTime!$A$2:$B$43,TODAY())</f>
        <v/>
      </c>
      <c r="V197">
        <f>SwapDelta($G197,$H197,$I197,$K197,$L197,$N197,$O197,$P197,$D197,$T197,$J197,RealTime!$A$2:$B$43,TODAY())</f>
        <v/>
      </c>
      <c r="W197">
        <f>SwapAnnuityDelta($G197,$H197,$I197,$K197,$L197,$N197,$O197,$P197,$D197,$T197,RealTime!$A$2:$B$43,TODAY())</f>
        <v/>
      </c>
      <c r="Z197">
        <f>IF($B197=1,BucketedDelta($G197,$H197,$I197,$K197,$L197,$N197,$O197,$P197,$D197,$T197,$J197,RealTime!$A$2:$B$43,TODAY(),FALSE),"")</f>
        <v/>
      </c>
    </row>
    <row r="198">
      <c r="F198">
        <f>IF($E198="","",NotionalForDelta($E198,$G198,$H198,$I198,$K198,$L198,$N198,$O198,$P198,$T198,RealTime!$A$2:$B$43,TODAY()))</f>
        <v/>
      </c>
      <c r="Q198">
        <f>FairRate($G198,$H198,$I198,$K198,$L198,$N198,$O198,$P198,RealTime!$A$2:$B$43,TODAY())</f>
        <v/>
      </c>
      <c r="R198">
        <f>IF(ISNUMBER(Q197),Q198-Q197,"")</f>
        <v/>
      </c>
      <c r="S198">
        <f>IF(AND(ISNUMBER(Q197),ISNUMBER(Q199)),2*Q198-Q197-Q199,"")</f>
        <v/>
      </c>
      <c r="U198">
        <f>SwapPV($G198,$H198,$I198,$K198,$L198,$N198,$O198,$P198,$D198,$T198,$J198,RealTime!$A$2:$B$43,TODAY())</f>
        <v/>
      </c>
      <c r="V198">
        <f>SwapDelta($G198,$H198,$I198,$K198,$L198,$N198,$O198,$P198,$D198,$T198,$J198,RealTime!$A$2:$B$43,TODAY())</f>
        <v/>
      </c>
      <c r="W198">
        <f>SwapAnnuityDelta($G198,$H198,$I198,$K198,$L198,$N198,$O198,$P198,$D198,$T198,RealTime!$A$2:$B$43,TODAY())</f>
        <v/>
      </c>
      <c r="Z198">
        <f>IF($B198=1,BucketedDelta($G198,$H198,$I198,$K198,$L198,$N198,$O198,$P198,$D198,$T198,$J198,RealTime!$A$2:$B$43,TODAY(),FALSE),"")</f>
        <v/>
      </c>
    </row>
    <row r="199">
      <c r="F199">
        <f>IF($E199="","",NotionalForDelta($E199,$G199,$H199,$I199,$K199,$L199,$N199,$O199,$P199,$T199,RealTime!$A$2:$B$43,TODAY()))</f>
        <v/>
      </c>
      <c r="Q199">
        <f>FairRate($G199,$H199,$I199,$K199,$L199,$N199,$O199,$P199,RealTime!$A$2:$B$43,TODAY())</f>
        <v/>
      </c>
      <c r="R199">
        <f>IF(ISNUMBER(Q198),Q199-Q198,"")</f>
        <v/>
      </c>
      <c r="S199">
        <f>IF(AND(ISNUMBER(Q198),ISNUMBER(Q200)),2*Q199-Q198-Q200,"")</f>
        <v/>
      </c>
      <c r="U199">
        <f>SwapPV($G199,$H199,$I199,$K199,$L199,$N199,$O199,$P199,$D199,$T199,$J199,RealTime!$A$2:$B$43,TODAY())</f>
        <v/>
      </c>
      <c r="V199">
        <f>SwapDelta($G199,$H199,$I199,$K199,$L199,$N199,$O199,$P199,$D199,$T199,$J199,RealTime!$A$2:$B$43,TODAY())</f>
        <v/>
      </c>
      <c r="W199">
        <f>SwapAnnuityDelta($G199,$H199,$I199,$K199,$L199,$N199,$O199,$P199,$D199,$T199,RealTime!$A$2:$B$43,TODAY())</f>
        <v/>
      </c>
      <c r="Z199">
        <f>IF($B199=1,BucketedDelta($G199,$H199,$I199,$K199,$L199,$N199,$O199,$P199,$D199,$T199,$J199,RealTime!$A$2:$B$43,TODAY(),FALSE),"")</f>
        <v/>
      </c>
    </row>
    <row r="200">
      <c r="F200">
        <f>IF($E200="","",NotionalForDelta($E200,$G200,$H200,$I200,$K200,$L200,$N200,$O200,$P200,$T200,RealTime!$A$2:$B$43,TODAY()))</f>
        <v/>
      </c>
      <c r="Q200">
        <f>FairRate($G200,$H200,$I200,$K200,$L200,$N200,$O200,$P200,RealTime!$A$2:$B$43,TODAY())</f>
        <v/>
      </c>
      <c r="R200">
        <f>IF(ISNUMBER(Q199),Q200-Q199,"")</f>
        <v/>
      </c>
      <c r="S200">
        <f>IF(AND(ISNUMBER(Q199),ISNUMBER(Q201)),2*Q200-Q199-Q201,"")</f>
        <v/>
      </c>
      <c r="U200">
        <f>SwapPV($G200,$H200,$I200,$K200,$L200,$N200,$O200,$P200,$D200,$T200,$J200,RealTime!$A$2:$B$43,TODAY())</f>
        <v/>
      </c>
      <c r="V200">
        <f>SwapDelta($G200,$H200,$I200,$K200,$L200,$N200,$O200,$P200,$D200,$T200,$J200,RealTime!$A$2:$B$43,TODAY())</f>
        <v/>
      </c>
      <c r="W200">
        <f>SwapAnnuityDelta($G200,$H200,$I200,$K200,$L200,$N200,$O200,$P200,$D200,$T200,RealTime!$A$2:$B$43,TODAY())</f>
        <v/>
      </c>
      <c r="Z200">
        <f>IF($B200=1,BucketedDelta($G200,$H200,$I200,$K200,$L200,$N200,$O200,$P200,$D200,$T200,$J200,RealTime!$A$2:$B$43,TODAY(),FALSE),"")</f>
        <v/>
      </c>
    </row>
    <row r="201">
      <c r="Y201" t="inlineStr">
        <is>
          <t>TOTAL</t>
        </is>
      </c>
      <c r="Z201">
        <f>SUM(Z2:Z200)</f>
        <v/>
      </c>
      <c r="AA201">
        <f>SUM(AA2:AA200)</f>
        <v/>
      </c>
      <c r="AB201">
        <f>SUM(AB2:AB200)</f>
        <v/>
      </c>
      <c r="AC201">
        <f>SUM(AC2:AC200)</f>
        <v/>
      </c>
      <c r="AD201">
        <f>SUM(AD2:AD200)</f>
        <v/>
      </c>
      <c r="AE201">
        <f>SUM(AE2:AE200)</f>
        <v/>
      </c>
      <c r="AF201">
        <f>SUM(AF2:AF200)</f>
        <v/>
      </c>
      <c r="AG201">
        <f>SUM(AG2:AG200)</f>
        <v/>
      </c>
      <c r="AH201">
        <f>SUM(AH2:AH200)</f>
        <v/>
      </c>
      <c r="AI201">
        <f>SUM(AI2:AI200)</f>
        <v/>
      </c>
      <c r="AJ201">
        <f>SUM(AJ2:AJ200)</f>
        <v/>
      </c>
      <c r="AK201">
        <f>SUM(AK2:AK200)</f>
        <v/>
      </c>
      <c r="AL201">
        <f>SUM(AL2:AL200)</f>
        <v/>
      </c>
      <c r="AM201">
        <f>SUM(AM2:AM200)</f>
        <v/>
      </c>
      <c r="AN201">
        <f>SUM(AN2:AN200)</f>
        <v/>
      </c>
      <c r="AO201">
        <f>SUM(AO2:AO200)</f>
        <v/>
      </c>
      <c r="AP201">
        <f>SUM(AP2:AP200)</f>
        <v/>
      </c>
      <c r="AQ201">
        <f>SUM(AQ2:AQ200)</f>
        <v/>
      </c>
      <c r="AR201">
        <f>SUM(AR2:AR200)</f>
        <v/>
      </c>
      <c r="AS201">
        <f>SUM(AS2:AS200)</f>
        <v/>
      </c>
      <c r="AT201">
        <f>SUM(AT2:AT200)</f>
        <v/>
      </c>
      <c r="AU201">
        <f>SUM(AU2:AU200)</f>
        <v/>
      </c>
      <c r="AV201">
        <f>SUM(AV2:AV200)</f>
        <v/>
      </c>
      <c r="AW201">
        <f>SUM(AW2:AW200)</f>
        <v/>
      </c>
      <c r="AX201">
        <f>SUM(AX2:AX200)</f>
        <v/>
      </c>
      <c r="AY201">
        <f>SUM(AY2:AY200)</f>
        <v/>
      </c>
      <c r="AZ201">
        <f>SUM(AZ2:AZ200)</f>
        <v/>
      </c>
      <c r="BA201">
        <f>SUM(BA2:BA200)</f>
        <v/>
      </c>
      <c r="BB201">
        <f>SUM(BB2:BB200)</f>
        <v/>
      </c>
      <c r="BC201">
        <f>SUM(BC2:BC200)</f>
        <v/>
      </c>
      <c r="BD201">
        <f>SUM(BD2:BD200)</f>
        <v/>
      </c>
      <c r="BE201">
        <f>SUM(BE2:BE200)</f>
        <v/>
      </c>
      <c r="BF201">
        <f>SUM(BF2:BF200)</f>
        <v/>
      </c>
      <c r="BG201">
        <f>SUM(BG2:BG200)</f>
        <v/>
      </c>
      <c r="BH201">
        <f>SUM(BH2:BH200)</f>
        <v/>
      </c>
      <c r="BI201">
        <f>SUM(BI2:BI200)</f>
        <v/>
      </c>
      <c r="BJ201">
        <f>SUM(BJ2:BJ200)</f>
        <v/>
      </c>
      <c r="BK201">
        <f>SUM(BK2:BK200)</f>
        <v/>
      </c>
      <c r="BL201">
        <f>SUM(BL2:BL200)</f>
        <v/>
      </c>
      <c r="BM201">
        <f>SUM(BM2:BM200)</f>
        <v/>
      </c>
    </row>
  </sheetData>
  <dataValidations count="7">
    <dataValidation sqref="K2:K200" showDropDown="0" showInputMessage="0" showErrorMessage="0" allowBlank="0" type="list">
      <formula1>"PA,SA,QA,1m"</formula1>
    </dataValidation>
    <dataValidation sqref="N2:N200" showDropDown="0" showInputMessage="0" showErrorMessage="0" allowBlank="0" type="list">
      <formula1>"PA,SA,QA,1m"</formula1>
    </dataValidation>
    <dataValidation sqref="L2:L200" showDropDown="0" showInputMessage="0" showErrorMessage="0" allowBlank="0" type="list">
      <formula1>"act/365fixed,30/360"</formula1>
    </dataValidation>
    <dataValidation sqref="O2:O200" showDropDown="0" showInputMessage="0" showErrorMessage="0" allowBlank="0" type="list">
      <formula1>"act/365fixed,30/360"</formula1>
    </dataValidation>
    <dataValidation sqref="M2:M200" showDropDown="0" showInputMessage="0" showErrorMessage="0" allowBlank="0" type="list">
      <formula1>"JSCC"</formula1>
    </dataValidation>
    <dataValidation sqref="P2:P200" showDropDown="0" showInputMessage="0" showErrorMessage="0" allowBlank="0" type="list">
      <formula1>"STD,EOM,IMM"</formula1>
    </dataValidation>
    <dataValidation sqref="T2:T200" showDropDown="0" showInputMessage="0" showErrorMessage="0" allowBlank="0" type="list">
      <formula1>"PAY,REC"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2Y</t>
        </is>
      </c>
      <c r="B1">
        <f>HistoricalOutright("2y","PA","act/365fixed","PA","act/365fixed","STD")</f>
        <v/>
      </c>
      <c r="E1" t="inlineStr">
        <is>
          <t>5Y</t>
        </is>
      </c>
      <c r="F1">
        <f>HistoricalOutright("5y","PA","act/365fixed","PA","act/365fixed","STD")</f>
        <v/>
      </c>
      <c r="I1" t="inlineStr">
        <is>
          <t>10Y</t>
        </is>
      </c>
      <c r="J1">
        <f>HistoricalOutright("10y","PA","act/365fixed","PA","act/365fixed","STD")</f>
        <v/>
      </c>
      <c r="M1" t="inlineStr">
        <is>
          <t>2s10s Curve</t>
        </is>
      </c>
      <c r="N1" t="inlineStr">
        <is>
          <t>Date</t>
        </is>
      </c>
      <c r="O1" t="inlineStr">
        <is>
          <t>Spread</t>
        </is>
      </c>
      <c r="Q1" t="inlineStr">
        <is>
          <t>2s5s10s Fly</t>
        </is>
      </c>
      <c r="R1" t="inlineStr">
        <is>
          <t>Date</t>
        </is>
      </c>
      <c r="S1" t="inlineStr">
        <is>
          <t>Fly</t>
        </is>
      </c>
    </row>
    <row r="2">
      <c r="N2">
        <f>J2#</f>
        <v/>
      </c>
      <c r="O2">
        <f>K2#-C2#</f>
        <v/>
      </c>
      <c r="R2">
        <f>J2#</f>
        <v/>
      </c>
      <c r="S2">
        <f>2*G2#-C2#-K2#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RealTimeValue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A1:B17"/>
  <sheetViews>
    <sheetView topLeftCell="A1" workbookViewId="0">
      <selection activeCell="A1" sqref="A1"/>
    </sheetView>
  </sheetViews>
  <sheetFormatPr baseColWidth="8" defaultColWidth="8.895" defaultRowHeight="15.75"/>
  <cols>
    <col width="14.75" customWidth="1" style="1" min="1" max="1"/>
    <col width="9.25" customWidth="1" style="1" min="2" max="2"/>
    <col width="8.875" customWidth="1" style="1" min="3" max="16384"/>
  </cols>
  <sheetData>
    <row r="1" ht="15.65" customHeight="1">
      <c r="A1" s="1" t="inlineStr">
        <is>
          <t>Interpreter_Win</t>
        </is>
      </c>
      <c r="B1" s="1" t="inlineStr">
        <is>
          <t>python</t>
        </is>
      </c>
    </row>
    <row r="2" ht="15.65" customHeight="1">
      <c r="A2" s="1" t="inlineStr">
        <is>
          <t>Interpreter_Mac</t>
        </is>
      </c>
    </row>
    <row r="3" ht="15.65" customHeight="1">
      <c r="A3" s="1" t="inlineStr">
        <is>
          <t>PYTHONPATH</t>
        </is>
      </c>
    </row>
    <row r="4" ht="15.65" customHeight="1">
      <c r="A4" s="1" t="inlineStr">
        <is>
          <t>Conda Path</t>
        </is>
      </c>
    </row>
    <row r="5" ht="15.65" customHeight="1">
      <c r="A5" s="1" t="inlineStr">
        <is>
          <t>Conda Env</t>
        </is>
      </c>
    </row>
    <row r="6" ht="15.65" customHeight="1">
      <c r="A6" s="1" t="inlineStr">
        <is>
          <t>UDF Modules</t>
        </is>
      </c>
      <c r="B6" t="inlineStr">
        <is>
          <t>swap_pricing.udf</t>
        </is>
      </c>
    </row>
    <row r="7" ht="15.65" customHeight="1">
      <c r="A7" s="1" t="inlineStr">
        <is>
          <t>Debug UDFs</t>
        </is>
      </c>
      <c r="B7" s="1" t="b">
        <v>0</v>
      </c>
    </row>
    <row r="8" ht="15.65" customHeight="1">
      <c r="A8" s="1" t="inlineStr">
        <is>
          <t>Use UDF Server</t>
        </is>
      </c>
      <c r="B8" s="1" t="b">
        <v>0</v>
      </c>
    </row>
    <row r="9" ht="15.65" customHeight="1">
      <c r="A9" s="1" t="inlineStr">
        <is>
          <t>Show Console</t>
        </is>
      </c>
      <c r="B9" s="1" t="b">
        <v>0</v>
      </c>
    </row>
    <row r="13" ht="15.65" customHeight="1">
      <c r="A13" s="2" t="inlineStr">
        <is>
          <t>Instructions:</t>
        </is>
      </c>
    </row>
    <row r="14" ht="15.65" customHeight="1">
      <c r="A14" s="1" t="inlineStr">
        <is>
          <t>If you want to rely on the settings in the addin or an xlwings.conf file, you can delete this sheet.</t>
        </is>
      </c>
    </row>
    <row r="15" ht="15.65" customHeight="1">
      <c r="A15" s="1" t="inlineStr">
        <is>
          <t>Rename this sheet to "xlwings.conf" to activate it (remove the leading underscore).  The settings have to start in cell A1.</t>
        </is>
      </c>
    </row>
    <row r="16" ht="15.65" customHeight="1">
      <c r="A16" s="1" t="inlineStr">
        <is>
          <t>When activated, these settings override the settings in the addin (.xlwings/xlwings.conf file in the user directory) and xlwings.conf in the same directory as this Excel file.</t>
        </is>
      </c>
    </row>
    <row r="17" ht="15.65" customHeight="1">
      <c r="A17" s="1" t="inlineStr">
        <is>
          <t>If you delete a row from here, it will fall back to the first non-empty value xlwings finds in an xlwings.conf file and otherwise use the default values.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Felix</dc:creator>
  <dcterms:created xmlns:dcterms="http://purl.org/dc/terms/" xmlns:xsi="http://www.w3.org/2001/XMLSchema-instance" xsi:type="dcterms:W3CDTF">2015-01-25T11:31:25Z</dcterms:created>
  <dcterms:modified xmlns:dcterms="http://purl.org/dc/terms/" xmlns:xsi="http://www.w3.org/2001/XMLSchema-instance" xsi:type="dcterms:W3CDTF">2026-08-19T13:25:47Z</dcterms:modified>
  <cp:lastModifiedBy>Felix Zumstein</cp:lastModifiedBy>
</cp:coreProperties>
</file>